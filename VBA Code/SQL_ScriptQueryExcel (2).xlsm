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3350" activeTab="3"/>
  </bookViews>
  <sheets>
    <sheet name="FiscalYear Test1" sheetId="1" r:id="rId1"/>
    <sheet name="FiscalYear moreTest1" sheetId="5" r:id="rId2"/>
    <sheet name="FiscalYear Test2" sheetId="4" r:id="rId3"/>
    <sheet name="FiscalYear moreTest2" sheetId="7" r:id="rId4"/>
    <sheet name="LeapYEars" sheetId="6" r:id="rId5"/>
  </sheets>
  <calcPr calcId="145621"/>
</workbook>
</file>

<file path=xl/calcChain.xml><?xml version="1.0" encoding="utf-8"?>
<calcChain xmlns="http://schemas.openxmlformats.org/spreadsheetml/2006/main">
  <c r="O9" i="7" l="1"/>
  <c r="O13" i="4"/>
  <c r="O14" i="4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8" i="6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8" i="4"/>
</calcChain>
</file>

<file path=xl/comments1.xml><?xml version="1.0" encoding="utf-8"?>
<comments xmlns="http://schemas.openxmlformats.org/spreadsheetml/2006/main">
  <authors>
    <author>Lee, Brian</author>
  </authors>
  <commentList>
    <comment ref="O9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=F11-F13
Days Between
Start date 2015
and
Start Date 2016 </t>
        </r>
      </text>
    </comment>
  </commentList>
</comments>
</file>

<file path=xl/sharedStrings.xml><?xml version="1.0" encoding="utf-8"?>
<sst xmlns="http://schemas.openxmlformats.org/spreadsheetml/2006/main" count="1566" uniqueCount="114">
  <si>
    <t>11</t>
  </si>
  <si>
    <t>Results from AccountingPeriod Table</t>
  </si>
  <si>
    <t>Query Parameters</t>
  </si>
  <si>
    <t>Date</t>
  </si>
  <si>
    <t>perStart</t>
  </si>
  <si>
    <t>perEnd</t>
  </si>
  <si>
    <t>BeginDate</t>
  </si>
  <si>
    <t>EndDate</t>
  </si>
  <si>
    <t>FiscalYear</t>
  </si>
  <si>
    <t>Period</t>
  </si>
  <si>
    <t>Quarter</t>
  </si>
  <si>
    <t>prevPer</t>
  </si>
  <si>
    <t>returnParam</t>
  </si>
  <si>
    <t>currPer</t>
  </si>
  <si>
    <t>Results fromFiscalInfo Function</t>
  </si>
  <si>
    <t>Result</t>
  </si>
  <si>
    <t>2015</t>
  </si>
  <si>
    <t>04</t>
  </si>
  <si>
    <t>12</t>
  </si>
  <si>
    <t>13</t>
  </si>
  <si>
    <t>1</t>
  </si>
  <si>
    <t>N/A</t>
  </si>
  <si>
    <t>Nov  1 2015 12:00AM</t>
  </si>
  <si>
    <t>10</t>
  </si>
  <si>
    <t>Nov 29 2015 12:00AM</t>
  </si>
  <si>
    <t>Dec 27 2015 12:00AM</t>
  </si>
  <si>
    <t>YRSTART</t>
  </si>
  <si>
    <t>curDAYSINTOYRrPer</t>
  </si>
  <si>
    <t>currDAYSINQTRPer</t>
  </si>
  <si>
    <t>Dec 29 2014 12:00AM</t>
  </si>
  <si>
    <t>Jan 24 2016 12:00AM</t>
  </si>
  <si>
    <t>2016</t>
  </si>
  <si>
    <t>01</t>
  </si>
  <si>
    <t>ReturnParam</t>
  </si>
  <si>
    <t>Feb 21 2016 12:00AM</t>
  </si>
  <si>
    <t>02</t>
  </si>
  <si>
    <t>2</t>
  </si>
  <si>
    <t>Total Rows =</t>
  </si>
  <si>
    <t>9</t>
  </si>
  <si>
    <t>4</t>
  </si>
  <si>
    <t>3</t>
  </si>
  <si>
    <t>PERSTART - Get the Start of the period by date</t>
  </si>
  <si>
    <t>PEREND - Get the End of the period by date</t>
  </si>
  <si>
    <t>CURRPER - Get the Current Period by date</t>
  </si>
  <si>
    <t>PREVPER - Get the Previos Period by date</t>
  </si>
  <si>
    <t>NEXTPER - Get the Next Period by date</t>
  </si>
  <si>
    <t>DAYSINPRD - Get the # of Days in the Period by date</t>
  </si>
  <si>
    <t>WKSINPRD - Get the # of Weeks in the Period by date</t>
  </si>
  <si>
    <t>CURRQTR - Current Quarter</t>
  </si>
  <si>
    <t>QTRSTART - Current Quarter Strart</t>
  </si>
  <si>
    <t>QTREND - Current Quarter End</t>
  </si>
  <si>
    <t>YRSTART - Get the Start of the year by date</t>
  </si>
  <si>
    <t>YREND - Get the End of the year by date</t>
  </si>
  <si>
    <t>DAYSINTOYR - # of Days into Fiscal year by date</t>
  </si>
  <si>
    <t>WKINYR - # of Weeks into Fiscal year by date</t>
  </si>
  <si>
    <t>WKINPRD - # of Weeks into Fiscal period by date</t>
  </si>
  <si>
    <t>DAYSINQTR - Get the # of Days in the Quarter by date</t>
  </si>
  <si>
    <t>WKINQTR - # of Weeks into Fiscal quarter by date</t>
  </si>
  <si>
    <t>currper</t>
  </si>
  <si>
    <t>perstart</t>
  </si>
  <si>
    <t>perend</t>
  </si>
  <si>
    <t>prevper</t>
  </si>
  <si>
    <t>nextper</t>
  </si>
  <si>
    <t>daysinprd</t>
  </si>
  <si>
    <t>wksinprd</t>
  </si>
  <si>
    <t>currqtr</t>
  </si>
  <si>
    <t>qtrstart</t>
  </si>
  <si>
    <t>qtrend</t>
  </si>
  <si>
    <t>yrstart</t>
  </si>
  <si>
    <t>yrend</t>
  </si>
  <si>
    <t>daysintoyr</t>
  </si>
  <si>
    <t>wkinyr</t>
  </si>
  <si>
    <t>wkinprd</t>
  </si>
  <si>
    <t>daysinqtr</t>
  </si>
  <si>
    <t>wkinqtr</t>
  </si>
  <si>
    <t>Nov 30 2015 12:00AM</t>
  </si>
  <si>
    <t>28</t>
  </si>
  <si>
    <t>Oct  5 2015 12:00AM</t>
  </si>
  <si>
    <t>356</t>
  </si>
  <si>
    <t>51</t>
  </si>
  <si>
    <t>79</t>
  </si>
  <si>
    <t>Dec 28 2015 12:00AM</t>
  </si>
  <si>
    <t>Apr 17 2016 12:00AM</t>
  </si>
  <si>
    <t>Dec 25 2016 12:00AM</t>
  </si>
  <si>
    <t>Pass/fail</t>
  </si>
  <si>
    <t>P</t>
  </si>
  <si>
    <t>?</t>
  </si>
  <si>
    <t>misc / Calc</t>
  </si>
  <si>
    <t>p</t>
  </si>
  <si>
    <t>2014</t>
  </si>
  <si>
    <t>2012</t>
  </si>
  <si>
    <t>03</t>
  </si>
  <si>
    <t>2020</t>
  </si>
  <si>
    <t>2024</t>
  </si>
  <si>
    <t>Leap Year Days</t>
  </si>
  <si>
    <t>Prevper</t>
  </si>
  <si>
    <t>Feb 20 2012 12:00AM</t>
  </si>
  <si>
    <t>Feb 22 2016 12:00AM</t>
  </si>
  <si>
    <t>Feb 24 2020 12:00AM</t>
  </si>
  <si>
    <t>Feb 26 2024 12:00AM</t>
  </si>
  <si>
    <t>Mar 18 2012 12:00AM</t>
  </si>
  <si>
    <t>Mar 20 2016 12:00AM</t>
  </si>
  <si>
    <t>Mar 22 2020 12:00AM</t>
  </si>
  <si>
    <t>Mar 24 2024 12:00AM</t>
  </si>
  <si>
    <t>2013</t>
  </si>
  <si>
    <t>Nov 26 2012 12:00AM</t>
  </si>
  <si>
    <t>Dec 31 2012 12:00AM</t>
  </si>
  <si>
    <t>2017</t>
  </si>
  <si>
    <t>M</t>
  </si>
  <si>
    <t>364</t>
  </si>
  <si>
    <t>Total Days in 2014</t>
  </si>
  <si>
    <t>Comments</t>
  </si>
  <si>
    <t>2015 Started</t>
  </si>
  <si>
    <t>2016 Stated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</si>
</sst>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ill="1"/>
    <xf numFmtId="0" fontId="0" fillId="3" borderId="0" xfId="0" applyFill="1"/>
    <xf numFmtId="14" fontId="0" fillId="2" borderId="0" xfId="0" applyNumberFormat="1" applyFill="1"/>
    <xf numFmtId="0" fontId="0" fillId="7" borderId="4" xfId="0" applyFill="1" applyBorder="1"/>
    <xf numFmtId="0" fontId="0" fillId="6" borderId="4" xfId="0" applyFill="1" applyBorder="1"/>
    <xf numFmtId="0" fontId="0" fillId="4" borderId="4" xfId="0" applyFill="1" applyBorder="1"/>
    <xf numFmtId="0" fontId="0" fillId="3" borderId="4" xfId="0" applyFill="1" applyBorder="1"/>
    <xf numFmtId="0" fontId="0" fillId="3" borderId="1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2" borderId="12" xfId="0" applyFill="1" applyBorder="1"/>
    <xf numFmtId="0" fontId="0" fillId="2" borderId="13" xfId="0" applyFill="1" applyBorder="1"/>
    <xf numFmtId="14" fontId="0" fillId="0" borderId="12" xfId="0" applyNumberFormat="1" applyBorder="1"/>
    <xf numFmtId="14" fontId="0" fillId="0" borderId="14" xfId="0" applyNumberFormat="1" applyBorder="1"/>
    <xf numFmtId="14" fontId="1" fillId="0" borderId="13" xfId="0" applyNumberFormat="1" applyFont="1" applyBorder="1"/>
    <xf numFmtId="0" fontId="1" fillId="0" borderId="13" xfId="0" applyFont="1" applyBorder="1"/>
    <xf numFmtId="0" fontId="1" fillId="0" borderId="15" xfId="0" applyFont="1" applyBorder="1"/>
    <xf numFmtId="14" fontId="0" fillId="0" borderId="0" xfId="0" applyNumberFormat="1" applyFont="1"/>
    <xf numFmtId="0" fontId="0" fillId="8" borderId="0" xfId="0" applyFill="1"/>
    <xf numFmtId="14" fontId="0" fillId="8" borderId="12" xfId="0" applyNumberFormat="1" applyFill="1" applyBorder="1"/>
    <xf numFmtId="0" fontId="1" fillId="8" borderId="13" xfId="0" applyFont="1" applyFill="1" applyBorder="1"/>
    <xf numFmtId="14" fontId="0" fillId="8" borderId="0" xfId="0" applyNumberFormat="1" applyFill="1"/>
    <xf numFmtId="0" fontId="0" fillId="8" borderId="0" xfId="0" applyFill="1" applyAlignment="1">
      <alignment horizontal="center"/>
    </xf>
    <xf numFmtId="14" fontId="0" fillId="0" borderId="0" xfId="0" applyNumberFormat="1" applyFill="1"/>
    <xf numFmtId="0" fontId="0" fillId="0" borderId="0" xfId="0" applyFill="1" applyAlignment="1">
      <alignment horizontal="center"/>
    </xf>
    <xf numFmtId="14" fontId="0" fillId="0" borderId="12" xfId="0" applyNumberFormat="1" applyFill="1" applyBorder="1"/>
    <xf numFmtId="0" fontId="1" fillId="0" borderId="13" xfId="0" applyFont="1" applyFill="1" applyBorder="1"/>
    <xf numFmtId="0" fontId="0" fillId="3" borderId="16" xfId="0" applyFill="1" applyBorder="1"/>
    <xf numFmtId="0" fontId="0" fillId="2" borderId="4" xfId="0" applyFill="1" applyBorder="1"/>
    <xf numFmtId="0" fontId="0" fillId="2" borderId="17" xfId="0" applyFill="1" applyBorder="1"/>
    <xf numFmtId="14" fontId="0" fillId="0" borderId="4" xfId="0" applyNumberFormat="1" applyFill="1" applyBorder="1"/>
    <xf numFmtId="0" fontId="0" fillId="0" borderId="4" xfId="0" applyFill="1" applyBorder="1" applyAlignment="1">
      <alignment horizontal="center"/>
    </xf>
    <xf numFmtId="0" fontId="0" fillId="0" borderId="4" xfId="0" applyFill="1" applyBorder="1"/>
    <xf numFmtId="14" fontId="0" fillId="0" borderId="17" xfId="0" applyNumberFormat="1" applyFill="1" applyBorder="1"/>
    <xf numFmtId="0" fontId="0" fillId="0" borderId="17" xfId="0" applyFill="1" applyBorder="1" applyAlignment="1">
      <alignment horizontal="center"/>
    </xf>
    <xf numFmtId="0" fontId="0" fillId="0" borderId="17" xfId="0" applyFill="1" applyBorder="1"/>
    <xf numFmtId="0" fontId="0" fillId="0" borderId="8" xfId="0" applyFill="1" applyBorder="1"/>
    <xf numFmtId="0" fontId="0" fillId="0" borderId="18" xfId="0" applyFill="1" applyBorder="1"/>
    <xf numFmtId="0" fontId="0" fillId="0" borderId="9" xfId="0" applyFill="1" applyBorder="1" applyAlignment="1">
      <alignment horizontal="center"/>
    </xf>
    <xf numFmtId="0" fontId="0" fillId="0" borderId="9" xfId="0" applyFill="1" applyBorder="1"/>
    <xf numFmtId="14" fontId="0" fillId="0" borderId="10" xfId="0" applyNumberFormat="1" applyFill="1" applyBorder="1"/>
    <xf numFmtId="14" fontId="1" fillId="0" borderId="11" xfId="0" applyNumberFormat="1" applyFont="1" applyFill="1" applyBorder="1"/>
    <xf numFmtId="14" fontId="0" fillId="0" borderId="19" xfId="0" applyNumberFormat="1" applyFill="1" applyBorder="1"/>
    <xf numFmtId="0" fontId="1" fillId="0" borderId="20" xfId="0" applyFont="1" applyFill="1" applyBorder="1"/>
    <xf numFmtId="14" fontId="0" fillId="0" borderId="21" xfId="0" applyNumberFormat="1" applyFill="1" applyBorder="1"/>
    <xf numFmtId="0" fontId="1" fillId="0" borderId="18" xfId="0" applyFont="1" applyFill="1" applyBorder="1"/>
    <xf numFmtId="0" fontId="1" fillId="0" borderId="8" xfId="0" applyFont="1" applyFill="1" applyBorder="1"/>
  </cellXfs>
  <cellStyles count="1">
    <cellStyle name="Normal" xfId="0" builtinId="0"/>
  </cellStyles>
  <dxfs count="2"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1027" name="ExecuteQueri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1028" name="Clear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5121" name="ExecuteQueri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5122" name="ClearBt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4097" name="ExecuteQuerie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4098" name="ClearBtn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7169" name="ExecuteQuerie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7170" name="ClearBtn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6145" name="ExecuteQueries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6146" name="ClearBt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12"/>
  <sheetViews>
    <sheetView workbookViewId="0">
      <selection activeCell="O105" sqref="O105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9" max="19" width="42.5703125" bestFit="1" customWidth="1"/>
  </cols>
  <sheetData>
    <row r="1" spans="1:19" x14ac:dyDescent="0.25">
      <c r="E1"/>
      <c r="K1"/>
    </row>
    <row r="2" spans="1:19" x14ac:dyDescent="0.25">
      <c r="E2"/>
      <c r="H2" t="s">
        <v>37</v>
      </c>
      <c r="I2" s="5">
        <v>115</v>
      </c>
      <c r="K2"/>
    </row>
    <row r="3" spans="1:19" x14ac:dyDescent="0.25">
      <c r="E3"/>
      <c r="K3"/>
    </row>
    <row r="4" spans="1:19" s="2" customFormat="1" ht="15.75" thickBot="1" x14ac:dyDescent="0.3"/>
    <row r="5" spans="1:19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9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0" t="s">
        <v>15</v>
      </c>
      <c r="M6" s="10" t="s">
        <v>33</v>
      </c>
      <c r="N6" s="10"/>
      <c r="O6" s="10"/>
      <c r="P6" s="10"/>
    </row>
    <row r="7" spans="1:19" s="2" customFormat="1" x14ac:dyDescent="0.25">
      <c r="F7" s="6"/>
      <c r="G7" s="6"/>
    </row>
    <row r="8" spans="1:19" x14ac:dyDescent="0.25">
      <c r="A8" s="1">
        <v>42293</v>
      </c>
      <c r="B8" s="3" t="s">
        <v>13</v>
      </c>
      <c r="C8" s="3"/>
      <c r="F8" s="1">
        <v>42282</v>
      </c>
      <c r="G8" s="1">
        <v>42309</v>
      </c>
      <c r="H8" t="s">
        <v>16</v>
      </c>
      <c r="I8" t="s">
        <v>0</v>
      </c>
      <c r="J8" t="s">
        <v>17</v>
      </c>
      <c r="L8" t="s">
        <v>0</v>
      </c>
      <c r="M8" s="1"/>
      <c r="N8" s="1"/>
      <c r="S8" t="s">
        <v>41</v>
      </c>
    </row>
    <row r="9" spans="1:19" x14ac:dyDescent="0.25">
      <c r="A9" s="1">
        <v>42294</v>
      </c>
      <c r="B9" s="3" t="s">
        <v>5</v>
      </c>
      <c r="F9" s="1">
        <v>42282</v>
      </c>
      <c r="G9" s="1">
        <v>42309</v>
      </c>
      <c r="H9" t="s">
        <v>16</v>
      </c>
      <c r="I9" t="s">
        <v>0</v>
      </c>
      <c r="J9" t="s">
        <v>17</v>
      </c>
      <c r="L9" t="s">
        <v>22</v>
      </c>
      <c r="S9" t="s">
        <v>42</v>
      </c>
    </row>
    <row r="10" spans="1:19" x14ac:dyDescent="0.25">
      <c r="A10" s="1">
        <v>42295</v>
      </c>
      <c r="B10" s="3" t="s">
        <v>28</v>
      </c>
      <c r="F10" s="1">
        <v>42282</v>
      </c>
      <c r="G10" s="1">
        <v>42309</v>
      </c>
      <c r="H10" t="s">
        <v>16</v>
      </c>
      <c r="I10" t="s">
        <v>0</v>
      </c>
      <c r="J10" t="s">
        <v>17</v>
      </c>
      <c r="L10" t="s">
        <v>21</v>
      </c>
      <c r="S10" t="s">
        <v>43</v>
      </c>
    </row>
    <row r="11" spans="1:19" x14ac:dyDescent="0.25">
      <c r="A11" s="1">
        <v>42296</v>
      </c>
      <c r="B11" s="3" t="s">
        <v>11</v>
      </c>
      <c r="F11" s="1">
        <v>42282</v>
      </c>
      <c r="G11" s="1">
        <v>42309</v>
      </c>
      <c r="H11" t="s">
        <v>16</v>
      </c>
      <c r="I11" t="s">
        <v>0</v>
      </c>
      <c r="J11" t="s">
        <v>17</v>
      </c>
      <c r="L11" t="s">
        <v>23</v>
      </c>
      <c r="S11" t="s">
        <v>44</v>
      </c>
    </row>
    <row r="12" spans="1:19" x14ac:dyDescent="0.25">
      <c r="A12" s="1">
        <v>42297</v>
      </c>
      <c r="B12" s="3" t="s">
        <v>26</v>
      </c>
      <c r="F12" s="1">
        <v>42282</v>
      </c>
      <c r="G12" s="1">
        <v>42309</v>
      </c>
      <c r="H12" t="s">
        <v>16</v>
      </c>
      <c r="I12" t="s">
        <v>0</v>
      </c>
      <c r="J12" t="s">
        <v>17</v>
      </c>
      <c r="L12" t="s">
        <v>29</v>
      </c>
      <c r="S12" t="s">
        <v>45</v>
      </c>
    </row>
    <row r="13" spans="1:19" x14ac:dyDescent="0.25">
      <c r="A13" s="1">
        <v>42298</v>
      </c>
      <c r="B13" s="3" t="s">
        <v>5</v>
      </c>
      <c r="F13" s="1">
        <v>42282</v>
      </c>
      <c r="G13" s="1">
        <v>42309</v>
      </c>
      <c r="H13" t="s">
        <v>16</v>
      </c>
      <c r="I13" t="s">
        <v>0</v>
      </c>
      <c r="J13" t="s">
        <v>17</v>
      </c>
      <c r="L13" t="s">
        <v>22</v>
      </c>
      <c r="S13" t="s">
        <v>46</v>
      </c>
    </row>
    <row r="14" spans="1:19" x14ac:dyDescent="0.25">
      <c r="A14" s="1">
        <v>42299</v>
      </c>
      <c r="B14" s="3" t="s">
        <v>13</v>
      </c>
      <c r="F14" s="1">
        <v>42282</v>
      </c>
      <c r="G14" s="1">
        <v>42309</v>
      </c>
      <c r="H14" t="s">
        <v>16</v>
      </c>
      <c r="I14" t="s">
        <v>0</v>
      </c>
      <c r="J14" t="s">
        <v>17</v>
      </c>
      <c r="L14" t="s">
        <v>0</v>
      </c>
      <c r="S14" t="s">
        <v>47</v>
      </c>
    </row>
    <row r="15" spans="1:19" x14ac:dyDescent="0.25">
      <c r="A15" s="1">
        <v>42300</v>
      </c>
      <c r="B15" s="3" t="s">
        <v>11</v>
      </c>
      <c r="F15" s="1">
        <v>42282</v>
      </c>
      <c r="G15" s="1">
        <v>42309</v>
      </c>
      <c r="H15" t="s">
        <v>16</v>
      </c>
      <c r="I15" t="s">
        <v>0</v>
      </c>
      <c r="J15" t="s">
        <v>17</v>
      </c>
      <c r="L15" t="s">
        <v>23</v>
      </c>
      <c r="S15" t="s">
        <v>48</v>
      </c>
    </row>
    <row r="16" spans="1:19" x14ac:dyDescent="0.25">
      <c r="A16" s="1">
        <v>42301</v>
      </c>
      <c r="B16" s="3" t="s">
        <v>13</v>
      </c>
      <c r="F16" s="1">
        <v>42282</v>
      </c>
      <c r="G16" s="1">
        <v>42309</v>
      </c>
      <c r="H16" t="s">
        <v>16</v>
      </c>
      <c r="I16" t="s">
        <v>0</v>
      </c>
      <c r="J16" t="s">
        <v>17</v>
      </c>
      <c r="L16" t="s">
        <v>0</v>
      </c>
      <c r="S16" t="s">
        <v>49</v>
      </c>
    </row>
    <row r="17" spans="1:19" x14ac:dyDescent="0.25">
      <c r="A17" s="1">
        <v>42302</v>
      </c>
      <c r="B17" s="3" t="s">
        <v>5</v>
      </c>
      <c r="F17" s="1">
        <v>42282</v>
      </c>
      <c r="G17" s="1">
        <v>42309</v>
      </c>
      <c r="H17" t="s">
        <v>16</v>
      </c>
      <c r="I17" t="s">
        <v>0</v>
      </c>
      <c r="J17" t="s">
        <v>17</v>
      </c>
      <c r="L17" t="s">
        <v>22</v>
      </c>
      <c r="S17" t="s">
        <v>50</v>
      </c>
    </row>
    <row r="18" spans="1:19" x14ac:dyDescent="0.25">
      <c r="A18" s="1">
        <v>42303</v>
      </c>
      <c r="B18" s="3" t="s">
        <v>13</v>
      </c>
      <c r="F18" s="1">
        <v>42282</v>
      </c>
      <c r="G18" s="1">
        <v>42309</v>
      </c>
      <c r="H18" t="s">
        <v>16</v>
      </c>
      <c r="I18" t="s">
        <v>0</v>
      </c>
      <c r="J18" t="s">
        <v>17</v>
      </c>
      <c r="L18" t="s">
        <v>0</v>
      </c>
      <c r="S18" t="s">
        <v>51</v>
      </c>
    </row>
    <row r="19" spans="1:19" x14ac:dyDescent="0.25">
      <c r="A19" s="1">
        <v>42304</v>
      </c>
      <c r="B19" s="3" t="s">
        <v>11</v>
      </c>
      <c r="F19" s="1">
        <v>42282</v>
      </c>
      <c r="G19" s="1">
        <v>42309</v>
      </c>
      <c r="H19" t="s">
        <v>16</v>
      </c>
      <c r="I19" t="s">
        <v>0</v>
      </c>
      <c r="J19" t="s">
        <v>17</v>
      </c>
      <c r="L19" t="s">
        <v>23</v>
      </c>
      <c r="S19" t="s">
        <v>52</v>
      </c>
    </row>
    <row r="20" spans="1:19" x14ac:dyDescent="0.25">
      <c r="A20" s="1">
        <v>42305</v>
      </c>
      <c r="B20" s="3" t="s">
        <v>13</v>
      </c>
      <c r="F20" s="1">
        <v>42282</v>
      </c>
      <c r="G20" s="1">
        <v>42309</v>
      </c>
      <c r="H20" t="s">
        <v>16</v>
      </c>
      <c r="I20" t="s">
        <v>0</v>
      </c>
      <c r="J20" t="s">
        <v>17</v>
      </c>
      <c r="L20" t="s">
        <v>0</v>
      </c>
      <c r="S20" t="s">
        <v>53</v>
      </c>
    </row>
    <row r="21" spans="1:19" x14ac:dyDescent="0.25">
      <c r="A21" s="1">
        <v>42306</v>
      </c>
      <c r="B21" s="3" t="s">
        <v>5</v>
      </c>
      <c r="F21" s="1">
        <v>42282</v>
      </c>
      <c r="G21" s="1">
        <v>42309</v>
      </c>
      <c r="H21" t="s">
        <v>16</v>
      </c>
      <c r="I21" t="s">
        <v>0</v>
      </c>
      <c r="J21" t="s">
        <v>17</v>
      </c>
      <c r="L21" t="s">
        <v>22</v>
      </c>
      <c r="S21" t="s">
        <v>54</v>
      </c>
    </row>
    <row r="22" spans="1:19" x14ac:dyDescent="0.25">
      <c r="A22" s="1">
        <v>42307</v>
      </c>
      <c r="B22" s="3" t="s">
        <v>27</v>
      </c>
      <c r="F22" s="1">
        <v>42282</v>
      </c>
      <c r="G22" s="1">
        <v>42309</v>
      </c>
      <c r="H22" t="s">
        <v>16</v>
      </c>
      <c r="I22" t="s">
        <v>0</v>
      </c>
      <c r="J22" t="s">
        <v>17</v>
      </c>
      <c r="L22" t="s">
        <v>21</v>
      </c>
      <c r="S22" t="s">
        <v>55</v>
      </c>
    </row>
    <row r="23" spans="1:19" x14ac:dyDescent="0.25">
      <c r="A23" s="1">
        <v>42308</v>
      </c>
      <c r="B23" s="3" t="s">
        <v>11</v>
      </c>
      <c r="F23" s="1">
        <v>42282</v>
      </c>
      <c r="G23" s="1">
        <v>42309</v>
      </c>
      <c r="H23" t="s">
        <v>16</v>
      </c>
      <c r="I23" t="s">
        <v>0</v>
      </c>
      <c r="J23" t="s">
        <v>17</v>
      </c>
      <c r="L23" t="s">
        <v>23</v>
      </c>
      <c r="S23" t="s">
        <v>56</v>
      </c>
    </row>
    <row r="24" spans="1:19" x14ac:dyDescent="0.25">
      <c r="A24" s="1">
        <v>42309</v>
      </c>
      <c r="B24" s="3" t="s">
        <v>13</v>
      </c>
      <c r="F24" s="1">
        <v>42282</v>
      </c>
      <c r="G24" s="1">
        <v>42309</v>
      </c>
      <c r="H24" t="s">
        <v>16</v>
      </c>
      <c r="I24" t="s">
        <v>0</v>
      </c>
      <c r="J24" t="s">
        <v>17</v>
      </c>
      <c r="L24" t="s">
        <v>0</v>
      </c>
      <c r="S24" t="s">
        <v>57</v>
      </c>
    </row>
    <row r="25" spans="1:19" x14ac:dyDescent="0.25">
      <c r="A25" s="1">
        <v>42310</v>
      </c>
      <c r="B25" s="3" t="s">
        <v>5</v>
      </c>
      <c r="F25" s="1">
        <v>42310</v>
      </c>
      <c r="G25" s="1">
        <v>42337</v>
      </c>
      <c r="H25" t="s">
        <v>16</v>
      </c>
      <c r="I25" t="s">
        <v>18</v>
      </c>
      <c r="J25" t="s">
        <v>17</v>
      </c>
      <c r="L25" t="s">
        <v>24</v>
      </c>
    </row>
    <row r="26" spans="1:19" x14ac:dyDescent="0.25">
      <c r="A26" s="1">
        <v>42311</v>
      </c>
      <c r="B26" s="3" t="s">
        <v>13</v>
      </c>
      <c r="F26" s="1">
        <v>42310</v>
      </c>
      <c r="G26" s="1">
        <v>42337</v>
      </c>
      <c r="H26" t="s">
        <v>16</v>
      </c>
      <c r="I26" t="s">
        <v>18</v>
      </c>
      <c r="J26" t="s">
        <v>17</v>
      </c>
      <c r="L26" t="s">
        <v>18</v>
      </c>
    </row>
    <row r="27" spans="1:19" x14ac:dyDescent="0.25">
      <c r="A27" s="1">
        <v>42312</v>
      </c>
      <c r="B27" s="3" t="s">
        <v>11</v>
      </c>
      <c r="F27" s="1">
        <v>42310</v>
      </c>
      <c r="G27" s="1">
        <v>42337</v>
      </c>
      <c r="H27" t="s">
        <v>16</v>
      </c>
      <c r="I27" t="s">
        <v>18</v>
      </c>
      <c r="J27" t="s">
        <v>17</v>
      </c>
      <c r="L27" t="s">
        <v>0</v>
      </c>
    </row>
    <row r="28" spans="1:19" x14ac:dyDescent="0.25">
      <c r="A28" s="1">
        <v>42313</v>
      </c>
      <c r="B28" s="3" t="s">
        <v>13</v>
      </c>
      <c r="F28" s="1">
        <v>42310</v>
      </c>
      <c r="G28" s="1">
        <v>42337</v>
      </c>
      <c r="H28" t="s">
        <v>16</v>
      </c>
      <c r="I28" t="s">
        <v>18</v>
      </c>
      <c r="J28" t="s">
        <v>17</v>
      </c>
      <c r="L28" t="s">
        <v>18</v>
      </c>
    </row>
    <row r="29" spans="1:19" x14ac:dyDescent="0.25">
      <c r="A29" s="1">
        <v>42314</v>
      </c>
      <c r="B29" s="3" t="s">
        <v>5</v>
      </c>
      <c r="F29" s="1">
        <v>42310</v>
      </c>
      <c r="G29" s="1">
        <v>42337</v>
      </c>
      <c r="H29" t="s">
        <v>16</v>
      </c>
      <c r="I29" t="s">
        <v>18</v>
      </c>
      <c r="J29" t="s">
        <v>17</v>
      </c>
      <c r="L29" t="s">
        <v>24</v>
      </c>
    </row>
    <row r="30" spans="1:19" x14ac:dyDescent="0.25">
      <c r="A30" s="1">
        <v>42315</v>
      </c>
      <c r="B30" s="3" t="s">
        <v>13</v>
      </c>
      <c r="F30" s="1">
        <v>42310</v>
      </c>
      <c r="G30" s="1">
        <v>42337</v>
      </c>
      <c r="H30" t="s">
        <v>16</v>
      </c>
      <c r="I30" t="s">
        <v>18</v>
      </c>
      <c r="J30" t="s">
        <v>17</v>
      </c>
      <c r="L30" t="s">
        <v>18</v>
      </c>
    </row>
    <row r="31" spans="1:19" x14ac:dyDescent="0.25">
      <c r="A31" s="1">
        <v>42316</v>
      </c>
      <c r="B31" s="3" t="s">
        <v>11</v>
      </c>
      <c r="F31" s="1">
        <v>42310</v>
      </c>
      <c r="G31" s="1">
        <v>42337</v>
      </c>
      <c r="H31" t="s">
        <v>16</v>
      </c>
      <c r="I31" t="s">
        <v>18</v>
      </c>
      <c r="J31" t="s">
        <v>17</v>
      </c>
      <c r="L31" t="s">
        <v>0</v>
      </c>
    </row>
    <row r="32" spans="1:19" x14ac:dyDescent="0.25">
      <c r="A32" s="1">
        <v>42317</v>
      </c>
      <c r="B32" s="3" t="s">
        <v>13</v>
      </c>
      <c r="F32" s="1">
        <v>42310</v>
      </c>
      <c r="G32" s="1">
        <v>42337</v>
      </c>
      <c r="H32" t="s">
        <v>16</v>
      </c>
      <c r="I32" t="s">
        <v>18</v>
      </c>
      <c r="J32" t="s">
        <v>17</v>
      </c>
      <c r="L32" t="s">
        <v>18</v>
      </c>
    </row>
    <row r="33" spans="1:12" x14ac:dyDescent="0.25">
      <c r="A33" s="1">
        <v>42318</v>
      </c>
      <c r="B33" s="3" t="s">
        <v>5</v>
      </c>
      <c r="F33" s="1">
        <v>42310</v>
      </c>
      <c r="G33" s="1">
        <v>42337</v>
      </c>
      <c r="H33" t="s">
        <v>16</v>
      </c>
      <c r="I33" t="s">
        <v>18</v>
      </c>
      <c r="J33" t="s">
        <v>17</v>
      </c>
      <c r="L33" t="s">
        <v>24</v>
      </c>
    </row>
    <row r="34" spans="1:12" x14ac:dyDescent="0.25">
      <c r="A34" s="1">
        <v>42319</v>
      </c>
      <c r="B34" s="3" t="s">
        <v>13</v>
      </c>
      <c r="F34" s="1">
        <v>42310</v>
      </c>
      <c r="G34" s="1">
        <v>42337</v>
      </c>
      <c r="H34" t="s">
        <v>16</v>
      </c>
      <c r="I34" t="s">
        <v>18</v>
      </c>
      <c r="J34" t="s">
        <v>17</v>
      </c>
      <c r="L34" t="s">
        <v>18</v>
      </c>
    </row>
    <row r="35" spans="1:12" x14ac:dyDescent="0.25">
      <c r="A35" s="1">
        <v>42320</v>
      </c>
      <c r="B35" s="3" t="s">
        <v>11</v>
      </c>
      <c r="F35" s="1">
        <v>42310</v>
      </c>
      <c r="G35" s="1">
        <v>42337</v>
      </c>
      <c r="H35" t="s">
        <v>16</v>
      </c>
      <c r="I35" t="s">
        <v>18</v>
      </c>
      <c r="J35" t="s">
        <v>17</v>
      </c>
      <c r="L35" t="s">
        <v>0</v>
      </c>
    </row>
    <row r="36" spans="1:12" x14ac:dyDescent="0.25">
      <c r="A36" s="1">
        <v>42321</v>
      </c>
      <c r="B36" s="3" t="s">
        <v>13</v>
      </c>
      <c r="F36" s="1">
        <v>42310</v>
      </c>
      <c r="G36" s="1">
        <v>42337</v>
      </c>
      <c r="H36" t="s">
        <v>16</v>
      </c>
      <c r="I36" t="s">
        <v>18</v>
      </c>
      <c r="J36" t="s">
        <v>17</v>
      </c>
      <c r="L36" t="s">
        <v>18</v>
      </c>
    </row>
    <row r="37" spans="1:12" x14ac:dyDescent="0.25">
      <c r="A37" s="1">
        <v>42322</v>
      </c>
      <c r="B37" s="3" t="s">
        <v>5</v>
      </c>
      <c r="F37" s="1">
        <v>42310</v>
      </c>
      <c r="G37" s="1">
        <v>42337</v>
      </c>
      <c r="H37" t="s">
        <v>16</v>
      </c>
      <c r="I37" t="s">
        <v>18</v>
      </c>
      <c r="J37" t="s">
        <v>17</v>
      </c>
      <c r="L37" t="s">
        <v>24</v>
      </c>
    </row>
    <row r="38" spans="1:12" x14ac:dyDescent="0.25">
      <c r="A38" s="1">
        <v>42323</v>
      </c>
      <c r="B38" s="3" t="s">
        <v>13</v>
      </c>
      <c r="F38" s="1">
        <v>42310</v>
      </c>
      <c r="G38" s="1">
        <v>42337</v>
      </c>
      <c r="H38" t="s">
        <v>16</v>
      </c>
      <c r="I38" t="s">
        <v>18</v>
      </c>
      <c r="J38" t="s">
        <v>17</v>
      </c>
      <c r="L38" t="s">
        <v>18</v>
      </c>
    </row>
    <row r="39" spans="1:12" x14ac:dyDescent="0.25">
      <c r="A39" s="1">
        <v>42324</v>
      </c>
      <c r="B39" s="3" t="s">
        <v>11</v>
      </c>
      <c r="F39" s="1">
        <v>42310</v>
      </c>
      <c r="G39" s="1">
        <v>42337</v>
      </c>
      <c r="H39" t="s">
        <v>16</v>
      </c>
      <c r="I39" t="s">
        <v>18</v>
      </c>
      <c r="J39" t="s">
        <v>17</v>
      </c>
      <c r="L39" t="s">
        <v>0</v>
      </c>
    </row>
    <row r="40" spans="1:12" x14ac:dyDescent="0.25">
      <c r="A40" s="1">
        <v>42325</v>
      </c>
      <c r="B40" s="3" t="s">
        <v>13</v>
      </c>
      <c r="F40" s="1">
        <v>42310</v>
      </c>
      <c r="G40" s="1">
        <v>42337</v>
      </c>
      <c r="H40" t="s">
        <v>16</v>
      </c>
      <c r="I40" t="s">
        <v>18</v>
      </c>
      <c r="J40" t="s">
        <v>17</v>
      </c>
      <c r="L40" t="s">
        <v>18</v>
      </c>
    </row>
    <row r="41" spans="1:12" x14ac:dyDescent="0.25">
      <c r="A41" s="1">
        <v>42326</v>
      </c>
      <c r="B41" s="3" t="s">
        <v>5</v>
      </c>
      <c r="F41" s="1">
        <v>42310</v>
      </c>
      <c r="G41" s="1">
        <v>42337</v>
      </c>
      <c r="H41" t="s">
        <v>16</v>
      </c>
      <c r="I41" t="s">
        <v>18</v>
      </c>
      <c r="J41" t="s">
        <v>17</v>
      </c>
      <c r="L41" t="s">
        <v>24</v>
      </c>
    </row>
    <row r="42" spans="1:12" x14ac:dyDescent="0.25">
      <c r="A42" s="1">
        <v>42327</v>
      </c>
      <c r="B42" s="3" t="s">
        <v>13</v>
      </c>
      <c r="F42" s="1">
        <v>42310</v>
      </c>
      <c r="G42" s="1">
        <v>42337</v>
      </c>
      <c r="H42" t="s">
        <v>16</v>
      </c>
      <c r="I42" t="s">
        <v>18</v>
      </c>
      <c r="J42" t="s">
        <v>17</v>
      </c>
      <c r="L42" t="s">
        <v>18</v>
      </c>
    </row>
    <row r="43" spans="1:12" x14ac:dyDescent="0.25">
      <c r="A43" s="1">
        <v>42328</v>
      </c>
      <c r="B43" s="3" t="s">
        <v>11</v>
      </c>
      <c r="F43" s="1">
        <v>42310</v>
      </c>
      <c r="G43" s="1">
        <v>42337</v>
      </c>
      <c r="H43" t="s">
        <v>16</v>
      </c>
      <c r="I43" t="s">
        <v>18</v>
      </c>
      <c r="J43" t="s">
        <v>17</v>
      </c>
      <c r="L43" t="s">
        <v>0</v>
      </c>
    </row>
    <row r="44" spans="1:12" x14ac:dyDescent="0.25">
      <c r="A44" s="1">
        <v>42329</v>
      </c>
      <c r="B44" s="3" t="s">
        <v>13</v>
      </c>
      <c r="F44" s="1">
        <v>42310</v>
      </c>
      <c r="G44" s="1">
        <v>42337</v>
      </c>
      <c r="H44" t="s">
        <v>16</v>
      </c>
      <c r="I44" t="s">
        <v>18</v>
      </c>
      <c r="J44" t="s">
        <v>17</v>
      </c>
      <c r="L44" t="s">
        <v>18</v>
      </c>
    </row>
    <row r="45" spans="1:12" x14ac:dyDescent="0.25">
      <c r="A45" s="1">
        <v>42330</v>
      </c>
      <c r="B45" s="3" t="s">
        <v>5</v>
      </c>
      <c r="F45" s="1">
        <v>42310</v>
      </c>
      <c r="G45" s="1">
        <v>42337</v>
      </c>
      <c r="H45" t="s">
        <v>16</v>
      </c>
      <c r="I45" t="s">
        <v>18</v>
      </c>
      <c r="J45" t="s">
        <v>17</v>
      </c>
      <c r="L45" t="s">
        <v>24</v>
      </c>
    </row>
    <row r="46" spans="1:12" x14ac:dyDescent="0.25">
      <c r="A46" s="1">
        <v>42331</v>
      </c>
      <c r="B46" s="3" t="s">
        <v>13</v>
      </c>
      <c r="F46" s="1">
        <v>42310</v>
      </c>
      <c r="G46" s="1">
        <v>42337</v>
      </c>
      <c r="H46" t="s">
        <v>16</v>
      </c>
      <c r="I46" t="s">
        <v>18</v>
      </c>
      <c r="J46" t="s">
        <v>17</v>
      </c>
      <c r="L46" t="s">
        <v>18</v>
      </c>
    </row>
    <row r="47" spans="1:12" x14ac:dyDescent="0.25">
      <c r="A47" s="1">
        <v>42332</v>
      </c>
      <c r="B47" s="3" t="s">
        <v>11</v>
      </c>
      <c r="F47" s="1">
        <v>42310</v>
      </c>
      <c r="G47" s="1">
        <v>42337</v>
      </c>
      <c r="H47" t="s">
        <v>16</v>
      </c>
      <c r="I47" t="s">
        <v>18</v>
      </c>
      <c r="J47" t="s">
        <v>17</v>
      </c>
      <c r="L47" t="s">
        <v>0</v>
      </c>
    </row>
    <row r="48" spans="1:12" x14ac:dyDescent="0.25">
      <c r="A48" s="1">
        <v>42333</v>
      </c>
      <c r="B48" s="3" t="s">
        <v>13</v>
      </c>
      <c r="F48" s="1">
        <v>42310</v>
      </c>
      <c r="G48" s="1">
        <v>42337</v>
      </c>
      <c r="H48" t="s">
        <v>16</v>
      </c>
      <c r="I48" t="s">
        <v>18</v>
      </c>
      <c r="J48" t="s">
        <v>17</v>
      </c>
      <c r="L48" t="s">
        <v>18</v>
      </c>
    </row>
    <row r="49" spans="1:12" x14ac:dyDescent="0.25">
      <c r="A49" s="1">
        <v>42334</v>
      </c>
      <c r="B49" s="3" t="s">
        <v>5</v>
      </c>
      <c r="F49" s="1">
        <v>42310</v>
      </c>
      <c r="G49" s="1">
        <v>42337</v>
      </c>
      <c r="H49" t="s">
        <v>16</v>
      </c>
      <c r="I49" t="s">
        <v>18</v>
      </c>
      <c r="J49" t="s">
        <v>17</v>
      </c>
      <c r="L49" t="s">
        <v>24</v>
      </c>
    </row>
    <row r="50" spans="1:12" x14ac:dyDescent="0.25">
      <c r="A50" s="1">
        <v>42335</v>
      </c>
      <c r="B50" s="3" t="s">
        <v>13</v>
      </c>
      <c r="F50" s="1">
        <v>42310</v>
      </c>
      <c r="G50" s="1">
        <v>42337</v>
      </c>
      <c r="H50" t="s">
        <v>16</v>
      </c>
      <c r="I50" t="s">
        <v>18</v>
      </c>
      <c r="J50" t="s">
        <v>17</v>
      </c>
      <c r="L50" t="s">
        <v>18</v>
      </c>
    </row>
    <row r="51" spans="1:12" x14ac:dyDescent="0.25">
      <c r="A51" s="1">
        <v>42336</v>
      </c>
      <c r="B51" s="3" t="s">
        <v>11</v>
      </c>
      <c r="F51" s="1">
        <v>42310</v>
      </c>
      <c r="G51" s="1">
        <v>42337</v>
      </c>
      <c r="H51" t="s">
        <v>16</v>
      </c>
      <c r="I51" t="s">
        <v>18</v>
      </c>
      <c r="J51" t="s">
        <v>17</v>
      </c>
      <c r="L51" t="s">
        <v>0</v>
      </c>
    </row>
    <row r="52" spans="1:12" x14ac:dyDescent="0.25">
      <c r="A52" s="1">
        <v>42337</v>
      </c>
      <c r="B52" s="3" t="s">
        <v>13</v>
      </c>
      <c r="F52" s="1">
        <v>42310</v>
      </c>
      <c r="G52" s="1">
        <v>42337</v>
      </c>
      <c r="H52" t="s">
        <v>16</v>
      </c>
      <c r="I52" t="s">
        <v>18</v>
      </c>
      <c r="J52" t="s">
        <v>17</v>
      </c>
      <c r="L52" t="s">
        <v>18</v>
      </c>
    </row>
    <row r="53" spans="1:12" x14ac:dyDescent="0.25">
      <c r="A53" s="1">
        <v>42338</v>
      </c>
      <c r="B53" s="3" t="s">
        <v>5</v>
      </c>
      <c r="F53" s="1">
        <v>42338</v>
      </c>
      <c r="G53" s="1">
        <v>42365</v>
      </c>
      <c r="H53" t="s">
        <v>16</v>
      </c>
      <c r="I53" t="s">
        <v>19</v>
      </c>
      <c r="J53" t="s">
        <v>17</v>
      </c>
      <c r="L53" t="s">
        <v>25</v>
      </c>
    </row>
    <row r="54" spans="1:12" x14ac:dyDescent="0.25">
      <c r="A54" s="1">
        <v>42339</v>
      </c>
      <c r="B54" s="3" t="s">
        <v>13</v>
      </c>
      <c r="F54" s="1">
        <v>42338</v>
      </c>
      <c r="G54" s="1">
        <v>42365</v>
      </c>
      <c r="H54" t="s">
        <v>16</v>
      </c>
      <c r="I54" t="s">
        <v>19</v>
      </c>
      <c r="J54" t="s">
        <v>17</v>
      </c>
      <c r="L54" t="s">
        <v>19</v>
      </c>
    </row>
    <row r="55" spans="1:12" x14ac:dyDescent="0.25">
      <c r="A55" s="1">
        <v>42340</v>
      </c>
      <c r="B55" s="3" t="s">
        <v>11</v>
      </c>
      <c r="F55" s="1">
        <v>42338</v>
      </c>
      <c r="G55" s="1">
        <v>42365</v>
      </c>
      <c r="H55" t="s">
        <v>16</v>
      </c>
      <c r="I55" t="s">
        <v>19</v>
      </c>
      <c r="J55" t="s">
        <v>17</v>
      </c>
      <c r="L55" t="s">
        <v>18</v>
      </c>
    </row>
    <row r="56" spans="1:12" x14ac:dyDescent="0.25">
      <c r="A56" s="1">
        <v>42341</v>
      </c>
      <c r="B56" s="3" t="s">
        <v>13</v>
      </c>
      <c r="F56" s="1">
        <v>42338</v>
      </c>
      <c r="G56" s="1">
        <v>42365</v>
      </c>
      <c r="H56" t="s">
        <v>16</v>
      </c>
      <c r="I56" t="s">
        <v>19</v>
      </c>
      <c r="J56" t="s">
        <v>17</v>
      </c>
      <c r="L56" t="s">
        <v>19</v>
      </c>
    </row>
    <row r="57" spans="1:12" x14ac:dyDescent="0.25">
      <c r="A57" s="1">
        <v>42342</v>
      </c>
      <c r="B57" s="3" t="s">
        <v>5</v>
      </c>
      <c r="F57" s="1">
        <v>42338</v>
      </c>
      <c r="G57" s="1">
        <v>42365</v>
      </c>
      <c r="H57" t="s">
        <v>16</v>
      </c>
      <c r="I57" t="s">
        <v>19</v>
      </c>
      <c r="J57" t="s">
        <v>17</v>
      </c>
      <c r="L57" t="s">
        <v>25</v>
      </c>
    </row>
    <row r="58" spans="1:12" x14ac:dyDescent="0.25">
      <c r="A58" s="1">
        <v>42343</v>
      </c>
      <c r="B58" s="3" t="s">
        <v>13</v>
      </c>
      <c r="F58" s="1">
        <v>42338</v>
      </c>
      <c r="G58" s="1">
        <v>42365</v>
      </c>
      <c r="H58" t="s">
        <v>16</v>
      </c>
      <c r="I58" t="s">
        <v>19</v>
      </c>
      <c r="J58" t="s">
        <v>17</v>
      </c>
      <c r="L58" t="s">
        <v>19</v>
      </c>
    </row>
    <row r="59" spans="1:12" x14ac:dyDescent="0.25">
      <c r="A59" s="1">
        <v>42344</v>
      </c>
      <c r="B59" s="3" t="s">
        <v>11</v>
      </c>
      <c r="F59" s="1">
        <v>42338</v>
      </c>
      <c r="G59" s="1">
        <v>42365</v>
      </c>
      <c r="H59" t="s">
        <v>16</v>
      </c>
      <c r="I59" t="s">
        <v>19</v>
      </c>
      <c r="J59" t="s">
        <v>17</v>
      </c>
      <c r="L59" t="s">
        <v>18</v>
      </c>
    </row>
    <row r="60" spans="1:12" x14ac:dyDescent="0.25">
      <c r="A60" s="1">
        <v>42345</v>
      </c>
      <c r="B60" s="3" t="s">
        <v>13</v>
      </c>
      <c r="F60" s="1">
        <v>42338</v>
      </c>
      <c r="G60" s="1">
        <v>42365</v>
      </c>
      <c r="H60" t="s">
        <v>16</v>
      </c>
      <c r="I60" t="s">
        <v>19</v>
      </c>
      <c r="J60" t="s">
        <v>17</v>
      </c>
      <c r="L60" t="s">
        <v>19</v>
      </c>
    </row>
    <row r="61" spans="1:12" x14ac:dyDescent="0.25">
      <c r="A61" s="1">
        <v>42346</v>
      </c>
      <c r="B61" s="3" t="s">
        <v>5</v>
      </c>
      <c r="F61" s="1">
        <v>42338</v>
      </c>
      <c r="G61" s="1">
        <v>42365</v>
      </c>
      <c r="H61" t="s">
        <v>16</v>
      </c>
      <c r="I61" t="s">
        <v>19</v>
      </c>
      <c r="J61" t="s">
        <v>17</v>
      </c>
      <c r="L61" t="s">
        <v>25</v>
      </c>
    </row>
    <row r="62" spans="1:12" x14ac:dyDescent="0.25">
      <c r="A62" s="1">
        <v>42347</v>
      </c>
      <c r="B62" s="3" t="s">
        <v>13</v>
      </c>
      <c r="F62" s="1">
        <v>42338</v>
      </c>
      <c r="G62" s="1">
        <v>42365</v>
      </c>
      <c r="H62" t="s">
        <v>16</v>
      </c>
      <c r="I62" t="s">
        <v>19</v>
      </c>
      <c r="J62" t="s">
        <v>17</v>
      </c>
      <c r="L62" t="s">
        <v>19</v>
      </c>
    </row>
    <row r="63" spans="1:12" x14ac:dyDescent="0.25">
      <c r="A63" s="1">
        <v>42348</v>
      </c>
      <c r="B63" s="3" t="s">
        <v>11</v>
      </c>
      <c r="F63" s="1">
        <v>42338</v>
      </c>
      <c r="G63" s="1">
        <v>42365</v>
      </c>
      <c r="H63" t="s">
        <v>16</v>
      </c>
      <c r="I63" t="s">
        <v>19</v>
      </c>
      <c r="J63" t="s">
        <v>17</v>
      </c>
      <c r="L63" t="s">
        <v>18</v>
      </c>
    </row>
    <row r="64" spans="1:12" x14ac:dyDescent="0.25">
      <c r="A64" s="1">
        <v>42349</v>
      </c>
      <c r="B64" s="3" t="s">
        <v>13</v>
      </c>
      <c r="F64" s="1">
        <v>42338</v>
      </c>
      <c r="G64" s="1">
        <v>42365</v>
      </c>
      <c r="H64" t="s">
        <v>16</v>
      </c>
      <c r="I64" t="s">
        <v>19</v>
      </c>
      <c r="J64" t="s">
        <v>17</v>
      </c>
      <c r="L64" t="s">
        <v>19</v>
      </c>
    </row>
    <row r="65" spans="1:12" x14ac:dyDescent="0.25">
      <c r="A65" s="1">
        <v>42350</v>
      </c>
      <c r="B65" s="3" t="s">
        <v>5</v>
      </c>
      <c r="F65" s="1">
        <v>42338</v>
      </c>
      <c r="G65" s="1">
        <v>42365</v>
      </c>
      <c r="H65" t="s">
        <v>16</v>
      </c>
      <c r="I65" t="s">
        <v>19</v>
      </c>
      <c r="J65" t="s">
        <v>17</v>
      </c>
      <c r="L65" t="s">
        <v>25</v>
      </c>
    </row>
    <row r="66" spans="1:12" x14ac:dyDescent="0.25">
      <c r="A66" s="1">
        <v>42351</v>
      </c>
      <c r="B66" s="3" t="s">
        <v>13</v>
      </c>
      <c r="F66" s="1">
        <v>42338</v>
      </c>
      <c r="G66" s="1">
        <v>42365</v>
      </c>
      <c r="H66" t="s">
        <v>16</v>
      </c>
      <c r="I66" t="s">
        <v>19</v>
      </c>
      <c r="J66" t="s">
        <v>17</v>
      </c>
      <c r="L66" t="s">
        <v>19</v>
      </c>
    </row>
    <row r="67" spans="1:12" x14ac:dyDescent="0.25">
      <c r="A67" s="1">
        <v>42352</v>
      </c>
      <c r="B67" s="3" t="s">
        <v>11</v>
      </c>
      <c r="F67" s="1">
        <v>42338</v>
      </c>
      <c r="G67" s="1">
        <v>42365</v>
      </c>
      <c r="H67" t="s">
        <v>16</v>
      </c>
      <c r="I67" t="s">
        <v>19</v>
      </c>
      <c r="J67" t="s">
        <v>17</v>
      </c>
      <c r="L67" t="s">
        <v>18</v>
      </c>
    </row>
    <row r="68" spans="1:12" x14ac:dyDescent="0.25">
      <c r="A68" s="1">
        <v>42353</v>
      </c>
      <c r="B68" s="3" t="s">
        <v>13</v>
      </c>
      <c r="F68" s="1">
        <v>42338</v>
      </c>
      <c r="G68" s="1">
        <v>42365</v>
      </c>
      <c r="H68" t="s">
        <v>16</v>
      </c>
      <c r="I68" t="s">
        <v>19</v>
      </c>
      <c r="J68" t="s">
        <v>17</v>
      </c>
      <c r="L68" t="s">
        <v>19</v>
      </c>
    </row>
    <row r="69" spans="1:12" x14ac:dyDescent="0.25">
      <c r="A69" s="1">
        <v>42354</v>
      </c>
      <c r="B69" s="3" t="s">
        <v>5</v>
      </c>
      <c r="F69" s="1">
        <v>42338</v>
      </c>
      <c r="G69" s="1">
        <v>42365</v>
      </c>
      <c r="H69" t="s">
        <v>16</v>
      </c>
      <c r="I69" t="s">
        <v>19</v>
      </c>
      <c r="J69" t="s">
        <v>17</v>
      </c>
      <c r="L69" t="s">
        <v>25</v>
      </c>
    </row>
    <row r="70" spans="1:12" x14ac:dyDescent="0.25">
      <c r="A70" s="1">
        <v>42355</v>
      </c>
      <c r="B70" s="3" t="s">
        <v>13</v>
      </c>
      <c r="F70" s="1">
        <v>42338</v>
      </c>
      <c r="G70" s="1">
        <v>42365</v>
      </c>
      <c r="H70" t="s">
        <v>16</v>
      </c>
      <c r="I70" t="s">
        <v>19</v>
      </c>
      <c r="J70" t="s">
        <v>17</v>
      </c>
      <c r="L70" t="s">
        <v>19</v>
      </c>
    </row>
    <row r="71" spans="1:12" x14ac:dyDescent="0.25">
      <c r="A71" s="1">
        <v>42356</v>
      </c>
      <c r="B71" s="3" t="s">
        <v>11</v>
      </c>
      <c r="F71" s="1">
        <v>42338</v>
      </c>
      <c r="G71" s="1">
        <v>42365</v>
      </c>
      <c r="H71" t="s">
        <v>16</v>
      </c>
      <c r="I71" t="s">
        <v>19</v>
      </c>
      <c r="J71" t="s">
        <v>17</v>
      </c>
      <c r="L71" t="s">
        <v>18</v>
      </c>
    </row>
    <row r="72" spans="1:12" x14ac:dyDescent="0.25">
      <c r="A72" s="1">
        <v>42357</v>
      </c>
      <c r="B72" s="3" t="s">
        <v>13</v>
      </c>
      <c r="F72" s="1">
        <v>42338</v>
      </c>
      <c r="G72" s="1">
        <v>42365</v>
      </c>
      <c r="H72" t="s">
        <v>16</v>
      </c>
      <c r="I72" t="s">
        <v>19</v>
      </c>
      <c r="J72" t="s">
        <v>17</v>
      </c>
      <c r="L72" t="s">
        <v>19</v>
      </c>
    </row>
    <row r="73" spans="1:12" x14ac:dyDescent="0.25">
      <c r="A73" s="1">
        <v>42358</v>
      </c>
      <c r="B73" s="3" t="s">
        <v>5</v>
      </c>
      <c r="F73" s="1">
        <v>42338</v>
      </c>
      <c r="G73" s="1">
        <v>42365</v>
      </c>
      <c r="H73" t="s">
        <v>16</v>
      </c>
      <c r="I73" t="s">
        <v>19</v>
      </c>
      <c r="J73" t="s">
        <v>17</v>
      </c>
      <c r="L73" t="s">
        <v>25</v>
      </c>
    </row>
    <row r="74" spans="1:12" x14ac:dyDescent="0.25">
      <c r="A74" s="1">
        <v>42359</v>
      </c>
      <c r="B74" s="3" t="s">
        <v>13</v>
      </c>
      <c r="F74" s="1">
        <v>42338</v>
      </c>
      <c r="G74" s="1">
        <v>42365</v>
      </c>
      <c r="H74" t="s">
        <v>16</v>
      </c>
      <c r="I74" t="s">
        <v>19</v>
      </c>
      <c r="J74" t="s">
        <v>17</v>
      </c>
      <c r="L74" t="s">
        <v>19</v>
      </c>
    </row>
    <row r="75" spans="1:12" x14ac:dyDescent="0.25">
      <c r="A75" s="1">
        <v>42360</v>
      </c>
      <c r="B75" s="3" t="s">
        <v>11</v>
      </c>
      <c r="F75" s="1">
        <v>42338</v>
      </c>
      <c r="G75" s="1">
        <v>42365</v>
      </c>
      <c r="H75" t="s">
        <v>16</v>
      </c>
      <c r="I75" t="s">
        <v>19</v>
      </c>
      <c r="J75" t="s">
        <v>17</v>
      </c>
      <c r="L75" t="s">
        <v>18</v>
      </c>
    </row>
    <row r="76" spans="1:12" x14ac:dyDescent="0.25">
      <c r="A76" s="1">
        <v>42361</v>
      </c>
      <c r="B76" s="3" t="s">
        <v>13</v>
      </c>
      <c r="F76" s="1">
        <v>42338</v>
      </c>
      <c r="G76" s="1">
        <v>42365</v>
      </c>
      <c r="H76" t="s">
        <v>16</v>
      </c>
      <c r="I76" t="s">
        <v>19</v>
      </c>
      <c r="J76" t="s">
        <v>17</v>
      </c>
      <c r="L76" t="s">
        <v>19</v>
      </c>
    </row>
    <row r="77" spans="1:12" x14ac:dyDescent="0.25">
      <c r="A77" s="1">
        <v>42362</v>
      </c>
      <c r="B77" s="3" t="s">
        <v>5</v>
      </c>
      <c r="F77" s="1">
        <v>42338</v>
      </c>
      <c r="G77" s="1">
        <v>42365</v>
      </c>
      <c r="H77" t="s">
        <v>16</v>
      </c>
      <c r="I77" t="s">
        <v>19</v>
      </c>
      <c r="J77" t="s">
        <v>17</v>
      </c>
      <c r="L77" t="s">
        <v>25</v>
      </c>
    </row>
    <row r="78" spans="1:12" x14ac:dyDescent="0.25">
      <c r="A78" s="1">
        <v>42363</v>
      </c>
      <c r="B78" s="3" t="s">
        <v>13</v>
      </c>
      <c r="F78" s="1">
        <v>42338</v>
      </c>
      <c r="G78" s="1">
        <v>42365</v>
      </c>
      <c r="H78" t="s">
        <v>16</v>
      </c>
      <c r="I78" t="s">
        <v>19</v>
      </c>
      <c r="J78" t="s">
        <v>17</v>
      </c>
      <c r="L78" t="s">
        <v>19</v>
      </c>
    </row>
    <row r="79" spans="1:12" x14ac:dyDescent="0.25">
      <c r="A79" s="1">
        <v>42364</v>
      </c>
      <c r="B79" s="3" t="s">
        <v>11</v>
      </c>
      <c r="F79" s="1">
        <v>42338</v>
      </c>
      <c r="G79" s="1">
        <v>42365</v>
      </c>
      <c r="H79" t="s">
        <v>16</v>
      </c>
      <c r="I79" t="s">
        <v>19</v>
      </c>
      <c r="J79" t="s">
        <v>17</v>
      </c>
      <c r="L79" t="s">
        <v>18</v>
      </c>
    </row>
    <row r="80" spans="1:12" x14ac:dyDescent="0.25">
      <c r="A80" s="1">
        <v>42365</v>
      </c>
      <c r="B80" s="3" t="s">
        <v>13</v>
      </c>
      <c r="F80" s="1">
        <v>42338</v>
      </c>
      <c r="G80" s="1">
        <v>42365</v>
      </c>
      <c r="H80" t="s">
        <v>16</v>
      </c>
      <c r="I80" t="s">
        <v>19</v>
      </c>
      <c r="J80" t="s">
        <v>17</v>
      </c>
      <c r="L80" t="s">
        <v>19</v>
      </c>
    </row>
    <row r="81" spans="1:12" x14ac:dyDescent="0.25">
      <c r="A81" s="1">
        <v>42366</v>
      </c>
      <c r="B81" s="3" t="s">
        <v>5</v>
      </c>
      <c r="F81" s="1">
        <v>42366</v>
      </c>
      <c r="G81" s="1">
        <v>42393</v>
      </c>
      <c r="H81" t="s">
        <v>31</v>
      </c>
      <c r="I81" t="s">
        <v>32</v>
      </c>
      <c r="J81" t="s">
        <v>32</v>
      </c>
      <c r="L81" t="s">
        <v>30</v>
      </c>
    </row>
    <row r="82" spans="1:12" x14ac:dyDescent="0.25">
      <c r="A82" s="1">
        <v>42367</v>
      </c>
      <c r="B82" s="3" t="s">
        <v>13</v>
      </c>
      <c r="F82" s="1">
        <v>42366</v>
      </c>
      <c r="G82" s="1">
        <v>42393</v>
      </c>
      <c r="H82" t="s">
        <v>31</v>
      </c>
      <c r="I82" t="s">
        <v>32</v>
      </c>
      <c r="J82" t="s">
        <v>32</v>
      </c>
      <c r="L82" t="s">
        <v>20</v>
      </c>
    </row>
    <row r="83" spans="1:12" x14ac:dyDescent="0.25">
      <c r="A83" s="1">
        <v>42368</v>
      </c>
      <c r="B83" s="3" t="s">
        <v>11</v>
      </c>
      <c r="F83" s="1">
        <v>42366</v>
      </c>
      <c r="G83" s="1">
        <v>42393</v>
      </c>
      <c r="H83" t="s">
        <v>31</v>
      </c>
      <c r="I83" t="s">
        <v>32</v>
      </c>
      <c r="J83" t="s">
        <v>32</v>
      </c>
      <c r="L83" t="s">
        <v>19</v>
      </c>
    </row>
    <row r="84" spans="1:12" x14ac:dyDescent="0.25">
      <c r="A84" s="1">
        <v>42369</v>
      </c>
      <c r="B84" s="3" t="s">
        <v>13</v>
      </c>
      <c r="F84" s="1">
        <v>42366</v>
      </c>
      <c r="G84" s="1">
        <v>42393</v>
      </c>
      <c r="H84" t="s">
        <v>31</v>
      </c>
      <c r="I84" t="s">
        <v>32</v>
      </c>
      <c r="J84" t="s">
        <v>32</v>
      </c>
      <c r="L84" t="s">
        <v>20</v>
      </c>
    </row>
    <row r="85" spans="1:12" x14ac:dyDescent="0.25">
      <c r="A85" s="1">
        <v>42370</v>
      </c>
      <c r="B85" s="3" t="s">
        <v>5</v>
      </c>
      <c r="F85" s="1">
        <v>42366</v>
      </c>
      <c r="G85" s="1">
        <v>42393</v>
      </c>
      <c r="H85" t="s">
        <v>31</v>
      </c>
      <c r="I85" t="s">
        <v>32</v>
      </c>
      <c r="J85" t="s">
        <v>32</v>
      </c>
      <c r="L85" t="s">
        <v>30</v>
      </c>
    </row>
    <row r="86" spans="1:12" x14ac:dyDescent="0.25">
      <c r="A86" s="1">
        <v>42371</v>
      </c>
      <c r="B86" s="3" t="s">
        <v>13</v>
      </c>
      <c r="F86" s="1">
        <v>42366</v>
      </c>
      <c r="G86" s="1">
        <v>42393</v>
      </c>
      <c r="H86" t="s">
        <v>31</v>
      </c>
      <c r="I86" t="s">
        <v>32</v>
      </c>
      <c r="J86" t="s">
        <v>32</v>
      </c>
      <c r="L86" t="s">
        <v>20</v>
      </c>
    </row>
    <row r="87" spans="1:12" x14ac:dyDescent="0.25">
      <c r="A87" s="1">
        <v>42372</v>
      </c>
      <c r="B87" s="3" t="s">
        <v>11</v>
      </c>
      <c r="F87" s="1">
        <v>42366</v>
      </c>
      <c r="G87" s="1">
        <v>42393</v>
      </c>
      <c r="H87" t="s">
        <v>31</v>
      </c>
      <c r="I87" t="s">
        <v>32</v>
      </c>
      <c r="J87" t="s">
        <v>32</v>
      </c>
      <c r="L87" t="s">
        <v>19</v>
      </c>
    </row>
    <row r="88" spans="1:12" x14ac:dyDescent="0.25">
      <c r="A88" s="1">
        <v>42373</v>
      </c>
      <c r="B88" s="3" t="s">
        <v>13</v>
      </c>
      <c r="F88" s="1">
        <v>42366</v>
      </c>
      <c r="G88" s="1">
        <v>42393</v>
      </c>
      <c r="H88" t="s">
        <v>31</v>
      </c>
      <c r="I88" t="s">
        <v>32</v>
      </c>
      <c r="J88" t="s">
        <v>32</v>
      </c>
      <c r="L88" t="s">
        <v>20</v>
      </c>
    </row>
    <row r="89" spans="1:12" x14ac:dyDescent="0.25">
      <c r="A89" s="1">
        <v>42374</v>
      </c>
      <c r="B89" s="3" t="s">
        <v>5</v>
      </c>
      <c r="F89" s="1">
        <v>42366</v>
      </c>
      <c r="G89" s="1">
        <v>42393</v>
      </c>
      <c r="H89" t="s">
        <v>31</v>
      </c>
      <c r="I89" t="s">
        <v>32</v>
      </c>
      <c r="J89" t="s">
        <v>32</v>
      </c>
      <c r="L89" t="s">
        <v>30</v>
      </c>
    </row>
    <row r="90" spans="1:12" x14ac:dyDescent="0.25">
      <c r="A90" s="1">
        <v>42375</v>
      </c>
      <c r="B90" s="3" t="s">
        <v>13</v>
      </c>
      <c r="F90" s="1">
        <v>42366</v>
      </c>
      <c r="G90" s="1">
        <v>42393</v>
      </c>
      <c r="H90" t="s">
        <v>31</v>
      </c>
      <c r="I90" t="s">
        <v>32</v>
      </c>
      <c r="J90" t="s">
        <v>32</v>
      </c>
      <c r="L90" t="s">
        <v>20</v>
      </c>
    </row>
    <row r="91" spans="1:12" x14ac:dyDescent="0.25">
      <c r="A91" s="1">
        <v>42376</v>
      </c>
      <c r="B91" s="3" t="s">
        <v>11</v>
      </c>
      <c r="F91" s="1">
        <v>42366</v>
      </c>
      <c r="G91" s="1">
        <v>42393</v>
      </c>
      <c r="H91" t="s">
        <v>31</v>
      </c>
      <c r="I91" t="s">
        <v>32</v>
      </c>
      <c r="J91" t="s">
        <v>32</v>
      </c>
      <c r="L91" t="s">
        <v>19</v>
      </c>
    </row>
    <row r="92" spans="1:12" x14ac:dyDescent="0.25">
      <c r="A92" s="1">
        <v>42377</v>
      </c>
      <c r="B92" s="3" t="s">
        <v>13</v>
      </c>
      <c r="F92" s="1">
        <v>42366</v>
      </c>
      <c r="G92" s="1">
        <v>42393</v>
      </c>
      <c r="H92" t="s">
        <v>31</v>
      </c>
      <c r="I92" t="s">
        <v>32</v>
      </c>
      <c r="J92" t="s">
        <v>32</v>
      </c>
      <c r="L92" t="s">
        <v>20</v>
      </c>
    </row>
    <row r="93" spans="1:12" x14ac:dyDescent="0.25">
      <c r="A93" s="1">
        <v>42378</v>
      </c>
      <c r="B93" s="3" t="s">
        <v>5</v>
      </c>
      <c r="F93" s="1">
        <v>42366</v>
      </c>
      <c r="G93" s="1">
        <v>42393</v>
      </c>
      <c r="H93" t="s">
        <v>31</v>
      </c>
      <c r="I93" t="s">
        <v>32</v>
      </c>
      <c r="J93" t="s">
        <v>32</v>
      </c>
      <c r="L93" t="s">
        <v>30</v>
      </c>
    </row>
    <row r="94" spans="1:12" x14ac:dyDescent="0.25">
      <c r="A94" s="1">
        <v>42379</v>
      </c>
      <c r="B94" s="3" t="s">
        <v>13</v>
      </c>
      <c r="F94" s="1">
        <v>42366</v>
      </c>
      <c r="G94" s="1">
        <v>42393</v>
      </c>
      <c r="H94" t="s">
        <v>31</v>
      </c>
      <c r="I94" t="s">
        <v>32</v>
      </c>
      <c r="J94" t="s">
        <v>32</v>
      </c>
      <c r="L94" t="s">
        <v>20</v>
      </c>
    </row>
    <row r="95" spans="1:12" x14ac:dyDescent="0.25">
      <c r="A95" s="1">
        <v>42380</v>
      </c>
      <c r="B95" s="3" t="s">
        <v>11</v>
      </c>
      <c r="F95" s="1">
        <v>42366</v>
      </c>
      <c r="G95" s="1">
        <v>42393</v>
      </c>
      <c r="H95" t="s">
        <v>31</v>
      </c>
      <c r="I95" t="s">
        <v>32</v>
      </c>
      <c r="J95" t="s">
        <v>32</v>
      </c>
      <c r="L95" t="s">
        <v>19</v>
      </c>
    </row>
    <row r="96" spans="1:12" x14ac:dyDescent="0.25">
      <c r="A96" s="1">
        <v>42381</v>
      </c>
      <c r="B96" s="3" t="s">
        <v>13</v>
      </c>
      <c r="F96" s="1">
        <v>42366</v>
      </c>
      <c r="G96" s="1">
        <v>42393</v>
      </c>
      <c r="H96" t="s">
        <v>31</v>
      </c>
      <c r="I96" t="s">
        <v>32</v>
      </c>
      <c r="J96" t="s">
        <v>32</v>
      </c>
      <c r="L96" t="s">
        <v>20</v>
      </c>
    </row>
    <row r="97" spans="1:12" x14ac:dyDescent="0.25">
      <c r="A97" s="1">
        <v>42382</v>
      </c>
      <c r="B97" s="3" t="s">
        <v>5</v>
      </c>
      <c r="F97" s="1">
        <v>42366</v>
      </c>
      <c r="G97" s="1">
        <v>42393</v>
      </c>
      <c r="H97" t="s">
        <v>31</v>
      </c>
      <c r="I97" t="s">
        <v>32</v>
      </c>
      <c r="J97" t="s">
        <v>32</v>
      </c>
      <c r="L97" t="s">
        <v>30</v>
      </c>
    </row>
    <row r="98" spans="1:12" x14ac:dyDescent="0.25">
      <c r="A98" s="1">
        <v>42383</v>
      </c>
      <c r="B98" s="3" t="s">
        <v>13</v>
      </c>
      <c r="F98" s="1">
        <v>42366</v>
      </c>
      <c r="G98" s="1">
        <v>42393</v>
      </c>
      <c r="H98" t="s">
        <v>31</v>
      </c>
      <c r="I98" t="s">
        <v>32</v>
      </c>
      <c r="J98" t="s">
        <v>32</v>
      </c>
      <c r="L98" t="s">
        <v>20</v>
      </c>
    </row>
    <row r="99" spans="1:12" x14ac:dyDescent="0.25">
      <c r="A99" s="1">
        <v>42384</v>
      </c>
      <c r="B99" s="3" t="s">
        <v>11</v>
      </c>
      <c r="F99" s="1">
        <v>42366</v>
      </c>
      <c r="G99" s="1">
        <v>42393</v>
      </c>
      <c r="H99" t="s">
        <v>31</v>
      </c>
      <c r="I99" t="s">
        <v>32</v>
      </c>
      <c r="J99" t="s">
        <v>32</v>
      </c>
      <c r="L99" t="s">
        <v>19</v>
      </c>
    </row>
    <row r="100" spans="1:12" x14ac:dyDescent="0.25">
      <c r="A100" s="1">
        <v>42385</v>
      </c>
      <c r="B100" s="3" t="s">
        <v>13</v>
      </c>
      <c r="F100" s="1">
        <v>42366</v>
      </c>
      <c r="G100" s="1">
        <v>42393</v>
      </c>
      <c r="H100" t="s">
        <v>31</v>
      </c>
      <c r="I100" t="s">
        <v>32</v>
      </c>
      <c r="J100" t="s">
        <v>32</v>
      </c>
      <c r="L100" t="s">
        <v>20</v>
      </c>
    </row>
    <row r="101" spans="1:12" x14ac:dyDescent="0.25">
      <c r="A101" s="1">
        <v>42386</v>
      </c>
      <c r="B101" s="3" t="s">
        <v>5</v>
      </c>
      <c r="F101" s="1">
        <v>42366</v>
      </c>
      <c r="G101" s="1">
        <v>42393</v>
      </c>
      <c r="H101" t="s">
        <v>31</v>
      </c>
      <c r="I101" t="s">
        <v>32</v>
      </c>
      <c r="J101" t="s">
        <v>32</v>
      </c>
      <c r="L101" t="s">
        <v>30</v>
      </c>
    </row>
    <row r="102" spans="1:12" x14ac:dyDescent="0.25">
      <c r="A102" s="1">
        <v>42387</v>
      </c>
      <c r="B102" s="3" t="s">
        <v>13</v>
      </c>
      <c r="F102" s="1">
        <v>42366</v>
      </c>
      <c r="G102" s="1">
        <v>42393</v>
      </c>
      <c r="H102" t="s">
        <v>31</v>
      </c>
      <c r="I102" t="s">
        <v>32</v>
      </c>
      <c r="J102" t="s">
        <v>32</v>
      </c>
      <c r="L102" t="s">
        <v>20</v>
      </c>
    </row>
    <row r="103" spans="1:12" x14ac:dyDescent="0.25">
      <c r="A103" s="1">
        <v>42388</v>
      </c>
      <c r="B103" s="3" t="s">
        <v>11</v>
      </c>
      <c r="F103" s="1">
        <v>42366</v>
      </c>
      <c r="G103" s="1">
        <v>42393</v>
      </c>
      <c r="H103" t="s">
        <v>31</v>
      </c>
      <c r="I103" t="s">
        <v>32</v>
      </c>
      <c r="J103" t="s">
        <v>32</v>
      </c>
      <c r="L103" t="s">
        <v>19</v>
      </c>
    </row>
    <row r="104" spans="1:12" x14ac:dyDescent="0.25">
      <c r="A104" s="1">
        <v>42389</v>
      </c>
      <c r="B104" s="3" t="s">
        <v>13</v>
      </c>
      <c r="F104" s="1">
        <v>42366</v>
      </c>
      <c r="G104" s="1">
        <v>42393</v>
      </c>
      <c r="H104" t="s">
        <v>31</v>
      </c>
      <c r="I104" t="s">
        <v>32</v>
      </c>
      <c r="J104" t="s">
        <v>32</v>
      </c>
      <c r="L104" t="s">
        <v>20</v>
      </c>
    </row>
    <row r="105" spans="1:12" x14ac:dyDescent="0.25">
      <c r="A105" s="1">
        <v>42390</v>
      </c>
      <c r="B105" s="3" t="s">
        <v>5</v>
      </c>
      <c r="F105" s="1">
        <v>42366</v>
      </c>
      <c r="G105" s="1">
        <v>42393</v>
      </c>
      <c r="H105" t="s">
        <v>31</v>
      </c>
      <c r="I105" t="s">
        <v>32</v>
      </c>
      <c r="J105" t="s">
        <v>32</v>
      </c>
      <c r="L105" t="s">
        <v>30</v>
      </c>
    </row>
    <row r="106" spans="1:12" x14ac:dyDescent="0.25">
      <c r="A106" s="1">
        <v>42391</v>
      </c>
      <c r="B106" s="3" t="s">
        <v>13</v>
      </c>
      <c r="F106" s="1">
        <v>42366</v>
      </c>
      <c r="G106" s="1">
        <v>42393</v>
      </c>
      <c r="H106" t="s">
        <v>31</v>
      </c>
      <c r="I106" t="s">
        <v>32</v>
      </c>
      <c r="J106" t="s">
        <v>32</v>
      </c>
      <c r="L106" t="s">
        <v>20</v>
      </c>
    </row>
    <row r="107" spans="1:12" x14ac:dyDescent="0.25">
      <c r="A107" s="1">
        <v>42392</v>
      </c>
      <c r="B107" s="3" t="s">
        <v>11</v>
      </c>
      <c r="F107" s="1">
        <v>42366</v>
      </c>
      <c r="G107" s="1">
        <v>42393</v>
      </c>
      <c r="H107" t="s">
        <v>31</v>
      </c>
      <c r="I107" t="s">
        <v>32</v>
      </c>
      <c r="J107" t="s">
        <v>32</v>
      </c>
      <c r="L107" t="s">
        <v>19</v>
      </c>
    </row>
    <row r="108" spans="1:12" x14ac:dyDescent="0.25">
      <c r="A108" s="1">
        <v>42393</v>
      </c>
      <c r="B108" s="3" t="s">
        <v>13</v>
      </c>
      <c r="F108" s="1">
        <v>42366</v>
      </c>
      <c r="G108" s="1">
        <v>42393</v>
      </c>
      <c r="H108" t="s">
        <v>31</v>
      </c>
      <c r="I108" t="s">
        <v>32</v>
      </c>
      <c r="J108" t="s">
        <v>32</v>
      </c>
      <c r="L108" t="s">
        <v>20</v>
      </c>
    </row>
    <row r="109" spans="1:12" x14ac:dyDescent="0.25">
      <c r="A109" s="1">
        <v>42394</v>
      </c>
      <c r="B109" s="3" t="s">
        <v>5</v>
      </c>
      <c r="F109" s="1">
        <v>42394</v>
      </c>
      <c r="G109" s="1">
        <v>42421</v>
      </c>
      <c r="H109" t="s">
        <v>31</v>
      </c>
      <c r="I109" t="s">
        <v>35</v>
      </c>
      <c r="J109" t="s">
        <v>32</v>
      </c>
      <c r="L109" t="s">
        <v>34</v>
      </c>
    </row>
    <row r="110" spans="1:12" x14ac:dyDescent="0.25">
      <c r="A110" s="1">
        <v>42395</v>
      </c>
      <c r="B110" s="3" t="s">
        <v>13</v>
      </c>
      <c r="F110" s="1">
        <v>42394</v>
      </c>
      <c r="G110" s="1">
        <v>42421</v>
      </c>
      <c r="H110" t="s">
        <v>31</v>
      </c>
      <c r="I110" t="s">
        <v>35</v>
      </c>
      <c r="J110" t="s">
        <v>32</v>
      </c>
      <c r="L110" t="s">
        <v>36</v>
      </c>
    </row>
    <row r="111" spans="1:12" x14ac:dyDescent="0.25">
      <c r="A111" s="1">
        <v>42396</v>
      </c>
      <c r="B111" s="3" t="s">
        <v>11</v>
      </c>
      <c r="F111" s="1">
        <v>42394</v>
      </c>
      <c r="G111" s="1">
        <v>42421</v>
      </c>
      <c r="H111" t="s">
        <v>31</v>
      </c>
      <c r="I111" t="s">
        <v>35</v>
      </c>
      <c r="J111" t="s">
        <v>32</v>
      </c>
      <c r="L111" t="s">
        <v>20</v>
      </c>
    </row>
    <row r="112" spans="1:12" x14ac:dyDescent="0.25">
      <c r="A112" s="1">
        <v>42397</v>
      </c>
      <c r="B112" s="3" t="s">
        <v>13</v>
      </c>
      <c r="F112" s="1">
        <v>42394</v>
      </c>
      <c r="G112" s="1">
        <v>42421</v>
      </c>
      <c r="H112" t="s">
        <v>31</v>
      </c>
      <c r="I112" t="s">
        <v>35</v>
      </c>
      <c r="J112" t="s">
        <v>32</v>
      </c>
      <c r="L112" t="s">
        <v>36</v>
      </c>
    </row>
    <row r="113" spans="1:12" x14ac:dyDescent="0.25">
      <c r="A113" s="1">
        <v>42398</v>
      </c>
      <c r="B113" s="3" t="s">
        <v>5</v>
      </c>
      <c r="F113" s="1">
        <v>42394</v>
      </c>
      <c r="G113" s="1">
        <v>42421</v>
      </c>
      <c r="H113" t="s">
        <v>31</v>
      </c>
      <c r="I113" t="s">
        <v>35</v>
      </c>
      <c r="J113" t="s">
        <v>32</v>
      </c>
      <c r="L113" t="s">
        <v>34</v>
      </c>
    </row>
    <row r="114" spans="1:12" x14ac:dyDescent="0.25">
      <c r="A114" s="1">
        <v>42399</v>
      </c>
      <c r="B114" s="3" t="s">
        <v>13</v>
      </c>
      <c r="F114" s="1">
        <v>42394</v>
      </c>
      <c r="G114" s="1">
        <v>42421</v>
      </c>
      <c r="H114" t="s">
        <v>31</v>
      </c>
      <c r="I114" t="s">
        <v>35</v>
      </c>
      <c r="J114" t="s">
        <v>32</v>
      </c>
      <c r="L114" t="s">
        <v>36</v>
      </c>
    </row>
    <row r="115" spans="1:12" x14ac:dyDescent="0.25">
      <c r="A115" s="1">
        <v>42400</v>
      </c>
      <c r="B115" s="3" t="s">
        <v>11</v>
      </c>
      <c r="F115" s="1">
        <v>42394</v>
      </c>
      <c r="G115" s="1">
        <v>42421</v>
      </c>
      <c r="H115" t="s">
        <v>31</v>
      </c>
      <c r="I115" t="s">
        <v>35</v>
      </c>
      <c r="J115" t="s">
        <v>32</v>
      </c>
      <c r="L115" t="s">
        <v>20</v>
      </c>
    </row>
    <row r="116" spans="1:12" x14ac:dyDescent="0.25">
      <c r="A116" s="1">
        <v>42401</v>
      </c>
      <c r="B116" s="3" t="s">
        <v>13</v>
      </c>
      <c r="F116" s="1">
        <v>42394</v>
      </c>
      <c r="G116" s="1">
        <v>42421</v>
      </c>
      <c r="H116" t="s">
        <v>31</v>
      </c>
      <c r="I116" t="s">
        <v>35</v>
      </c>
      <c r="J116" t="s">
        <v>32</v>
      </c>
      <c r="L116" t="s">
        <v>36</v>
      </c>
    </row>
    <row r="117" spans="1:12" x14ac:dyDescent="0.25">
      <c r="A117" s="1">
        <v>42402</v>
      </c>
      <c r="B117" s="3" t="s">
        <v>5</v>
      </c>
      <c r="F117" s="1">
        <v>42394</v>
      </c>
      <c r="G117" s="1">
        <v>42421</v>
      </c>
      <c r="H117" t="s">
        <v>31</v>
      </c>
      <c r="I117" t="s">
        <v>35</v>
      </c>
      <c r="J117" t="s">
        <v>32</v>
      </c>
      <c r="L117" t="s">
        <v>34</v>
      </c>
    </row>
    <row r="118" spans="1:12" x14ac:dyDescent="0.25">
      <c r="A118" s="1">
        <v>42403</v>
      </c>
      <c r="B118" s="3" t="s">
        <v>13</v>
      </c>
      <c r="F118" s="1">
        <v>42394</v>
      </c>
      <c r="G118" s="1">
        <v>42421</v>
      </c>
      <c r="H118" t="s">
        <v>31</v>
      </c>
      <c r="I118" t="s">
        <v>35</v>
      </c>
      <c r="J118" t="s">
        <v>32</v>
      </c>
      <c r="L118" t="s">
        <v>36</v>
      </c>
    </row>
    <row r="119" spans="1:12" x14ac:dyDescent="0.25">
      <c r="A119" s="1">
        <v>42404</v>
      </c>
      <c r="B119" s="3" t="s">
        <v>11</v>
      </c>
      <c r="F119" s="1">
        <v>42394</v>
      </c>
      <c r="G119" s="1">
        <v>42421</v>
      </c>
      <c r="H119" t="s">
        <v>31</v>
      </c>
      <c r="I119" t="s">
        <v>35</v>
      </c>
      <c r="J119" t="s">
        <v>32</v>
      </c>
      <c r="L119" t="s">
        <v>20</v>
      </c>
    </row>
    <row r="120" spans="1:12" x14ac:dyDescent="0.25">
      <c r="A120" s="1">
        <v>42405</v>
      </c>
      <c r="B120" s="3" t="s">
        <v>13</v>
      </c>
      <c r="F120" s="1">
        <v>42394</v>
      </c>
      <c r="G120" s="1">
        <v>42421</v>
      </c>
      <c r="H120" t="s">
        <v>31</v>
      </c>
      <c r="I120" t="s">
        <v>35</v>
      </c>
      <c r="J120" t="s">
        <v>32</v>
      </c>
      <c r="L120" t="s">
        <v>36</v>
      </c>
    </row>
    <row r="121" spans="1:12" x14ac:dyDescent="0.25">
      <c r="A121" s="1">
        <v>42406</v>
      </c>
      <c r="B121" s="3" t="s">
        <v>5</v>
      </c>
      <c r="F121" s="1">
        <v>42394</v>
      </c>
      <c r="G121" s="1">
        <v>42421</v>
      </c>
      <c r="H121" t="s">
        <v>31</v>
      </c>
      <c r="I121" t="s">
        <v>35</v>
      </c>
      <c r="J121" t="s">
        <v>32</v>
      </c>
      <c r="L121" t="s">
        <v>34</v>
      </c>
    </row>
    <row r="122" spans="1:12" x14ac:dyDescent="0.25">
      <c r="A122" s="1">
        <v>42407</v>
      </c>
      <c r="B122" s="3" t="s">
        <v>13</v>
      </c>
      <c r="F122" s="1">
        <v>42394</v>
      </c>
      <c r="G122" s="1">
        <v>42421</v>
      </c>
      <c r="H122" t="s">
        <v>31</v>
      </c>
      <c r="I122" t="s">
        <v>35</v>
      </c>
      <c r="J122" t="s">
        <v>32</v>
      </c>
      <c r="L122" t="s">
        <v>36</v>
      </c>
    </row>
    <row r="123" spans="1:12" x14ac:dyDescent="0.25">
      <c r="A123" s="1"/>
      <c r="B123" s="1"/>
      <c r="F123" s="1"/>
      <c r="G123" s="1"/>
    </row>
    <row r="124" spans="1:12" x14ac:dyDescent="0.25">
      <c r="A124" s="1"/>
      <c r="B124" s="1"/>
      <c r="F124" s="1"/>
      <c r="G124" s="1"/>
    </row>
    <row r="125" spans="1:12" x14ac:dyDescent="0.25">
      <c r="A125" s="1"/>
      <c r="B125" s="1"/>
      <c r="F125" s="1"/>
      <c r="G125" s="1"/>
    </row>
    <row r="126" spans="1:12" x14ac:dyDescent="0.25">
      <c r="A126" s="1"/>
      <c r="B126" s="1"/>
      <c r="F126" s="1"/>
      <c r="G126" s="1"/>
    </row>
    <row r="127" spans="1:12" x14ac:dyDescent="0.25">
      <c r="A127" s="1"/>
      <c r="B127" s="1"/>
      <c r="F127" s="1"/>
      <c r="G127" s="1"/>
    </row>
    <row r="128" spans="1:12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F5:J5"/>
    <mergeCell ref="A5:D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1028" r:id="rId4" name="ClearBtn"/>
      </mc:Fallback>
    </mc:AlternateContent>
    <mc:AlternateContent xmlns:mc="http://schemas.openxmlformats.org/markup-compatibility/2006">
      <mc:Choice Requires="x14">
        <control shapeId="1027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1027" r:id="rId6" name="ExecuteQueri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412"/>
  <sheetViews>
    <sheetView workbookViewId="0">
      <selection activeCell="B19" sqref="B19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37</v>
      </c>
      <c r="I2" s="5"/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8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8" t="s">
        <v>15</v>
      </c>
      <c r="M6" s="20" t="s">
        <v>33</v>
      </c>
      <c r="N6" s="21" t="s">
        <v>84</v>
      </c>
      <c r="O6" s="19" t="s">
        <v>87</v>
      </c>
      <c r="P6" s="10"/>
    </row>
    <row r="7" spans="1:18" s="2" customFormat="1" x14ac:dyDescent="0.25">
      <c r="F7" s="6"/>
      <c r="G7" s="6"/>
      <c r="M7" s="22"/>
      <c r="N7" s="23"/>
    </row>
    <row r="8" spans="1:18" ht="15.75" x14ac:dyDescent="0.25">
      <c r="A8" s="1"/>
      <c r="B8" s="3"/>
      <c r="C8" s="3"/>
      <c r="F8" s="1"/>
      <c r="G8" s="1"/>
      <c r="M8" s="24"/>
      <c r="N8" s="26"/>
      <c r="O8" s="3"/>
      <c r="R8" t="s">
        <v>41</v>
      </c>
    </row>
    <row r="9" spans="1:18" ht="15.75" x14ac:dyDescent="0.25">
      <c r="A9" s="1"/>
      <c r="B9" s="3"/>
      <c r="F9" s="1"/>
      <c r="G9" s="1"/>
      <c r="M9" s="24"/>
      <c r="N9" s="27"/>
      <c r="O9" s="3"/>
      <c r="R9" t="s">
        <v>42</v>
      </c>
    </row>
    <row r="10" spans="1:18" ht="15.75" x14ac:dyDescent="0.25">
      <c r="A10" s="1"/>
      <c r="B10" s="3"/>
      <c r="F10" s="1"/>
      <c r="G10" s="1"/>
      <c r="M10" s="24"/>
      <c r="N10" s="27"/>
      <c r="O10" s="3"/>
      <c r="R10" t="s">
        <v>43</v>
      </c>
    </row>
    <row r="11" spans="1:18" ht="15.75" x14ac:dyDescent="0.25">
      <c r="A11" s="1"/>
      <c r="B11" s="3"/>
      <c r="F11" s="1"/>
      <c r="G11" s="1"/>
      <c r="M11" s="24"/>
      <c r="N11" s="27"/>
      <c r="O11" s="3"/>
      <c r="R11" t="s">
        <v>44</v>
      </c>
    </row>
    <row r="12" spans="1:18" ht="15.75" x14ac:dyDescent="0.25">
      <c r="A12" s="1"/>
      <c r="B12" s="3"/>
      <c r="F12" s="1"/>
      <c r="G12" s="1"/>
      <c r="M12" s="24"/>
      <c r="N12" s="27"/>
      <c r="O12" s="3"/>
      <c r="R12" t="s">
        <v>45</v>
      </c>
    </row>
    <row r="13" spans="1:18" ht="15.75" x14ac:dyDescent="0.25">
      <c r="A13" s="1"/>
      <c r="B13" s="3"/>
      <c r="F13" s="1"/>
      <c r="G13" s="1"/>
      <c r="M13" s="24"/>
      <c r="N13" s="27"/>
      <c r="O13" s="3"/>
      <c r="R13" t="s">
        <v>46</v>
      </c>
    </row>
    <row r="14" spans="1:18" ht="15.75" x14ac:dyDescent="0.25">
      <c r="A14" s="1"/>
      <c r="B14" s="3"/>
      <c r="F14" s="1"/>
      <c r="G14" s="1"/>
      <c r="M14" s="24"/>
      <c r="N14" s="27"/>
      <c r="O14" s="3"/>
      <c r="R14" t="s">
        <v>47</v>
      </c>
    </row>
    <row r="15" spans="1:18" ht="15.75" x14ac:dyDescent="0.25">
      <c r="A15" s="1"/>
      <c r="B15" s="3"/>
      <c r="F15" s="1"/>
      <c r="G15" s="1"/>
      <c r="M15" s="24"/>
      <c r="N15" s="27"/>
      <c r="O15" s="3"/>
      <c r="R15" t="s">
        <v>48</v>
      </c>
    </row>
    <row r="16" spans="1:18" ht="15.75" x14ac:dyDescent="0.25">
      <c r="A16" s="1"/>
      <c r="B16" s="3"/>
      <c r="F16" s="1"/>
      <c r="G16" s="1"/>
      <c r="M16" s="24"/>
      <c r="N16" s="27"/>
      <c r="O16" s="3"/>
      <c r="R16" t="s">
        <v>49</v>
      </c>
    </row>
    <row r="17" spans="1:18" ht="15.75" x14ac:dyDescent="0.25">
      <c r="A17" s="1"/>
      <c r="B17" s="3"/>
      <c r="F17" s="1"/>
      <c r="G17" s="1"/>
      <c r="M17" s="24"/>
      <c r="N17" s="27"/>
      <c r="O17" s="3"/>
      <c r="R17" t="s">
        <v>50</v>
      </c>
    </row>
    <row r="18" spans="1:18" ht="15.75" x14ac:dyDescent="0.25">
      <c r="A18" s="1"/>
      <c r="B18" s="3"/>
      <c r="F18" s="1"/>
      <c r="G18" s="1"/>
      <c r="M18" s="24"/>
      <c r="N18" s="27"/>
      <c r="O18" s="3"/>
      <c r="R18" t="s">
        <v>51</v>
      </c>
    </row>
    <row r="19" spans="1:18" ht="15.75" x14ac:dyDescent="0.25">
      <c r="A19" s="1"/>
      <c r="B19" s="3"/>
      <c r="F19" s="1"/>
      <c r="G19" s="1"/>
      <c r="M19" s="24"/>
      <c r="N19" s="27"/>
      <c r="O19" s="3"/>
      <c r="R19" t="s">
        <v>52</v>
      </c>
    </row>
    <row r="20" spans="1:18" ht="15.75" x14ac:dyDescent="0.25">
      <c r="A20" s="1"/>
      <c r="B20" s="3"/>
      <c r="F20" s="1"/>
      <c r="G20" s="1"/>
      <c r="M20" s="24"/>
      <c r="N20" s="27"/>
      <c r="O20" s="3"/>
      <c r="R20" t="s">
        <v>53</v>
      </c>
    </row>
    <row r="21" spans="1:18" ht="15.75" x14ac:dyDescent="0.25">
      <c r="A21" s="1"/>
      <c r="B21" s="3"/>
      <c r="F21" s="1"/>
      <c r="G21" s="1"/>
      <c r="M21" s="24"/>
      <c r="N21" s="27"/>
      <c r="O21" s="3"/>
      <c r="R21" t="s">
        <v>54</v>
      </c>
    </row>
    <row r="22" spans="1:18" ht="15.75" x14ac:dyDescent="0.25">
      <c r="A22" s="1"/>
      <c r="B22" s="3"/>
      <c r="F22" s="1"/>
      <c r="G22" s="1"/>
      <c r="M22" s="24"/>
      <c r="N22" s="27"/>
      <c r="O22" s="3"/>
      <c r="R22" t="s">
        <v>55</v>
      </c>
    </row>
    <row r="23" spans="1:18" ht="15.75" x14ac:dyDescent="0.25">
      <c r="A23" s="1"/>
      <c r="B23" s="3"/>
      <c r="F23" s="1"/>
      <c r="G23" s="1"/>
      <c r="M23" s="24"/>
      <c r="N23" s="27"/>
      <c r="O23" s="3"/>
      <c r="R23" t="s">
        <v>56</v>
      </c>
    </row>
    <row r="24" spans="1:18" ht="15.75" x14ac:dyDescent="0.25">
      <c r="A24" s="1"/>
      <c r="B24" s="3"/>
      <c r="F24" s="1"/>
      <c r="G24" s="1"/>
      <c r="M24" s="24"/>
      <c r="N24" s="27"/>
      <c r="O24" s="3"/>
      <c r="R24" t="s">
        <v>57</v>
      </c>
    </row>
    <row r="25" spans="1:18" ht="15.75" x14ac:dyDescent="0.25">
      <c r="A25" s="1"/>
      <c r="B25" s="3"/>
      <c r="F25" s="1"/>
      <c r="G25" s="1"/>
      <c r="M25" s="24"/>
      <c r="N25" s="27"/>
      <c r="O25" s="3"/>
    </row>
    <row r="26" spans="1:18" ht="15.75" x14ac:dyDescent="0.25">
      <c r="A26" s="1"/>
      <c r="B26" s="3"/>
      <c r="F26" s="1"/>
      <c r="G26" s="1"/>
      <c r="M26" s="24"/>
      <c r="N26" s="27"/>
      <c r="O26" s="3"/>
    </row>
    <row r="27" spans="1:18" ht="15.75" x14ac:dyDescent="0.25">
      <c r="A27" s="1"/>
      <c r="B27" s="3"/>
      <c r="F27" s="1"/>
      <c r="G27" s="1"/>
      <c r="M27" s="24"/>
      <c r="N27" s="27"/>
      <c r="O27" s="3"/>
    </row>
    <row r="28" spans="1:18" ht="15.75" x14ac:dyDescent="0.25">
      <c r="A28" s="1"/>
      <c r="B28" s="3"/>
      <c r="F28" s="1"/>
      <c r="G28" s="1"/>
      <c r="M28" s="24"/>
      <c r="N28" s="27"/>
      <c r="O28" s="3"/>
    </row>
    <row r="29" spans="1:18" ht="15.75" x14ac:dyDescent="0.25">
      <c r="A29" s="1"/>
      <c r="B29" s="3"/>
      <c r="F29" s="1"/>
      <c r="G29" s="1"/>
      <c r="M29" s="24"/>
      <c r="N29" s="27"/>
      <c r="O29" s="3"/>
    </row>
    <row r="30" spans="1:18" ht="15.75" x14ac:dyDescent="0.25">
      <c r="A30" s="1"/>
      <c r="B30" s="3"/>
      <c r="F30" s="1"/>
      <c r="G30" s="1"/>
      <c r="M30" s="24"/>
      <c r="N30" s="27"/>
      <c r="O30" s="3"/>
    </row>
    <row r="31" spans="1:18" ht="15.75" x14ac:dyDescent="0.25">
      <c r="A31" s="1"/>
      <c r="B31" s="3"/>
      <c r="F31" s="1"/>
      <c r="G31" s="1"/>
      <c r="M31" s="24"/>
      <c r="N31" s="27"/>
      <c r="O31" s="3"/>
    </row>
    <row r="32" spans="1:18" ht="15.75" x14ac:dyDescent="0.25">
      <c r="A32" s="1"/>
      <c r="B32" s="3"/>
      <c r="F32" s="1"/>
      <c r="G32" s="1"/>
      <c r="M32" s="24"/>
      <c r="N32" s="27"/>
      <c r="O32" s="3"/>
    </row>
    <row r="33" spans="1:15" ht="15.75" x14ac:dyDescent="0.25">
      <c r="A33" s="1"/>
      <c r="B33" s="3"/>
      <c r="F33" s="1"/>
      <c r="G33" s="1"/>
      <c r="M33" s="24"/>
      <c r="N33" s="27"/>
      <c r="O33" s="3"/>
    </row>
    <row r="34" spans="1:15" ht="15.75" x14ac:dyDescent="0.25">
      <c r="A34" s="1"/>
      <c r="B34" s="3"/>
      <c r="F34" s="1"/>
      <c r="G34" s="1"/>
      <c r="M34" s="24"/>
      <c r="N34" s="27"/>
      <c r="O34" s="3"/>
    </row>
    <row r="35" spans="1:15" ht="15.75" x14ac:dyDescent="0.25">
      <c r="A35" s="1"/>
      <c r="B35" s="3"/>
      <c r="F35" s="1"/>
      <c r="G35" s="1"/>
      <c r="M35" s="24"/>
      <c r="N35" s="27"/>
      <c r="O35" s="3"/>
    </row>
    <row r="36" spans="1:15" ht="15.75" x14ac:dyDescent="0.25">
      <c r="A36" s="1"/>
      <c r="B36" s="3"/>
      <c r="F36" s="1"/>
      <c r="G36" s="1"/>
      <c r="M36" s="24"/>
      <c r="N36" s="27"/>
      <c r="O36" s="3"/>
    </row>
    <row r="37" spans="1:15" ht="15.75" x14ac:dyDescent="0.25">
      <c r="A37" s="1"/>
      <c r="B37" s="3"/>
      <c r="F37" s="1"/>
      <c r="G37" s="1"/>
      <c r="M37" s="24"/>
      <c r="N37" s="27"/>
      <c r="O37" s="3"/>
    </row>
    <row r="38" spans="1:15" ht="15.75" x14ac:dyDescent="0.25">
      <c r="A38" s="1"/>
      <c r="B38" s="3"/>
      <c r="F38" s="1"/>
      <c r="G38" s="1"/>
      <c r="M38" s="24"/>
      <c r="N38" s="27"/>
      <c r="O38" s="3"/>
    </row>
    <row r="39" spans="1:15" ht="15.75" x14ac:dyDescent="0.25">
      <c r="A39" s="1"/>
      <c r="B39" s="3"/>
      <c r="F39" s="1"/>
      <c r="G39" s="1"/>
      <c r="M39" s="24"/>
      <c r="N39" s="27"/>
      <c r="O39" s="3"/>
    </row>
    <row r="40" spans="1:15" ht="15.75" x14ac:dyDescent="0.25">
      <c r="A40" s="1"/>
      <c r="B40" s="3"/>
      <c r="F40" s="1"/>
      <c r="G40" s="1"/>
      <c r="M40" s="24"/>
      <c r="N40" s="27"/>
      <c r="O40" s="3"/>
    </row>
    <row r="41" spans="1:15" ht="16.5" thickBot="1" x14ac:dyDescent="0.3">
      <c r="A41" s="1"/>
      <c r="B41" s="3"/>
      <c r="F41" s="1"/>
      <c r="G41" s="1"/>
      <c r="M41" s="25"/>
      <c r="N41" s="28"/>
      <c r="O41" s="3"/>
    </row>
    <row r="42" spans="1:15" x14ac:dyDescent="0.25">
      <c r="A42" s="1"/>
      <c r="B42" s="3"/>
      <c r="E42" s="2" t="s">
        <v>108</v>
      </c>
      <c r="F42" s="1"/>
      <c r="G42" s="1"/>
      <c r="M42" s="1"/>
    </row>
    <row r="43" spans="1:15" x14ac:dyDescent="0.25">
      <c r="A43" s="1"/>
      <c r="B43" s="3"/>
      <c r="F43" s="1"/>
      <c r="G43" s="1"/>
      <c r="M43" s="1"/>
    </row>
    <row r="44" spans="1:15" x14ac:dyDescent="0.25">
      <c r="A44" s="1"/>
      <c r="B44" s="3"/>
      <c r="F44" s="1"/>
      <c r="G44" s="1"/>
      <c r="M44" s="1"/>
    </row>
    <row r="45" spans="1:15" x14ac:dyDescent="0.25">
      <c r="A45" s="1"/>
      <c r="B45" s="3"/>
      <c r="F45" s="1"/>
      <c r="G45" s="1"/>
      <c r="M45" s="1"/>
    </row>
    <row r="46" spans="1:15" x14ac:dyDescent="0.25">
      <c r="A46" s="1"/>
      <c r="B46" s="3"/>
      <c r="F46" s="1"/>
      <c r="G46" s="1"/>
      <c r="M46" s="1"/>
    </row>
    <row r="47" spans="1:15" x14ac:dyDescent="0.25">
      <c r="A47" s="1"/>
      <c r="B47" s="3"/>
      <c r="F47" s="1"/>
      <c r="G47" s="1"/>
      <c r="M47" s="1"/>
    </row>
    <row r="48" spans="1:15" x14ac:dyDescent="0.25">
      <c r="A48" s="1"/>
      <c r="B48" s="3"/>
      <c r="F48" s="1"/>
      <c r="G48" s="1"/>
      <c r="M48" s="1"/>
    </row>
    <row r="49" spans="1:13" x14ac:dyDescent="0.25">
      <c r="A49" s="1"/>
      <c r="B49" s="3"/>
      <c r="F49" s="1"/>
      <c r="G49" s="1"/>
      <c r="M49" s="1"/>
    </row>
    <row r="50" spans="1:13" x14ac:dyDescent="0.25">
      <c r="A50" s="1"/>
      <c r="B50" s="3"/>
      <c r="F50" s="1"/>
      <c r="G50" s="1"/>
      <c r="M50" s="1"/>
    </row>
    <row r="51" spans="1:13" x14ac:dyDescent="0.25">
      <c r="A51" s="1"/>
      <c r="B51" s="3"/>
      <c r="F51" s="1"/>
      <c r="G51" s="1"/>
      <c r="M51" s="1"/>
    </row>
    <row r="52" spans="1:13" x14ac:dyDescent="0.25">
      <c r="A52" s="1"/>
      <c r="B52" s="3"/>
      <c r="F52" s="1"/>
      <c r="G52" s="1"/>
      <c r="M52" s="1"/>
    </row>
    <row r="53" spans="1:13" x14ac:dyDescent="0.25">
      <c r="A53" s="1"/>
      <c r="B53" s="3"/>
      <c r="F53" s="1"/>
      <c r="G53" s="1"/>
      <c r="M53" s="1"/>
    </row>
    <row r="54" spans="1:13" x14ac:dyDescent="0.25">
      <c r="A54" s="1"/>
      <c r="B54" s="3"/>
      <c r="F54" s="1"/>
      <c r="G54" s="1"/>
      <c r="M54" s="1"/>
    </row>
    <row r="55" spans="1:13" x14ac:dyDescent="0.25">
      <c r="A55" s="1"/>
      <c r="B55" s="3"/>
      <c r="F55" s="1"/>
      <c r="G55" s="1"/>
      <c r="M55" s="1"/>
    </row>
    <row r="56" spans="1:13" x14ac:dyDescent="0.25">
      <c r="A56" s="1"/>
      <c r="B56" s="3"/>
      <c r="F56" s="1"/>
      <c r="G56" s="1"/>
      <c r="M56" s="1"/>
    </row>
    <row r="57" spans="1:13" x14ac:dyDescent="0.25">
      <c r="A57" s="1"/>
      <c r="B57" s="3"/>
      <c r="F57" s="1"/>
      <c r="G57" s="1"/>
      <c r="M57" s="1"/>
    </row>
    <row r="58" spans="1:13" x14ac:dyDescent="0.25">
      <c r="A58" s="1"/>
      <c r="B58" s="3"/>
      <c r="F58" s="1"/>
      <c r="G58" s="1"/>
      <c r="M58" s="1"/>
    </row>
    <row r="59" spans="1:13" x14ac:dyDescent="0.25">
      <c r="A59" s="1"/>
      <c r="B59" s="3"/>
      <c r="F59" s="1"/>
      <c r="G59" s="1"/>
      <c r="M59" s="1"/>
    </row>
    <row r="60" spans="1:13" x14ac:dyDescent="0.25">
      <c r="A60" s="1"/>
      <c r="B60" s="3"/>
      <c r="F60" s="1"/>
      <c r="G60" s="1"/>
      <c r="M60" s="1"/>
    </row>
    <row r="61" spans="1:13" x14ac:dyDescent="0.25">
      <c r="A61" s="1"/>
      <c r="B61" s="3"/>
      <c r="F61" s="1"/>
      <c r="G61" s="1"/>
      <c r="M61" s="1"/>
    </row>
    <row r="62" spans="1:13" x14ac:dyDescent="0.25">
      <c r="A62" s="1"/>
      <c r="B62" s="3"/>
      <c r="F62" s="1"/>
      <c r="G62" s="1"/>
      <c r="M62" s="1"/>
    </row>
    <row r="63" spans="1:13" x14ac:dyDescent="0.25">
      <c r="A63" s="1"/>
      <c r="B63" s="3"/>
      <c r="F63" s="1"/>
      <c r="G63" s="1"/>
      <c r="M63" s="1"/>
    </row>
    <row r="64" spans="1:13" x14ac:dyDescent="0.25">
      <c r="A64" s="1"/>
      <c r="B64" s="3"/>
      <c r="F64" s="1"/>
      <c r="G64" s="1"/>
      <c r="M64" s="1"/>
    </row>
    <row r="65" spans="1:13" x14ac:dyDescent="0.25">
      <c r="A65" s="1"/>
      <c r="B65" s="3"/>
      <c r="F65" s="1"/>
      <c r="G65" s="1"/>
      <c r="M65" s="1"/>
    </row>
    <row r="66" spans="1:13" x14ac:dyDescent="0.25">
      <c r="A66" s="1"/>
      <c r="B66" s="3"/>
      <c r="F66" s="1"/>
      <c r="G66" s="1"/>
      <c r="M66" s="1"/>
    </row>
    <row r="67" spans="1:13" x14ac:dyDescent="0.25">
      <c r="A67" s="1"/>
      <c r="B67" s="3"/>
      <c r="F67" s="1"/>
      <c r="G67" s="1"/>
      <c r="M67" s="1"/>
    </row>
    <row r="68" spans="1:13" x14ac:dyDescent="0.25">
      <c r="A68" s="1"/>
      <c r="B68" s="3"/>
      <c r="F68" s="1"/>
      <c r="G68" s="1"/>
      <c r="M68" s="1"/>
    </row>
    <row r="69" spans="1:13" x14ac:dyDescent="0.25">
      <c r="A69" s="1"/>
      <c r="B69" s="3"/>
      <c r="F69" s="1"/>
      <c r="G69" s="1"/>
      <c r="M69" s="1"/>
    </row>
    <row r="70" spans="1:13" x14ac:dyDescent="0.25">
      <c r="A70" s="1"/>
      <c r="B70" s="3"/>
      <c r="F70" s="1"/>
      <c r="G70" s="1"/>
      <c r="M70" s="1"/>
    </row>
    <row r="71" spans="1:13" x14ac:dyDescent="0.25">
      <c r="A71" s="1"/>
      <c r="B71" s="3"/>
      <c r="F71" s="1"/>
      <c r="G71" s="1"/>
      <c r="M71" s="1"/>
    </row>
    <row r="72" spans="1:13" x14ac:dyDescent="0.25">
      <c r="A72" s="1"/>
      <c r="B72" s="3"/>
      <c r="F72" s="1"/>
      <c r="G72" s="1"/>
      <c r="M72" s="1"/>
    </row>
    <row r="73" spans="1:13" x14ac:dyDescent="0.25">
      <c r="A73" s="1"/>
      <c r="B73" s="3"/>
      <c r="F73" s="1"/>
      <c r="G73" s="1"/>
      <c r="M73" s="1"/>
    </row>
    <row r="74" spans="1:13" x14ac:dyDescent="0.25">
      <c r="A74" s="1"/>
      <c r="B74" s="3"/>
      <c r="F74" s="1"/>
      <c r="G74" s="1"/>
      <c r="M74" s="1"/>
    </row>
    <row r="75" spans="1:13" x14ac:dyDescent="0.25">
      <c r="A75" s="1"/>
      <c r="B75" s="3"/>
      <c r="F75" s="1"/>
      <c r="G75" s="1"/>
      <c r="M75" s="1"/>
    </row>
    <row r="76" spans="1:13" x14ac:dyDescent="0.25">
      <c r="A76" s="1"/>
      <c r="B76" s="3"/>
      <c r="F76" s="1"/>
      <c r="G76" s="1"/>
      <c r="M76" s="1"/>
    </row>
    <row r="77" spans="1:13" x14ac:dyDescent="0.25">
      <c r="A77" s="1"/>
      <c r="B77" s="3"/>
      <c r="F77" s="1"/>
      <c r="G77" s="1"/>
      <c r="M77" s="1"/>
    </row>
    <row r="78" spans="1:13" x14ac:dyDescent="0.25">
      <c r="A78" s="1"/>
      <c r="B78" s="3"/>
      <c r="F78" s="1"/>
      <c r="G78" s="1"/>
      <c r="M78" s="1"/>
    </row>
    <row r="79" spans="1:13" x14ac:dyDescent="0.25">
      <c r="A79" s="1"/>
      <c r="B79" s="3"/>
      <c r="F79" s="1"/>
      <c r="G79" s="1"/>
      <c r="M79" s="1"/>
    </row>
    <row r="80" spans="1:13" x14ac:dyDescent="0.25">
      <c r="A80" s="1"/>
      <c r="B80" s="3"/>
      <c r="F80" s="1"/>
      <c r="G80" s="1"/>
      <c r="M80" s="1"/>
    </row>
    <row r="81" spans="1:13" x14ac:dyDescent="0.25">
      <c r="A81" s="1"/>
      <c r="B81" s="3"/>
      <c r="F81" s="1"/>
      <c r="G81" s="1"/>
      <c r="M81" s="1"/>
    </row>
    <row r="82" spans="1:13" x14ac:dyDescent="0.25">
      <c r="A82" s="1"/>
      <c r="B82" s="3"/>
      <c r="F82" s="1"/>
      <c r="G82" s="1"/>
      <c r="M82" s="1"/>
    </row>
    <row r="83" spans="1:13" x14ac:dyDescent="0.25">
      <c r="A83" s="1"/>
      <c r="B83" s="3"/>
      <c r="F83" s="1"/>
      <c r="G83" s="1"/>
      <c r="M83" s="1"/>
    </row>
    <row r="84" spans="1:13" x14ac:dyDescent="0.25">
      <c r="A84" s="1"/>
      <c r="B84" s="3"/>
      <c r="F84" s="1"/>
      <c r="G84" s="1"/>
      <c r="M84" s="1"/>
    </row>
    <row r="85" spans="1:13" x14ac:dyDescent="0.25">
      <c r="A85" s="1"/>
      <c r="B85" s="3"/>
      <c r="F85" s="1"/>
      <c r="G85" s="1"/>
      <c r="M85" s="1"/>
    </row>
    <row r="86" spans="1:13" x14ac:dyDescent="0.25">
      <c r="A86" s="1"/>
      <c r="B86" s="3"/>
      <c r="F86" s="1"/>
      <c r="G86" s="1"/>
      <c r="M86" s="1"/>
    </row>
    <row r="87" spans="1:13" x14ac:dyDescent="0.25">
      <c r="A87" s="1"/>
      <c r="B87" s="3"/>
      <c r="F87" s="1"/>
      <c r="G87" s="1"/>
      <c r="M87" s="1"/>
    </row>
    <row r="88" spans="1:13" x14ac:dyDescent="0.25">
      <c r="A88" s="1"/>
      <c r="B88" s="3"/>
      <c r="F88" s="1"/>
      <c r="G88" s="1"/>
      <c r="M88" s="1"/>
    </row>
    <row r="89" spans="1:13" x14ac:dyDescent="0.25">
      <c r="A89" s="1"/>
      <c r="B89" s="3"/>
      <c r="F89" s="1"/>
      <c r="G89" s="1"/>
      <c r="M89" s="1"/>
    </row>
    <row r="90" spans="1:13" x14ac:dyDescent="0.25">
      <c r="A90" s="1"/>
      <c r="B90" s="3"/>
      <c r="F90" s="1"/>
      <c r="G90" s="1"/>
      <c r="M90" s="1"/>
    </row>
    <row r="91" spans="1:13" x14ac:dyDescent="0.25">
      <c r="A91" s="1"/>
      <c r="B91" s="3"/>
      <c r="F91" s="1"/>
      <c r="G91" s="1"/>
      <c r="M91" s="1"/>
    </row>
    <row r="92" spans="1:13" x14ac:dyDescent="0.25">
      <c r="A92" s="1"/>
      <c r="B92" s="3"/>
      <c r="F92" s="1"/>
      <c r="G92" s="1"/>
      <c r="M92" s="1"/>
    </row>
    <row r="93" spans="1:13" x14ac:dyDescent="0.25">
      <c r="A93" s="1"/>
      <c r="B93" s="3"/>
      <c r="F93" s="1"/>
      <c r="G93" s="1"/>
      <c r="M93" s="1"/>
    </row>
    <row r="94" spans="1:13" x14ac:dyDescent="0.25">
      <c r="A94" s="1"/>
      <c r="B94" s="3"/>
      <c r="F94" s="1"/>
      <c r="G94" s="1"/>
      <c r="M94" s="1"/>
    </row>
    <row r="95" spans="1:13" x14ac:dyDescent="0.25">
      <c r="A95" s="1"/>
      <c r="B95" s="3"/>
      <c r="F95" s="1"/>
      <c r="G95" s="1"/>
      <c r="M95" s="1"/>
    </row>
    <row r="96" spans="1:13" x14ac:dyDescent="0.25">
      <c r="A96" s="1"/>
      <c r="B96" s="3"/>
      <c r="F96" s="1"/>
      <c r="G96" s="1"/>
      <c r="M96" s="1"/>
    </row>
    <row r="97" spans="1:13" x14ac:dyDescent="0.25">
      <c r="A97" s="1"/>
      <c r="B97" s="3"/>
      <c r="F97" s="1"/>
      <c r="G97" s="1"/>
      <c r="M97" s="1"/>
    </row>
    <row r="98" spans="1:13" x14ac:dyDescent="0.25">
      <c r="A98" s="1"/>
      <c r="B98" s="3"/>
      <c r="F98" s="1"/>
      <c r="G98" s="1"/>
      <c r="M98" s="1"/>
    </row>
    <row r="99" spans="1:13" x14ac:dyDescent="0.25">
      <c r="A99" s="1"/>
      <c r="B99" s="3"/>
      <c r="F99" s="1"/>
      <c r="G99" s="1"/>
      <c r="M99" s="1"/>
    </row>
    <row r="100" spans="1:13" x14ac:dyDescent="0.25">
      <c r="A100" s="1"/>
      <c r="B100" s="3"/>
      <c r="F100" s="1"/>
      <c r="G100" s="1"/>
      <c r="M100" s="1"/>
    </row>
    <row r="101" spans="1:13" x14ac:dyDescent="0.25">
      <c r="A101" s="1"/>
      <c r="B101" s="3"/>
      <c r="F101" s="1"/>
      <c r="G101" s="1"/>
      <c r="M101" s="1"/>
    </row>
    <row r="102" spans="1:13" x14ac:dyDescent="0.25">
      <c r="A102" s="1"/>
      <c r="B102" s="3"/>
      <c r="F102" s="1"/>
      <c r="G102" s="1"/>
      <c r="M102" s="1"/>
    </row>
    <row r="103" spans="1:13" x14ac:dyDescent="0.25">
      <c r="A103" s="1"/>
      <c r="B103" s="3"/>
      <c r="F103" s="1"/>
      <c r="G103" s="1"/>
      <c r="M103" s="1"/>
    </row>
    <row r="104" spans="1:13" x14ac:dyDescent="0.25">
      <c r="A104" s="1"/>
      <c r="B104" s="3"/>
      <c r="F104" s="1"/>
      <c r="G104" s="1"/>
      <c r="M104" s="1"/>
    </row>
    <row r="105" spans="1:13" x14ac:dyDescent="0.25">
      <c r="A105" s="1"/>
      <c r="B105" s="3"/>
      <c r="F105" s="1"/>
      <c r="G105" s="1"/>
      <c r="M105" s="1"/>
    </row>
    <row r="106" spans="1:13" x14ac:dyDescent="0.25">
      <c r="A106" s="1"/>
      <c r="B106" s="3"/>
      <c r="F106" s="1"/>
      <c r="G106" s="1"/>
      <c r="M106" s="1"/>
    </row>
    <row r="107" spans="1:13" x14ac:dyDescent="0.25">
      <c r="A107" s="1"/>
      <c r="B107" s="3"/>
      <c r="F107" s="1"/>
      <c r="G107" s="1"/>
      <c r="M107" s="1"/>
    </row>
    <row r="108" spans="1:13" x14ac:dyDescent="0.25">
      <c r="A108" s="1"/>
      <c r="B108" s="3"/>
      <c r="F108" s="1"/>
      <c r="G108" s="1"/>
      <c r="M108" s="1"/>
    </row>
    <row r="109" spans="1:13" x14ac:dyDescent="0.25">
      <c r="A109" s="1"/>
      <c r="B109" s="3"/>
      <c r="F109" s="1"/>
      <c r="G109" s="1"/>
      <c r="M109" s="1"/>
    </row>
    <row r="110" spans="1:13" x14ac:dyDescent="0.25">
      <c r="A110" s="1"/>
      <c r="B110" s="3"/>
      <c r="F110" s="1"/>
      <c r="G110" s="1"/>
      <c r="M110" s="1"/>
    </row>
    <row r="111" spans="1:13" x14ac:dyDescent="0.25">
      <c r="A111" s="1"/>
      <c r="B111" s="3"/>
      <c r="F111" s="1"/>
      <c r="G111" s="1"/>
      <c r="M111" s="1"/>
    </row>
    <row r="112" spans="1:13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5122" r:id="rId4" name="ClearBtn"/>
      </mc:Fallback>
    </mc:AlternateContent>
    <mc:AlternateContent xmlns:mc="http://schemas.openxmlformats.org/markup-compatibility/2006">
      <mc:Choice Requires="x14">
        <control shapeId="5121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5121" r:id="rId6" name="ExecuteQueri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12"/>
  <sheetViews>
    <sheetView workbookViewId="0">
      <selection activeCell="O13" sqref="O13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37</v>
      </c>
      <c r="I2" s="5">
        <v>34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8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8" t="s">
        <v>15</v>
      </c>
      <c r="M6" s="20" t="s">
        <v>33</v>
      </c>
      <c r="N6" s="21" t="s">
        <v>84</v>
      </c>
      <c r="O6" s="19" t="s">
        <v>87</v>
      </c>
      <c r="P6" s="10"/>
    </row>
    <row r="7" spans="1:18" s="2" customFormat="1" x14ac:dyDescent="0.25">
      <c r="F7" s="6"/>
      <c r="G7" s="6"/>
      <c r="M7" s="22"/>
      <c r="N7" s="23"/>
    </row>
    <row r="8" spans="1:18" ht="15.75" x14ac:dyDescent="0.25">
      <c r="A8" s="1">
        <v>42356</v>
      </c>
      <c r="B8" s="3" t="s">
        <v>59</v>
      </c>
      <c r="C8" s="3"/>
      <c r="F8" s="1">
        <v>42338</v>
      </c>
      <c r="G8" s="1">
        <v>42365</v>
      </c>
      <c r="H8" t="s">
        <v>16</v>
      </c>
      <c r="I8" t="s">
        <v>19</v>
      </c>
      <c r="J8" t="s">
        <v>17</v>
      </c>
      <c r="L8" t="s">
        <v>75</v>
      </c>
      <c r="M8" s="24" t="str">
        <f>B8</f>
        <v>perstart</v>
      </c>
      <c r="N8" s="26" t="s">
        <v>85</v>
      </c>
      <c r="O8" s="3"/>
      <c r="R8" t="s">
        <v>41</v>
      </c>
    </row>
    <row r="9" spans="1:18" ht="15.75" x14ac:dyDescent="0.25">
      <c r="A9" s="1">
        <v>42356</v>
      </c>
      <c r="B9" s="3" t="s">
        <v>60</v>
      </c>
      <c r="F9" s="1">
        <v>42338</v>
      </c>
      <c r="G9" s="1">
        <v>42365</v>
      </c>
      <c r="H9" t="s">
        <v>16</v>
      </c>
      <c r="I9" t="s">
        <v>19</v>
      </c>
      <c r="J9" t="s">
        <v>17</v>
      </c>
      <c r="L9" t="s">
        <v>25</v>
      </c>
      <c r="M9" s="24" t="str">
        <f t="shared" ref="M9:M41" si="0">B9</f>
        <v>perend</v>
      </c>
      <c r="N9" s="27" t="s">
        <v>85</v>
      </c>
      <c r="O9" s="3"/>
      <c r="R9" t="s">
        <v>42</v>
      </c>
    </row>
    <row r="10" spans="1:18" ht="15.75" x14ac:dyDescent="0.25">
      <c r="A10" s="1">
        <v>42356</v>
      </c>
      <c r="B10" s="3" t="s">
        <v>58</v>
      </c>
      <c r="F10" s="1">
        <v>42338</v>
      </c>
      <c r="G10" s="1">
        <v>42365</v>
      </c>
      <c r="H10" t="s">
        <v>16</v>
      </c>
      <c r="I10" t="s">
        <v>19</v>
      </c>
      <c r="J10" t="s">
        <v>17</v>
      </c>
      <c r="L10" t="s">
        <v>19</v>
      </c>
      <c r="M10" s="24" t="str">
        <f t="shared" si="0"/>
        <v>currper</v>
      </c>
      <c r="N10" s="27" t="s">
        <v>85</v>
      </c>
      <c r="O10" s="3"/>
      <c r="R10" t="s">
        <v>43</v>
      </c>
    </row>
    <row r="11" spans="1:18" ht="15.75" x14ac:dyDescent="0.25">
      <c r="A11" s="1">
        <v>42356</v>
      </c>
      <c r="B11" s="3" t="s">
        <v>61</v>
      </c>
      <c r="F11" s="1">
        <v>42338</v>
      </c>
      <c r="G11" s="1">
        <v>42365</v>
      </c>
      <c r="H11" t="s">
        <v>16</v>
      </c>
      <c r="I11" t="s">
        <v>19</v>
      </c>
      <c r="J11" t="s">
        <v>17</v>
      </c>
      <c r="L11" t="s">
        <v>18</v>
      </c>
      <c r="M11" s="24" t="str">
        <f t="shared" si="0"/>
        <v>prevper</v>
      </c>
      <c r="N11" s="27" t="s">
        <v>85</v>
      </c>
      <c r="O11" s="3"/>
      <c r="R11" t="s">
        <v>44</v>
      </c>
    </row>
    <row r="12" spans="1:18" ht="15.75" x14ac:dyDescent="0.25">
      <c r="A12" s="1">
        <v>42356</v>
      </c>
      <c r="B12" s="3" t="s">
        <v>62</v>
      </c>
      <c r="F12" s="1">
        <v>42338</v>
      </c>
      <c r="G12" s="1">
        <v>42365</v>
      </c>
      <c r="H12" t="s">
        <v>16</v>
      </c>
      <c r="I12" t="s">
        <v>19</v>
      </c>
      <c r="J12" t="s">
        <v>17</v>
      </c>
      <c r="L12" t="s">
        <v>20</v>
      </c>
      <c r="M12" s="24" t="str">
        <f t="shared" si="0"/>
        <v>nextper</v>
      </c>
      <c r="N12" s="27" t="s">
        <v>85</v>
      </c>
      <c r="O12" s="3"/>
      <c r="R12" t="s">
        <v>45</v>
      </c>
    </row>
    <row r="13" spans="1:18" ht="15.75" x14ac:dyDescent="0.25">
      <c r="A13" s="1">
        <v>42356</v>
      </c>
      <c r="B13" s="3" t="s">
        <v>63</v>
      </c>
      <c r="F13" s="1">
        <v>42338</v>
      </c>
      <c r="G13" s="1">
        <v>42365</v>
      </c>
      <c r="H13" t="s">
        <v>16</v>
      </c>
      <c r="I13" t="s">
        <v>19</v>
      </c>
      <c r="J13" t="s">
        <v>17</v>
      </c>
      <c r="L13" t="s">
        <v>76</v>
      </c>
      <c r="M13" s="24" t="str">
        <f t="shared" si="0"/>
        <v>daysinprd</v>
      </c>
      <c r="N13" s="27" t="s">
        <v>85</v>
      </c>
      <c r="O13" s="3">
        <f>G13-F13 +1</f>
        <v>28</v>
      </c>
      <c r="R13" t="s">
        <v>46</v>
      </c>
    </row>
    <row r="14" spans="1:18" ht="15.75" x14ac:dyDescent="0.25">
      <c r="A14" s="1">
        <v>42356</v>
      </c>
      <c r="B14" s="3" t="s">
        <v>64</v>
      </c>
      <c r="F14" s="1">
        <v>42338</v>
      </c>
      <c r="G14" s="1">
        <v>42365</v>
      </c>
      <c r="H14" t="s">
        <v>16</v>
      </c>
      <c r="I14" t="s">
        <v>19</v>
      </c>
      <c r="J14" t="s">
        <v>17</v>
      </c>
      <c r="L14" t="s">
        <v>39</v>
      </c>
      <c r="M14" s="24" t="str">
        <f t="shared" si="0"/>
        <v>wksinprd</v>
      </c>
      <c r="N14" s="27" t="s">
        <v>85</v>
      </c>
      <c r="O14" s="3">
        <f>(G14-F14 + 1)/7</f>
        <v>4</v>
      </c>
      <c r="R14" t="s">
        <v>47</v>
      </c>
    </row>
    <row r="15" spans="1:18" ht="15.75" x14ac:dyDescent="0.25">
      <c r="A15" s="1">
        <v>42356</v>
      </c>
      <c r="B15" s="3" t="s">
        <v>65</v>
      </c>
      <c r="F15" s="1">
        <v>42338</v>
      </c>
      <c r="G15" s="1">
        <v>42365</v>
      </c>
      <c r="H15" t="s">
        <v>16</v>
      </c>
      <c r="I15" t="s">
        <v>19</v>
      </c>
      <c r="J15" t="s">
        <v>17</v>
      </c>
      <c r="L15" t="s">
        <v>39</v>
      </c>
      <c r="M15" s="24" t="str">
        <f t="shared" si="0"/>
        <v>currqtr</v>
      </c>
      <c r="N15" s="27" t="s">
        <v>85</v>
      </c>
      <c r="O15" s="3"/>
      <c r="R15" t="s">
        <v>48</v>
      </c>
    </row>
    <row r="16" spans="1:18" ht="15.75" x14ac:dyDescent="0.25">
      <c r="A16" s="1">
        <v>42356</v>
      </c>
      <c r="B16" s="3" t="s">
        <v>66</v>
      </c>
      <c r="F16" s="1">
        <v>42338</v>
      </c>
      <c r="G16" s="1">
        <v>42365</v>
      </c>
      <c r="H16" t="s">
        <v>16</v>
      </c>
      <c r="I16" t="s">
        <v>19</v>
      </c>
      <c r="J16" t="s">
        <v>17</v>
      </c>
      <c r="L16" t="s">
        <v>77</v>
      </c>
      <c r="M16" s="24" t="str">
        <f t="shared" si="0"/>
        <v>qtrstart</v>
      </c>
      <c r="N16" s="27" t="s">
        <v>86</v>
      </c>
      <c r="O16" s="3"/>
      <c r="R16" t="s">
        <v>49</v>
      </c>
    </row>
    <row r="17" spans="1:18" ht="15.75" x14ac:dyDescent="0.25">
      <c r="A17" s="1">
        <v>42356</v>
      </c>
      <c r="B17" s="3" t="s">
        <v>67</v>
      </c>
      <c r="F17" s="1">
        <v>42338</v>
      </c>
      <c r="G17" s="1">
        <v>42365</v>
      </c>
      <c r="H17" t="s">
        <v>16</v>
      </c>
      <c r="I17" t="s">
        <v>19</v>
      </c>
      <c r="J17" t="s">
        <v>17</v>
      </c>
      <c r="L17" t="s">
        <v>25</v>
      </c>
      <c r="M17" s="24" t="str">
        <f t="shared" si="0"/>
        <v>qtrend</v>
      </c>
      <c r="N17" s="27" t="s">
        <v>85</v>
      </c>
      <c r="O17" s="3"/>
      <c r="R17" t="s">
        <v>50</v>
      </c>
    </row>
    <row r="18" spans="1:18" ht="15.75" x14ac:dyDescent="0.25">
      <c r="A18" s="1">
        <v>42356</v>
      </c>
      <c r="B18" s="3" t="s">
        <v>68</v>
      </c>
      <c r="F18" s="1">
        <v>42338</v>
      </c>
      <c r="G18" s="1">
        <v>42365</v>
      </c>
      <c r="H18" t="s">
        <v>16</v>
      </c>
      <c r="I18" t="s">
        <v>19</v>
      </c>
      <c r="J18" t="s">
        <v>17</v>
      </c>
      <c r="L18" t="s">
        <v>29</v>
      </c>
      <c r="M18" s="24" t="str">
        <f t="shared" si="0"/>
        <v>yrstart</v>
      </c>
      <c r="N18" s="27" t="s">
        <v>86</v>
      </c>
      <c r="O18" s="3"/>
      <c r="R18" t="s">
        <v>51</v>
      </c>
    </row>
    <row r="19" spans="1:18" ht="15.75" x14ac:dyDescent="0.25">
      <c r="A19" s="1">
        <v>42356</v>
      </c>
      <c r="B19" s="3" t="s">
        <v>69</v>
      </c>
      <c r="F19" s="1">
        <v>42338</v>
      </c>
      <c r="G19" s="1">
        <v>42365</v>
      </c>
      <c r="H19" t="s">
        <v>16</v>
      </c>
      <c r="I19" t="s">
        <v>19</v>
      </c>
      <c r="J19" t="s">
        <v>17</v>
      </c>
      <c r="L19" t="s">
        <v>25</v>
      </c>
      <c r="M19" s="24" t="str">
        <f t="shared" si="0"/>
        <v>yrend</v>
      </c>
      <c r="N19" s="27"/>
      <c r="O19" s="3"/>
      <c r="R19" t="s">
        <v>52</v>
      </c>
    </row>
    <row r="20" spans="1:18" ht="15.75" x14ac:dyDescent="0.25">
      <c r="A20" s="1">
        <v>42357</v>
      </c>
      <c r="B20" s="3" t="s">
        <v>70</v>
      </c>
      <c r="F20" s="1">
        <v>42338</v>
      </c>
      <c r="G20" s="1">
        <v>42365</v>
      </c>
      <c r="H20" t="s">
        <v>16</v>
      </c>
      <c r="I20" t="s">
        <v>19</v>
      </c>
      <c r="J20" t="s">
        <v>17</v>
      </c>
      <c r="L20" t="s">
        <v>78</v>
      </c>
      <c r="M20" s="24" t="str">
        <f t="shared" si="0"/>
        <v>daysintoyr</v>
      </c>
      <c r="N20" s="27"/>
      <c r="O20" s="3"/>
      <c r="R20" t="s">
        <v>53</v>
      </c>
    </row>
    <row r="21" spans="1:18" ht="15.75" x14ac:dyDescent="0.25">
      <c r="A21" s="1">
        <v>42358</v>
      </c>
      <c r="B21" s="3" t="s">
        <v>71</v>
      </c>
      <c r="F21" s="1">
        <v>42338</v>
      </c>
      <c r="G21" s="1">
        <v>42365</v>
      </c>
      <c r="H21" t="s">
        <v>16</v>
      </c>
      <c r="I21" t="s">
        <v>19</v>
      </c>
      <c r="J21" t="s">
        <v>17</v>
      </c>
      <c r="L21" t="s">
        <v>79</v>
      </c>
      <c r="M21" s="24" t="str">
        <f t="shared" si="0"/>
        <v>wkinyr</v>
      </c>
      <c r="N21" s="27"/>
      <c r="O21" s="3"/>
      <c r="R21" t="s">
        <v>54</v>
      </c>
    </row>
    <row r="22" spans="1:18" ht="15.75" x14ac:dyDescent="0.25">
      <c r="A22" s="1">
        <v>42359</v>
      </c>
      <c r="B22" s="3" t="s">
        <v>72</v>
      </c>
      <c r="F22" s="1">
        <v>42338</v>
      </c>
      <c r="G22" s="1">
        <v>42365</v>
      </c>
      <c r="H22" t="s">
        <v>16</v>
      </c>
      <c r="I22" t="s">
        <v>19</v>
      </c>
      <c r="J22" t="s">
        <v>17</v>
      </c>
      <c r="L22" t="s">
        <v>39</v>
      </c>
      <c r="M22" s="24" t="str">
        <f t="shared" si="0"/>
        <v>wkinprd</v>
      </c>
      <c r="N22" s="27"/>
      <c r="O22" s="3"/>
      <c r="R22" t="s">
        <v>55</v>
      </c>
    </row>
    <row r="23" spans="1:18" ht="15.75" x14ac:dyDescent="0.25">
      <c r="A23" s="1">
        <v>42360</v>
      </c>
      <c r="B23" s="3" t="s">
        <v>73</v>
      </c>
      <c r="F23" s="1">
        <v>42338</v>
      </c>
      <c r="G23" s="1">
        <v>42365</v>
      </c>
      <c r="H23" t="s">
        <v>16</v>
      </c>
      <c r="I23" t="s">
        <v>19</v>
      </c>
      <c r="J23" t="s">
        <v>17</v>
      </c>
      <c r="L23" t="s">
        <v>80</v>
      </c>
      <c r="M23" s="24" t="str">
        <f t="shared" si="0"/>
        <v>daysinqtr</v>
      </c>
      <c r="N23" s="27"/>
      <c r="O23" s="3"/>
      <c r="R23" t="s">
        <v>56</v>
      </c>
    </row>
    <row r="24" spans="1:18" ht="15.75" x14ac:dyDescent="0.25">
      <c r="A24" s="1">
        <v>42361</v>
      </c>
      <c r="B24" s="3" t="s">
        <v>74</v>
      </c>
      <c r="F24" s="1">
        <v>42338</v>
      </c>
      <c r="G24" s="1">
        <v>42365</v>
      </c>
      <c r="H24" t="s">
        <v>16</v>
      </c>
      <c r="I24" t="s">
        <v>19</v>
      </c>
      <c r="J24" t="s">
        <v>17</v>
      </c>
      <c r="L24" t="s">
        <v>18</v>
      </c>
      <c r="M24" s="24" t="str">
        <f t="shared" si="0"/>
        <v>wkinqtr</v>
      </c>
      <c r="N24" s="27"/>
      <c r="O24" s="3"/>
      <c r="R24" t="s">
        <v>57</v>
      </c>
    </row>
    <row r="25" spans="1:18" ht="15.75" x14ac:dyDescent="0.25">
      <c r="A25" s="1">
        <v>42362</v>
      </c>
      <c r="B25" s="3" t="s">
        <v>59</v>
      </c>
      <c r="F25" s="1">
        <v>42338</v>
      </c>
      <c r="G25" s="1">
        <v>42365</v>
      </c>
      <c r="H25" t="s">
        <v>16</v>
      </c>
      <c r="I25" t="s">
        <v>19</v>
      </c>
      <c r="J25" t="s">
        <v>17</v>
      </c>
      <c r="L25" t="s">
        <v>75</v>
      </c>
      <c r="M25" s="24" t="str">
        <f t="shared" si="0"/>
        <v>perstart</v>
      </c>
      <c r="N25" s="27"/>
      <c r="O25" s="3"/>
    </row>
    <row r="26" spans="1:18" ht="15.75" x14ac:dyDescent="0.25">
      <c r="A26" s="1">
        <v>42363</v>
      </c>
      <c r="B26" s="3" t="s">
        <v>60</v>
      </c>
      <c r="F26" s="1">
        <v>42338</v>
      </c>
      <c r="G26" s="1">
        <v>42365</v>
      </c>
      <c r="H26" t="s">
        <v>16</v>
      </c>
      <c r="I26" t="s">
        <v>19</v>
      </c>
      <c r="J26" t="s">
        <v>17</v>
      </c>
      <c r="L26" t="s">
        <v>25</v>
      </c>
      <c r="M26" s="24" t="str">
        <f t="shared" si="0"/>
        <v>perend</v>
      </c>
      <c r="N26" s="27"/>
      <c r="O26" s="3"/>
    </row>
    <row r="27" spans="1:18" ht="15.75" x14ac:dyDescent="0.25">
      <c r="A27" s="1">
        <v>42364</v>
      </c>
      <c r="B27" s="3" t="s">
        <v>58</v>
      </c>
      <c r="F27" s="1">
        <v>42338</v>
      </c>
      <c r="G27" s="1">
        <v>42365</v>
      </c>
      <c r="H27" t="s">
        <v>16</v>
      </c>
      <c r="I27" t="s">
        <v>19</v>
      </c>
      <c r="J27" t="s">
        <v>17</v>
      </c>
      <c r="L27" t="s">
        <v>19</v>
      </c>
      <c r="M27" s="24" t="str">
        <f t="shared" si="0"/>
        <v>currper</v>
      </c>
      <c r="N27" s="27"/>
      <c r="O27" s="3"/>
    </row>
    <row r="28" spans="1:18" ht="15.75" x14ac:dyDescent="0.25">
      <c r="A28" s="1">
        <v>42365</v>
      </c>
      <c r="B28" s="3" t="s">
        <v>61</v>
      </c>
      <c r="F28" s="1">
        <v>42338</v>
      </c>
      <c r="G28" s="1">
        <v>42365</v>
      </c>
      <c r="H28" t="s">
        <v>16</v>
      </c>
      <c r="I28" t="s">
        <v>19</v>
      </c>
      <c r="J28" t="s">
        <v>17</v>
      </c>
      <c r="L28" t="s">
        <v>18</v>
      </c>
      <c r="M28" s="24" t="str">
        <f t="shared" si="0"/>
        <v>prevper</v>
      </c>
      <c r="N28" s="27"/>
      <c r="O28" s="3"/>
    </row>
    <row r="29" spans="1:18" ht="15.75" x14ac:dyDescent="0.25">
      <c r="A29" s="1">
        <v>42366</v>
      </c>
      <c r="B29" s="3" t="s">
        <v>62</v>
      </c>
      <c r="F29" s="1">
        <v>42366</v>
      </c>
      <c r="G29" s="1">
        <v>42393</v>
      </c>
      <c r="H29" t="s">
        <v>31</v>
      </c>
      <c r="I29" t="s">
        <v>32</v>
      </c>
      <c r="J29" t="s">
        <v>32</v>
      </c>
      <c r="L29" t="s">
        <v>36</v>
      </c>
      <c r="M29" s="24" t="str">
        <f t="shared" si="0"/>
        <v>nextper</v>
      </c>
      <c r="N29" s="27"/>
      <c r="O29" s="3"/>
    </row>
    <row r="30" spans="1:18" ht="15.75" x14ac:dyDescent="0.25">
      <c r="A30" s="1">
        <v>42367</v>
      </c>
      <c r="B30" s="3" t="s">
        <v>63</v>
      </c>
      <c r="F30" s="1">
        <v>42366</v>
      </c>
      <c r="G30" s="1">
        <v>42393</v>
      </c>
      <c r="H30" t="s">
        <v>31</v>
      </c>
      <c r="I30" t="s">
        <v>32</v>
      </c>
      <c r="J30" t="s">
        <v>32</v>
      </c>
      <c r="L30" t="s">
        <v>76</v>
      </c>
      <c r="M30" s="24" t="str">
        <f t="shared" si="0"/>
        <v>daysinprd</v>
      </c>
      <c r="N30" s="27"/>
      <c r="O30" s="3"/>
    </row>
    <row r="31" spans="1:18" ht="15.75" x14ac:dyDescent="0.25">
      <c r="A31" s="1">
        <v>42368</v>
      </c>
      <c r="B31" s="3" t="s">
        <v>64</v>
      </c>
      <c r="F31" s="1">
        <v>42366</v>
      </c>
      <c r="G31" s="1">
        <v>42393</v>
      </c>
      <c r="H31" t="s">
        <v>31</v>
      </c>
      <c r="I31" t="s">
        <v>32</v>
      </c>
      <c r="J31" t="s">
        <v>32</v>
      </c>
      <c r="L31" t="s">
        <v>39</v>
      </c>
      <c r="M31" s="24" t="str">
        <f t="shared" si="0"/>
        <v>wksinprd</v>
      </c>
      <c r="N31" s="27"/>
      <c r="O31" s="3"/>
    </row>
    <row r="32" spans="1:18" ht="15.75" x14ac:dyDescent="0.25">
      <c r="A32" s="1">
        <v>42369</v>
      </c>
      <c r="B32" s="3" t="s">
        <v>65</v>
      </c>
      <c r="F32" s="1">
        <v>42366</v>
      </c>
      <c r="G32" s="1">
        <v>42393</v>
      </c>
      <c r="H32" t="s">
        <v>31</v>
      </c>
      <c r="I32" t="s">
        <v>32</v>
      </c>
      <c r="J32" t="s">
        <v>32</v>
      </c>
      <c r="L32" t="s">
        <v>20</v>
      </c>
      <c r="M32" s="24" t="str">
        <f t="shared" si="0"/>
        <v>currqtr</v>
      </c>
      <c r="N32" s="27"/>
      <c r="O32" s="3"/>
    </row>
    <row r="33" spans="1:15" ht="15.75" x14ac:dyDescent="0.25">
      <c r="A33" s="1">
        <v>42370</v>
      </c>
      <c r="B33" s="3" t="s">
        <v>66</v>
      </c>
      <c r="F33" s="1">
        <v>42366</v>
      </c>
      <c r="G33" s="1">
        <v>42393</v>
      </c>
      <c r="H33" t="s">
        <v>31</v>
      </c>
      <c r="I33" t="s">
        <v>32</v>
      </c>
      <c r="J33" t="s">
        <v>32</v>
      </c>
      <c r="L33" t="s">
        <v>81</v>
      </c>
      <c r="M33" s="24" t="str">
        <f t="shared" si="0"/>
        <v>qtrstart</v>
      </c>
      <c r="N33" s="27"/>
      <c r="O33" s="3"/>
    </row>
    <row r="34" spans="1:15" ht="15.75" x14ac:dyDescent="0.25">
      <c r="A34" s="1">
        <v>42371</v>
      </c>
      <c r="B34" s="3" t="s">
        <v>67</v>
      </c>
      <c r="F34" s="1">
        <v>42366</v>
      </c>
      <c r="G34" s="1">
        <v>42393</v>
      </c>
      <c r="H34" t="s">
        <v>31</v>
      </c>
      <c r="I34" t="s">
        <v>32</v>
      </c>
      <c r="J34" t="s">
        <v>32</v>
      </c>
      <c r="L34" t="s">
        <v>82</v>
      </c>
      <c r="M34" s="24" t="str">
        <f t="shared" si="0"/>
        <v>qtrend</v>
      </c>
      <c r="N34" s="27"/>
      <c r="O34" s="3"/>
    </row>
    <row r="35" spans="1:15" ht="15.75" x14ac:dyDescent="0.25">
      <c r="A35" s="1">
        <v>42372</v>
      </c>
      <c r="B35" s="3" t="s">
        <v>68</v>
      </c>
      <c r="F35" s="1">
        <v>42366</v>
      </c>
      <c r="G35" s="1">
        <v>42393</v>
      </c>
      <c r="H35" t="s">
        <v>31</v>
      </c>
      <c r="I35" t="s">
        <v>32</v>
      </c>
      <c r="J35" t="s">
        <v>32</v>
      </c>
      <c r="L35" t="s">
        <v>81</v>
      </c>
      <c r="M35" s="24" t="str">
        <f t="shared" si="0"/>
        <v>yrstart</v>
      </c>
      <c r="N35" s="27"/>
      <c r="O35" s="3"/>
    </row>
    <row r="36" spans="1:15" ht="15.75" x14ac:dyDescent="0.25">
      <c r="A36" s="1">
        <v>42373</v>
      </c>
      <c r="B36" s="3" t="s">
        <v>69</v>
      </c>
      <c r="F36" s="1">
        <v>42366</v>
      </c>
      <c r="G36" s="1">
        <v>42393</v>
      </c>
      <c r="H36" t="s">
        <v>31</v>
      </c>
      <c r="I36" t="s">
        <v>32</v>
      </c>
      <c r="J36" t="s">
        <v>32</v>
      </c>
      <c r="L36" t="s">
        <v>83</v>
      </c>
      <c r="M36" s="24" t="str">
        <f t="shared" si="0"/>
        <v>yrend</v>
      </c>
      <c r="N36" s="27"/>
      <c r="O36" s="3"/>
    </row>
    <row r="37" spans="1:15" ht="15.75" x14ac:dyDescent="0.25">
      <c r="A37" s="1">
        <v>42374</v>
      </c>
      <c r="B37" s="3" t="s">
        <v>70</v>
      </c>
      <c r="F37" s="1">
        <v>42366</v>
      </c>
      <c r="G37" s="1">
        <v>42393</v>
      </c>
      <c r="H37" t="s">
        <v>31</v>
      </c>
      <c r="I37" t="s">
        <v>32</v>
      </c>
      <c r="J37" t="s">
        <v>32</v>
      </c>
      <c r="L37" t="s">
        <v>38</v>
      </c>
      <c r="M37" s="24" t="str">
        <f t="shared" si="0"/>
        <v>daysintoyr</v>
      </c>
      <c r="N37" s="27"/>
      <c r="O37" s="3"/>
    </row>
    <row r="38" spans="1:15" ht="15.75" x14ac:dyDescent="0.25">
      <c r="A38" s="1">
        <v>42375</v>
      </c>
      <c r="B38" s="3" t="s">
        <v>71</v>
      </c>
      <c r="F38" s="1">
        <v>42366</v>
      </c>
      <c r="G38" s="1">
        <v>42393</v>
      </c>
      <c r="H38" t="s">
        <v>31</v>
      </c>
      <c r="I38" t="s">
        <v>32</v>
      </c>
      <c r="J38" t="s">
        <v>32</v>
      </c>
      <c r="L38" t="s">
        <v>36</v>
      </c>
      <c r="M38" s="24" t="str">
        <f t="shared" si="0"/>
        <v>wkinyr</v>
      </c>
      <c r="N38" s="27"/>
      <c r="O38" s="3"/>
    </row>
    <row r="39" spans="1:15" ht="15.75" x14ac:dyDescent="0.25">
      <c r="A39" s="1">
        <v>42376</v>
      </c>
      <c r="B39" s="3" t="s">
        <v>72</v>
      </c>
      <c r="F39" s="1">
        <v>42366</v>
      </c>
      <c r="G39" s="1">
        <v>42393</v>
      </c>
      <c r="H39" t="s">
        <v>31</v>
      </c>
      <c r="I39" t="s">
        <v>32</v>
      </c>
      <c r="J39" t="s">
        <v>32</v>
      </c>
      <c r="L39" t="s">
        <v>36</v>
      </c>
      <c r="M39" s="24" t="str">
        <f t="shared" si="0"/>
        <v>wkinprd</v>
      </c>
      <c r="N39" s="27"/>
      <c r="O39" s="3"/>
    </row>
    <row r="40" spans="1:15" ht="15.75" x14ac:dyDescent="0.25">
      <c r="A40" s="1">
        <v>42377</v>
      </c>
      <c r="B40" s="3" t="s">
        <v>73</v>
      </c>
      <c r="F40" s="1">
        <v>42366</v>
      </c>
      <c r="G40" s="1">
        <v>42393</v>
      </c>
      <c r="H40" t="s">
        <v>31</v>
      </c>
      <c r="I40" t="s">
        <v>32</v>
      </c>
      <c r="J40" t="s">
        <v>32</v>
      </c>
      <c r="L40" t="s">
        <v>18</v>
      </c>
      <c r="M40" s="24" t="str">
        <f t="shared" si="0"/>
        <v>daysinqtr</v>
      </c>
      <c r="N40" s="27"/>
      <c r="O40" s="3"/>
    </row>
    <row r="41" spans="1:15" ht="16.5" thickBot="1" x14ac:dyDescent="0.3">
      <c r="A41" s="1">
        <v>42378</v>
      </c>
      <c r="B41" s="3" t="s">
        <v>74</v>
      </c>
      <c r="F41" s="1">
        <v>42366</v>
      </c>
      <c r="G41" s="1">
        <v>42393</v>
      </c>
      <c r="H41" t="s">
        <v>31</v>
      </c>
      <c r="I41" t="s">
        <v>32</v>
      </c>
      <c r="J41" t="s">
        <v>32</v>
      </c>
      <c r="L41" t="s">
        <v>36</v>
      </c>
      <c r="M41" s="25" t="str">
        <f t="shared" si="0"/>
        <v>wkinqtr</v>
      </c>
      <c r="N41" s="28"/>
      <c r="O41" s="3"/>
    </row>
    <row r="42" spans="1:15" x14ac:dyDescent="0.25">
      <c r="A42" s="1"/>
      <c r="B42" s="3"/>
      <c r="F42" s="1"/>
      <c r="G42" s="1"/>
      <c r="M42" s="1"/>
    </row>
    <row r="43" spans="1:15" x14ac:dyDescent="0.25">
      <c r="A43" s="1"/>
      <c r="B43" s="3"/>
      <c r="F43" s="1"/>
      <c r="G43" s="1"/>
      <c r="M43" s="1"/>
    </row>
    <row r="44" spans="1:15" x14ac:dyDescent="0.25">
      <c r="A44" s="1"/>
      <c r="B44" s="3"/>
      <c r="F44" s="1"/>
      <c r="G44" s="1"/>
      <c r="M44" s="1"/>
    </row>
    <row r="45" spans="1:15" x14ac:dyDescent="0.25">
      <c r="A45" s="1"/>
      <c r="B45" s="3"/>
      <c r="F45" s="1"/>
      <c r="G45" s="1"/>
      <c r="M45" s="1"/>
    </row>
    <row r="46" spans="1:15" x14ac:dyDescent="0.25">
      <c r="A46" s="1"/>
      <c r="B46" s="3"/>
      <c r="F46" s="1"/>
      <c r="G46" s="1"/>
      <c r="M46" s="1"/>
    </row>
    <row r="47" spans="1:15" x14ac:dyDescent="0.25">
      <c r="A47" s="1"/>
      <c r="B47" s="3"/>
      <c r="F47" s="1"/>
      <c r="G47" s="1"/>
      <c r="M47" s="1"/>
    </row>
    <row r="48" spans="1:15" x14ac:dyDescent="0.25">
      <c r="A48" s="1"/>
      <c r="B48" s="3"/>
      <c r="F48" s="1"/>
      <c r="G48" s="1"/>
      <c r="M48" s="1"/>
    </row>
    <row r="49" spans="1:13" x14ac:dyDescent="0.25">
      <c r="A49" s="1"/>
      <c r="B49" s="3"/>
      <c r="F49" s="1"/>
      <c r="G49" s="1"/>
      <c r="M49" s="1"/>
    </row>
    <row r="50" spans="1:13" x14ac:dyDescent="0.25">
      <c r="A50" s="1"/>
      <c r="B50" s="3"/>
      <c r="F50" s="1"/>
      <c r="G50" s="1"/>
      <c r="M50" s="1"/>
    </row>
    <row r="51" spans="1:13" x14ac:dyDescent="0.25">
      <c r="A51" s="1"/>
      <c r="B51" s="3"/>
      <c r="F51" s="1"/>
      <c r="G51" s="1"/>
      <c r="M51" s="1"/>
    </row>
    <row r="52" spans="1:13" x14ac:dyDescent="0.25">
      <c r="A52" s="1"/>
      <c r="B52" s="3"/>
      <c r="F52" s="1"/>
      <c r="G52" s="1"/>
      <c r="M52" s="1"/>
    </row>
    <row r="53" spans="1:13" x14ac:dyDescent="0.25">
      <c r="A53" s="1"/>
      <c r="B53" s="3"/>
      <c r="F53" s="1"/>
      <c r="G53" s="1"/>
      <c r="M53" s="1"/>
    </row>
    <row r="54" spans="1:13" x14ac:dyDescent="0.25">
      <c r="A54" s="1"/>
      <c r="B54" s="3"/>
      <c r="F54" s="1"/>
      <c r="G54" s="1"/>
      <c r="M54" s="1"/>
    </row>
    <row r="55" spans="1:13" x14ac:dyDescent="0.25">
      <c r="A55" s="1"/>
      <c r="B55" s="3"/>
      <c r="F55" s="1"/>
      <c r="G55" s="1"/>
      <c r="M55" s="1"/>
    </row>
    <row r="56" spans="1:13" x14ac:dyDescent="0.25">
      <c r="A56" s="1"/>
      <c r="B56" s="3"/>
      <c r="F56" s="1"/>
      <c r="G56" s="1"/>
      <c r="M56" s="1"/>
    </row>
    <row r="57" spans="1:13" x14ac:dyDescent="0.25">
      <c r="A57" s="1"/>
      <c r="B57" s="3"/>
      <c r="F57" s="1"/>
      <c r="G57" s="1"/>
      <c r="M57" s="1"/>
    </row>
    <row r="58" spans="1:13" x14ac:dyDescent="0.25">
      <c r="A58" s="1"/>
      <c r="B58" s="3"/>
      <c r="F58" s="1"/>
      <c r="G58" s="1"/>
      <c r="M58" s="1"/>
    </row>
    <row r="59" spans="1:13" x14ac:dyDescent="0.25">
      <c r="A59" s="1"/>
      <c r="B59" s="3"/>
      <c r="F59" s="1"/>
      <c r="G59" s="1"/>
      <c r="M59" s="1"/>
    </row>
    <row r="60" spans="1:13" x14ac:dyDescent="0.25">
      <c r="A60" s="1"/>
      <c r="B60" s="3"/>
      <c r="F60" s="1"/>
      <c r="G60" s="1"/>
      <c r="M60" s="1"/>
    </row>
    <row r="61" spans="1:13" x14ac:dyDescent="0.25">
      <c r="A61" s="1"/>
      <c r="B61" s="3"/>
      <c r="F61" s="1"/>
      <c r="G61" s="1"/>
      <c r="M61" s="1"/>
    </row>
    <row r="62" spans="1:13" x14ac:dyDescent="0.25">
      <c r="A62" s="1"/>
      <c r="B62" s="3"/>
      <c r="F62" s="1"/>
      <c r="G62" s="1"/>
      <c r="M62" s="1"/>
    </row>
    <row r="63" spans="1:13" x14ac:dyDescent="0.25">
      <c r="A63" s="1"/>
      <c r="B63" s="3"/>
      <c r="F63" s="1"/>
      <c r="G63" s="1"/>
      <c r="M63" s="1"/>
    </row>
    <row r="64" spans="1:13" x14ac:dyDescent="0.25">
      <c r="A64" s="1"/>
      <c r="B64" s="3"/>
      <c r="F64" s="1"/>
      <c r="G64" s="1"/>
      <c r="M64" s="1"/>
    </row>
    <row r="65" spans="1:13" x14ac:dyDescent="0.25">
      <c r="A65" s="1"/>
      <c r="B65" s="3"/>
      <c r="F65" s="1"/>
      <c r="G65" s="1"/>
      <c r="M65" s="1"/>
    </row>
    <row r="66" spans="1:13" x14ac:dyDescent="0.25">
      <c r="A66" s="1"/>
      <c r="B66" s="3"/>
      <c r="F66" s="1"/>
      <c r="G66" s="1"/>
      <c r="M66" s="1"/>
    </row>
    <row r="67" spans="1:13" x14ac:dyDescent="0.25">
      <c r="A67" s="1"/>
      <c r="B67" s="3"/>
      <c r="F67" s="1"/>
      <c r="G67" s="1"/>
      <c r="M67" s="1"/>
    </row>
    <row r="68" spans="1:13" x14ac:dyDescent="0.25">
      <c r="A68" s="1"/>
      <c r="B68" s="3"/>
      <c r="F68" s="1"/>
      <c r="G68" s="1"/>
      <c r="M68" s="1"/>
    </row>
    <row r="69" spans="1:13" x14ac:dyDescent="0.25">
      <c r="A69" s="1"/>
      <c r="B69" s="3"/>
      <c r="F69" s="1"/>
      <c r="G69" s="1"/>
      <c r="M69" s="1"/>
    </row>
    <row r="70" spans="1:13" x14ac:dyDescent="0.25">
      <c r="A70" s="1"/>
      <c r="B70" s="3"/>
      <c r="F70" s="1"/>
      <c r="G70" s="1"/>
      <c r="M70" s="1"/>
    </row>
    <row r="71" spans="1:13" x14ac:dyDescent="0.25">
      <c r="A71" s="1"/>
      <c r="B71" s="3"/>
      <c r="F71" s="1"/>
      <c r="G71" s="1"/>
      <c r="M71" s="1"/>
    </row>
    <row r="72" spans="1:13" x14ac:dyDescent="0.25">
      <c r="A72" s="1"/>
      <c r="B72" s="3"/>
      <c r="F72" s="1"/>
      <c r="G72" s="1"/>
      <c r="M72" s="1"/>
    </row>
    <row r="73" spans="1:13" x14ac:dyDescent="0.25">
      <c r="A73" s="1"/>
      <c r="B73" s="3"/>
      <c r="F73" s="1"/>
      <c r="G73" s="1"/>
      <c r="M73" s="1"/>
    </row>
    <row r="74" spans="1:13" x14ac:dyDescent="0.25">
      <c r="A74" s="1"/>
      <c r="B74" s="3"/>
      <c r="F74" s="1"/>
      <c r="G74" s="1"/>
      <c r="M74" s="1"/>
    </row>
    <row r="75" spans="1:13" x14ac:dyDescent="0.25">
      <c r="A75" s="1"/>
      <c r="B75" s="3"/>
      <c r="F75" s="1"/>
      <c r="G75" s="1"/>
      <c r="M75" s="1"/>
    </row>
    <row r="76" spans="1:13" x14ac:dyDescent="0.25">
      <c r="A76" s="1"/>
      <c r="B76" s="3"/>
      <c r="F76" s="1"/>
      <c r="G76" s="1"/>
      <c r="M76" s="1"/>
    </row>
    <row r="77" spans="1:13" x14ac:dyDescent="0.25">
      <c r="A77" s="1"/>
      <c r="B77" s="3"/>
      <c r="F77" s="1"/>
      <c r="G77" s="1"/>
      <c r="M77" s="1"/>
    </row>
    <row r="78" spans="1:13" x14ac:dyDescent="0.25">
      <c r="A78" s="1"/>
      <c r="B78" s="3"/>
      <c r="F78" s="1"/>
      <c r="G78" s="1"/>
      <c r="M78" s="1"/>
    </row>
    <row r="79" spans="1:13" x14ac:dyDescent="0.25">
      <c r="A79" s="1"/>
      <c r="B79" s="3"/>
      <c r="F79" s="1"/>
      <c r="G79" s="1"/>
      <c r="M79" s="1"/>
    </row>
    <row r="80" spans="1:13" x14ac:dyDescent="0.25">
      <c r="A80" s="1"/>
      <c r="B80" s="3"/>
      <c r="F80" s="1"/>
      <c r="G80" s="1"/>
      <c r="M80" s="1"/>
    </row>
    <row r="81" spans="1:13" x14ac:dyDescent="0.25">
      <c r="A81" s="1"/>
      <c r="B81" s="3"/>
      <c r="F81" s="1"/>
      <c r="G81" s="1"/>
      <c r="M81" s="1"/>
    </row>
    <row r="82" spans="1:13" x14ac:dyDescent="0.25">
      <c r="A82" s="1"/>
      <c r="B82" s="3"/>
      <c r="F82" s="1"/>
      <c r="G82" s="1"/>
      <c r="M82" s="1"/>
    </row>
    <row r="83" spans="1:13" x14ac:dyDescent="0.25">
      <c r="A83" s="1"/>
      <c r="B83" s="3"/>
      <c r="F83" s="1"/>
      <c r="G83" s="1"/>
      <c r="M83" s="1"/>
    </row>
    <row r="84" spans="1:13" x14ac:dyDescent="0.25">
      <c r="A84" s="1"/>
      <c r="B84" s="3"/>
      <c r="F84" s="1"/>
      <c r="G84" s="1"/>
      <c r="M84" s="1"/>
    </row>
    <row r="85" spans="1:13" x14ac:dyDescent="0.25">
      <c r="A85" s="1"/>
      <c r="B85" s="3"/>
      <c r="F85" s="1"/>
      <c r="G85" s="1"/>
      <c r="M85" s="1"/>
    </row>
    <row r="86" spans="1:13" x14ac:dyDescent="0.25">
      <c r="A86" s="1"/>
      <c r="B86" s="3"/>
      <c r="F86" s="1"/>
      <c r="G86" s="1"/>
      <c r="M86" s="1"/>
    </row>
    <row r="87" spans="1:13" x14ac:dyDescent="0.25">
      <c r="A87" s="1"/>
      <c r="B87" s="3"/>
      <c r="F87" s="1"/>
      <c r="G87" s="1"/>
      <c r="M87" s="1"/>
    </row>
    <row r="88" spans="1:13" x14ac:dyDescent="0.25">
      <c r="A88" s="1"/>
      <c r="B88" s="3"/>
      <c r="F88" s="1"/>
      <c r="G88" s="1"/>
      <c r="M88" s="1"/>
    </row>
    <row r="89" spans="1:13" x14ac:dyDescent="0.25">
      <c r="A89" s="1"/>
      <c r="B89" s="3"/>
      <c r="F89" s="1"/>
      <c r="G89" s="1"/>
      <c r="M89" s="1"/>
    </row>
    <row r="90" spans="1:13" x14ac:dyDescent="0.25">
      <c r="A90" s="1"/>
      <c r="B90" s="3"/>
      <c r="F90" s="1"/>
      <c r="G90" s="1"/>
      <c r="M90" s="1"/>
    </row>
    <row r="91" spans="1:13" x14ac:dyDescent="0.25">
      <c r="A91" s="1"/>
      <c r="B91" s="3"/>
      <c r="F91" s="1"/>
      <c r="G91" s="1"/>
      <c r="M91" s="1"/>
    </row>
    <row r="92" spans="1:13" x14ac:dyDescent="0.25">
      <c r="A92" s="1"/>
      <c r="B92" s="3"/>
      <c r="F92" s="1"/>
      <c r="G92" s="1"/>
      <c r="M92" s="1"/>
    </row>
    <row r="93" spans="1:13" x14ac:dyDescent="0.25">
      <c r="A93" s="1"/>
      <c r="B93" s="3"/>
      <c r="F93" s="1"/>
      <c r="G93" s="1"/>
      <c r="M93" s="1"/>
    </row>
    <row r="94" spans="1:13" x14ac:dyDescent="0.25">
      <c r="A94" s="1"/>
      <c r="B94" s="3"/>
      <c r="F94" s="1"/>
      <c r="G94" s="1"/>
      <c r="M94" s="1"/>
    </row>
    <row r="95" spans="1:13" x14ac:dyDescent="0.25">
      <c r="A95" s="1"/>
      <c r="B95" s="3"/>
      <c r="F95" s="1"/>
      <c r="G95" s="1"/>
      <c r="M95" s="1"/>
    </row>
    <row r="96" spans="1:13" x14ac:dyDescent="0.25">
      <c r="A96" s="1"/>
      <c r="B96" s="3"/>
      <c r="F96" s="1"/>
      <c r="G96" s="1"/>
      <c r="M96" s="1"/>
    </row>
    <row r="97" spans="1:13" x14ac:dyDescent="0.25">
      <c r="A97" s="1"/>
      <c r="B97" s="3"/>
      <c r="F97" s="1"/>
      <c r="G97" s="1"/>
      <c r="M97" s="1"/>
    </row>
    <row r="98" spans="1:13" x14ac:dyDescent="0.25">
      <c r="A98" s="1"/>
      <c r="B98" s="3"/>
      <c r="F98" s="1"/>
      <c r="G98" s="1"/>
      <c r="M98" s="1"/>
    </row>
    <row r="99" spans="1:13" x14ac:dyDescent="0.25">
      <c r="A99" s="1"/>
      <c r="B99" s="3"/>
      <c r="F99" s="1"/>
      <c r="G99" s="1"/>
      <c r="M99" s="1"/>
    </row>
    <row r="100" spans="1:13" x14ac:dyDescent="0.25">
      <c r="A100" s="1"/>
      <c r="B100" s="3"/>
      <c r="F100" s="1"/>
      <c r="G100" s="1"/>
      <c r="M100" s="1"/>
    </row>
    <row r="101" spans="1:13" x14ac:dyDescent="0.25">
      <c r="A101" s="1"/>
      <c r="B101" s="3"/>
      <c r="F101" s="1"/>
      <c r="G101" s="1"/>
      <c r="M101" s="1"/>
    </row>
    <row r="102" spans="1:13" x14ac:dyDescent="0.25">
      <c r="A102" s="1"/>
      <c r="B102" s="3"/>
      <c r="F102" s="1"/>
      <c r="G102" s="1"/>
      <c r="M102" s="1"/>
    </row>
    <row r="103" spans="1:13" x14ac:dyDescent="0.25">
      <c r="A103" s="1"/>
      <c r="B103" s="3"/>
      <c r="F103" s="1"/>
      <c r="G103" s="1"/>
      <c r="M103" s="1"/>
    </row>
    <row r="104" spans="1:13" x14ac:dyDescent="0.25">
      <c r="A104" s="1"/>
      <c r="B104" s="3"/>
      <c r="F104" s="1"/>
      <c r="G104" s="1"/>
      <c r="M104" s="1"/>
    </row>
    <row r="105" spans="1:13" x14ac:dyDescent="0.25">
      <c r="A105" s="1"/>
      <c r="B105" s="3"/>
      <c r="F105" s="1"/>
      <c r="G105" s="1"/>
      <c r="M105" s="1"/>
    </row>
    <row r="106" spans="1:13" x14ac:dyDescent="0.25">
      <c r="A106" s="1"/>
      <c r="B106" s="3"/>
      <c r="F106" s="1"/>
      <c r="G106" s="1"/>
      <c r="M106" s="1"/>
    </row>
    <row r="107" spans="1:13" x14ac:dyDescent="0.25">
      <c r="A107" s="1"/>
      <c r="B107" s="3"/>
      <c r="F107" s="1"/>
      <c r="G107" s="1"/>
      <c r="M107" s="1"/>
    </row>
    <row r="108" spans="1:13" x14ac:dyDescent="0.25">
      <c r="A108" s="1"/>
      <c r="B108" s="3"/>
      <c r="F108" s="1"/>
      <c r="G108" s="1"/>
      <c r="M108" s="1"/>
    </row>
    <row r="109" spans="1:13" x14ac:dyDescent="0.25">
      <c r="A109" s="1"/>
      <c r="B109" s="3"/>
      <c r="F109" s="1"/>
      <c r="G109" s="1"/>
      <c r="M109" s="1"/>
    </row>
    <row r="110" spans="1:13" x14ac:dyDescent="0.25">
      <c r="A110" s="1"/>
      <c r="B110" s="3"/>
      <c r="F110" s="1"/>
      <c r="G110" s="1"/>
      <c r="M110" s="1"/>
    </row>
    <row r="111" spans="1:13" x14ac:dyDescent="0.25">
      <c r="A111" s="1"/>
      <c r="B111" s="3"/>
      <c r="F111" s="1"/>
      <c r="G111" s="1"/>
      <c r="M111" s="1"/>
    </row>
    <row r="112" spans="1:13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4098" r:id="rId4" name="ClearBtn"/>
      </mc:Fallback>
    </mc:AlternateContent>
    <mc:AlternateContent xmlns:mc="http://schemas.openxmlformats.org/markup-compatibility/2006">
      <mc:Choice Requires="x14">
        <control shapeId="4097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4097" r:id="rId6" name="ExecuteQueri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412"/>
  <sheetViews>
    <sheetView tabSelected="1" workbookViewId="0">
      <selection activeCell="O30" sqref="O30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3.42578125" customWidth="1"/>
    <col min="13" max="13" width="17.5703125" customWidth="1"/>
    <col min="15" max="15" width="16.85546875" customWidth="1"/>
    <col min="16" max="16" width="18.28515625" bestFit="1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37</v>
      </c>
      <c r="I2" s="5">
        <v>6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8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8" t="s">
        <v>15</v>
      </c>
      <c r="M6" s="20" t="s">
        <v>33</v>
      </c>
      <c r="N6" s="39" t="s">
        <v>84</v>
      </c>
      <c r="O6" s="10" t="s">
        <v>87</v>
      </c>
      <c r="P6" s="10" t="s">
        <v>111</v>
      </c>
    </row>
    <row r="7" spans="1:18" s="2" customFormat="1" ht="15.75" thickBot="1" x14ac:dyDescent="0.3">
      <c r="F7" s="6"/>
      <c r="G7" s="6"/>
      <c r="M7" s="41"/>
      <c r="N7" s="41"/>
      <c r="O7" s="41"/>
      <c r="P7" s="41"/>
    </row>
    <row r="8" spans="1:18" s="4" customFormat="1" ht="13.5" customHeight="1" x14ac:dyDescent="0.25">
      <c r="A8" s="42">
        <v>42002</v>
      </c>
      <c r="B8" s="43" t="s">
        <v>70</v>
      </c>
      <c r="C8" s="44"/>
      <c r="D8" s="44"/>
      <c r="E8" s="2"/>
      <c r="F8" s="42">
        <v>42002</v>
      </c>
      <c r="G8" s="42">
        <v>42029</v>
      </c>
      <c r="H8" s="44" t="s">
        <v>16</v>
      </c>
      <c r="I8" s="44" t="s">
        <v>32</v>
      </c>
      <c r="J8" s="44" t="s">
        <v>32</v>
      </c>
      <c r="K8" s="2"/>
      <c r="L8" s="48" t="s">
        <v>20</v>
      </c>
      <c r="M8" s="52"/>
      <c r="N8" s="53"/>
      <c r="O8" s="50"/>
      <c r="P8" s="43" t="s">
        <v>112</v>
      </c>
      <c r="R8" s="4" t="s">
        <v>41</v>
      </c>
    </row>
    <row r="9" spans="1:18" s="4" customFormat="1" ht="15.75" x14ac:dyDescent="0.25">
      <c r="A9" s="42">
        <v>42001</v>
      </c>
      <c r="B9" s="43" t="s">
        <v>70</v>
      </c>
      <c r="C9" s="44"/>
      <c r="D9" s="44"/>
      <c r="E9" s="2"/>
      <c r="F9" s="42">
        <v>41974</v>
      </c>
      <c r="G9" s="42">
        <v>42001</v>
      </c>
      <c r="H9" s="44" t="s">
        <v>89</v>
      </c>
      <c r="I9" s="44" t="s">
        <v>19</v>
      </c>
      <c r="J9" s="44" t="s">
        <v>17</v>
      </c>
      <c r="K9" s="2"/>
      <c r="L9" s="48" t="s">
        <v>109</v>
      </c>
      <c r="M9" s="54"/>
      <c r="N9" s="55" t="s">
        <v>88</v>
      </c>
      <c r="O9" s="50">
        <f>F10-F8</f>
        <v>364</v>
      </c>
      <c r="P9" s="43" t="s">
        <v>110</v>
      </c>
      <c r="R9" s="4" t="s">
        <v>42</v>
      </c>
    </row>
    <row r="10" spans="1:18" s="4" customFormat="1" ht="15.75" x14ac:dyDescent="0.25">
      <c r="A10" s="42">
        <v>42366</v>
      </c>
      <c r="B10" s="43" t="s">
        <v>70</v>
      </c>
      <c r="C10" s="44"/>
      <c r="D10" s="44"/>
      <c r="E10" s="2"/>
      <c r="F10" s="42">
        <v>42366</v>
      </c>
      <c r="G10" s="42">
        <v>42393</v>
      </c>
      <c r="H10" s="44" t="s">
        <v>31</v>
      </c>
      <c r="I10" s="44" t="s">
        <v>32</v>
      </c>
      <c r="J10" s="44" t="s">
        <v>32</v>
      </c>
      <c r="K10" s="2"/>
      <c r="L10" s="48" t="s">
        <v>20</v>
      </c>
      <c r="M10" s="54"/>
      <c r="N10" s="55"/>
      <c r="O10" s="50"/>
      <c r="P10" s="44" t="s">
        <v>113</v>
      </c>
      <c r="R10" s="4" t="s">
        <v>43</v>
      </c>
    </row>
    <row r="11" spans="1:18" s="4" customFormat="1" ht="15.75" x14ac:dyDescent="0.25">
      <c r="A11" s="45"/>
      <c r="B11" s="46"/>
      <c r="C11" s="47"/>
      <c r="D11" s="47"/>
      <c r="E11" s="2"/>
      <c r="F11" s="45"/>
      <c r="G11" s="45"/>
      <c r="H11" s="47"/>
      <c r="I11" s="47"/>
      <c r="J11" s="47"/>
      <c r="K11" s="2"/>
      <c r="L11" s="49"/>
      <c r="M11" s="56"/>
      <c r="N11" s="57"/>
      <c r="O11" s="44"/>
      <c r="P11" s="43"/>
      <c r="R11" s="4" t="s">
        <v>44</v>
      </c>
    </row>
    <row r="12" spans="1:18" s="4" customFormat="1" ht="15.75" x14ac:dyDescent="0.25">
      <c r="A12" s="42"/>
      <c r="B12" s="43"/>
      <c r="C12" s="44"/>
      <c r="D12" s="44"/>
      <c r="E12" s="40"/>
      <c r="F12" s="42"/>
      <c r="G12" s="42"/>
      <c r="H12" s="44"/>
      <c r="I12" s="44"/>
      <c r="J12" s="44"/>
      <c r="K12" s="40"/>
      <c r="L12" s="48"/>
      <c r="M12" s="54"/>
      <c r="N12" s="58"/>
      <c r="O12" s="44"/>
      <c r="P12" s="44"/>
      <c r="R12" s="4" t="s">
        <v>45</v>
      </c>
    </row>
    <row r="13" spans="1:18" s="4" customFormat="1" ht="15.75" x14ac:dyDescent="0.25">
      <c r="A13" s="42"/>
      <c r="B13" s="43"/>
      <c r="C13" s="44"/>
      <c r="D13" s="44"/>
      <c r="E13" s="40"/>
      <c r="F13" s="42"/>
      <c r="G13" s="42"/>
      <c r="H13" s="44"/>
      <c r="I13" s="44"/>
      <c r="J13" s="44"/>
      <c r="K13" s="40"/>
      <c r="L13" s="48"/>
      <c r="M13" s="54"/>
      <c r="N13" s="58"/>
      <c r="O13" s="43"/>
      <c r="P13" s="44"/>
      <c r="R13" s="4" t="s">
        <v>46</v>
      </c>
    </row>
    <row r="14" spans="1:18" s="4" customFormat="1" ht="15.75" x14ac:dyDescent="0.25">
      <c r="A14" s="42"/>
      <c r="B14" s="43"/>
      <c r="C14" s="44"/>
      <c r="D14" s="44"/>
      <c r="E14" s="40"/>
      <c r="F14" s="42"/>
      <c r="G14" s="42"/>
      <c r="H14" s="44"/>
      <c r="I14" s="44"/>
      <c r="J14" s="44"/>
      <c r="K14" s="40"/>
      <c r="L14" s="48"/>
      <c r="M14" s="54"/>
      <c r="N14" s="58"/>
      <c r="O14" s="43"/>
      <c r="P14" s="44"/>
      <c r="R14" s="4" t="s">
        <v>47</v>
      </c>
    </row>
    <row r="15" spans="1:18" s="4" customFormat="1" ht="15.75" x14ac:dyDescent="0.25">
      <c r="A15" s="44"/>
      <c r="B15" s="44"/>
      <c r="C15" s="44"/>
      <c r="D15" s="44"/>
      <c r="E15" s="40"/>
      <c r="F15" s="42"/>
      <c r="G15" s="42"/>
      <c r="H15" s="44"/>
      <c r="I15" s="44"/>
      <c r="J15" s="44"/>
      <c r="K15" s="40"/>
      <c r="L15" s="48"/>
      <c r="M15" s="54"/>
      <c r="N15" s="55"/>
      <c r="O15" s="50"/>
      <c r="P15" s="44"/>
      <c r="R15" s="4" t="s">
        <v>48</v>
      </c>
    </row>
    <row r="16" spans="1:18" s="4" customFormat="1" ht="15.75" x14ac:dyDescent="0.25">
      <c r="A16" s="42"/>
      <c r="B16" s="43"/>
      <c r="C16" s="44"/>
      <c r="D16" s="44"/>
      <c r="E16" s="40"/>
      <c r="F16" s="42"/>
      <c r="G16" s="42"/>
      <c r="H16" s="44"/>
      <c r="I16" s="44"/>
      <c r="J16" s="44"/>
      <c r="K16" s="40"/>
      <c r="L16" s="48"/>
      <c r="M16" s="54"/>
      <c r="N16" s="55"/>
      <c r="O16" s="50"/>
      <c r="P16" s="44"/>
      <c r="R16" s="4" t="s">
        <v>49</v>
      </c>
    </row>
    <row r="17" spans="1:18" s="4" customFormat="1" ht="15.75" x14ac:dyDescent="0.25">
      <c r="A17" s="42"/>
      <c r="B17" s="43"/>
      <c r="C17" s="44"/>
      <c r="D17" s="44"/>
      <c r="E17" s="40"/>
      <c r="F17" s="42"/>
      <c r="G17" s="42"/>
      <c r="H17" s="44"/>
      <c r="I17" s="44"/>
      <c r="J17" s="44"/>
      <c r="K17" s="40"/>
      <c r="L17" s="48"/>
      <c r="M17" s="54"/>
      <c r="N17" s="55"/>
      <c r="O17" s="50"/>
      <c r="P17" s="44"/>
      <c r="R17" s="4" t="s">
        <v>50</v>
      </c>
    </row>
    <row r="18" spans="1:18" s="4" customFormat="1" ht="15.75" x14ac:dyDescent="0.25">
      <c r="A18" s="44"/>
      <c r="B18" s="44"/>
      <c r="C18" s="44"/>
      <c r="D18" s="44"/>
      <c r="E18" s="40"/>
      <c r="F18" s="42"/>
      <c r="G18" s="42"/>
      <c r="H18" s="44"/>
      <c r="I18" s="44"/>
      <c r="J18" s="44"/>
      <c r="K18" s="40"/>
      <c r="L18" s="48"/>
      <c r="M18" s="54"/>
      <c r="N18" s="55"/>
      <c r="O18" s="51"/>
      <c r="P18" s="44"/>
      <c r="R18" s="4" t="s">
        <v>51</v>
      </c>
    </row>
    <row r="19" spans="1:18" s="4" customFormat="1" ht="15.75" x14ac:dyDescent="0.25">
      <c r="A19" s="44"/>
      <c r="B19" s="44"/>
      <c r="C19" s="44"/>
      <c r="D19" s="44"/>
      <c r="E19" s="40"/>
      <c r="F19" s="42"/>
      <c r="G19" s="42"/>
      <c r="H19" s="44"/>
      <c r="I19" s="44"/>
      <c r="J19" s="44"/>
      <c r="K19" s="40"/>
      <c r="L19" s="48"/>
      <c r="M19" s="54"/>
      <c r="N19" s="55"/>
      <c r="O19" s="51"/>
      <c r="P19" s="44"/>
      <c r="R19" s="4" t="s">
        <v>52</v>
      </c>
    </row>
    <row r="20" spans="1:18" s="4" customFormat="1" x14ac:dyDescent="0.25">
      <c r="A20" s="35"/>
      <c r="B20" s="36"/>
      <c r="E20" s="2"/>
      <c r="F20" s="35"/>
      <c r="G20" s="35"/>
      <c r="K20" s="2"/>
      <c r="O20" s="36"/>
      <c r="R20" s="4" t="s">
        <v>53</v>
      </c>
    </row>
    <row r="21" spans="1:18" s="4" customFormat="1" x14ac:dyDescent="0.25">
      <c r="A21" s="35"/>
      <c r="B21" s="36"/>
      <c r="E21" s="2"/>
      <c r="F21" s="35"/>
      <c r="G21" s="35"/>
      <c r="K21" s="2"/>
      <c r="O21" s="36"/>
      <c r="R21" s="4" t="s">
        <v>54</v>
      </c>
    </row>
    <row r="22" spans="1:18" x14ac:dyDescent="0.25">
      <c r="A22" s="1"/>
      <c r="B22" s="3"/>
      <c r="F22" s="1"/>
      <c r="G22" s="1"/>
      <c r="L22" s="4"/>
      <c r="M22" s="4"/>
      <c r="N22" s="4"/>
      <c r="O22" s="36"/>
      <c r="R22" t="s">
        <v>55</v>
      </c>
    </row>
    <row r="23" spans="1:18" x14ac:dyDescent="0.25">
      <c r="A23" s="1"/>
      <c r="B23" s="3"/>
      <c r="F23" s="1"/>
      <c r="G23" s="1"/>
      <c r="L23" s="4"/>
      <c r="M23" s="4"/>
      <c r="N23" s="4"/>
      <c r="O23" s="36"/>
      <c r="R23" t="s">
        <v>56</v>
      </c>
    </row>
    <row r="24" spans="1:18" x14ac:dyDescent="0.25">
      <c r="A24" s="1"/>
      <c r="B24" s="3"/>
      <c r="F24" s="1"/>
      <c r="G24" s="1"/>
      <c r="L24" s="4"/>
      <c r="M24" s="4"/>
      <c r="N24" s="4"/>
      <c r="O24" s="36"/>
      <c r="R24" t="s">
        <v>57</v>
      </c>
    </row>
    <row r="25" spans="1:18" x14ac:dyDescent="0.25">
      <c r="A25" s="1"/>
      <c r="B25" s="3"/>
      <c r="F25" s="1"/>
      <c r="G25" s="1"/>
      <c r="L25" s="4"/>
      <c r="M25" s="4"/>
      <c r="N25" s="4"/>
      <c r="O25" s="36"/>
    </row>
    <row r="26" spans="1:18" x14ac:dyDescent="0.25">
      <c r="A26" s="1"/>
      <c r="B26" s="3"/>
      <c r="F26" s="1"/>
      <c r="G26" s="1"/>
      <c r="L26" s="4"/>
      <c r="M26" s="4"/>
      <c r="N26" s="4"/>
      <c r="O26" s="36"/>
    </row>
    <row r="27" spans="1:18" x14ac:dyDescent="0.25">
      <c r="A27" s="1"/>
      <c r="B27" s="3"/>
      <c r="F27" s="1"/>
      <c r="G27" s="1"/>
      <c r="L27" s="4"/>
      <c r="M27" s="4"/>
      <c r="N27" s="4"/>
      <c r="O27" s="36"/>
    </row>
    <row r="28" spans="1:18" x14ac:dyDescent="0.25">
      <c r="A28" s="1"/>
      <c r="B28" s="3"/>
      <c r="F28" s="1"/>
      <c r="G28" s="1"/>
      <c r="L28" s="4"/>
      <c r="M28" s="4"/>
      <c r="N28" s="4"/>
      <c r="O28" s="36"/>
    </row>
    <row r="29" spans="1:18" x14ac:dyDescent="0.25">
      <c r="A29" s="1"/>
      <c r="B29" s="3"/>
      <c r="F29" s="1"/>
      <c r="G29" s="1"/>
      <c r="L29" s="4"/>
      <c r="M29" s="4"/>
      <c r="N29" s="4"/>
      <c r="O29" s="36"/>
    </row>
    <row r="30" spans="1:18" x14ac:dyDescent="0.25">
      <c r="A30" s="1"/>
      <c r="B30" s="3"/>
      <c r="F30" s="1"/>
      <c r="G30" s="1"/>
      <c r="L30" s="4"/>
      <c r="M30" s="4"/>
      <c r="N30" s="4"/>
      <c r="O30" s="36"/>
    </row>
    <row r="31" spans="1:18" x14ac:dyDescent="0.25">
      <c r="A31" s="1"/>
      <c r="B31" s="3"/>
      <c r="F31" s="1"/>
      <c r="G31" s="1"/>
      <c r="L31" s="4"/>
      <c r="M31" s="4"/>
      <c r="N31" s="4"/>
      <c r="O31" s="36"/>
    </row>
    <row r="32" spans="1:18" x14ac:dyDescent="0.25">
      <c r="A32" s="1"/>
      <c r="B32" s="3"/>
      <c r="F32" s="1"/>
      <c r="G32" s="1"/>
      <c r="L32" s="4"/>
      <c r="M32" s="4"/>
      <c r="N32" s="4"/>
      <c r="O32" s="36"/>
    </row>
    <row r="33" spans="1:15" x14ac:dyDescent="0.25">
      <c r="A33" s="1"/>
      <c r="B33" s="3"/>
      <c r="F33" s="1"/>
      <c r="G33" s="1"/>
      <c r="L33" s="4"/>
      <c r="M33" s="4"/>
      <c r="N33" s="4"/>
      <c r="O33" s="36"/>
    </row>
    <row r="34" spans="1:15" x14ac:dyDescent="0.25">
      <c r="A34" s="1"/>
      <c r="B34" s="3"/>
      <c r="F34" s="1"/>
      <c r="G34" s="1"/>
      <c r="L34" s="4"/>
      <c r="M34" s="4"/>
      <c r="N34" s="4"/>
      <c r="O34" s="36"/>
    </row>
    <row r="35" spans="1:15" x14ac:dyDescent="0.25">
      <c r="A35" s="1"/>
      <c r="B35" s="3"/>
      <c r="F35" s="1"/>
      <c r="G35" s="1"/>
      <c r="L35" s="4"/>
      <c r="M35" s="4"/>
      <c r="N35" s="4"/>
      <c r="O35" s="36"/>
    </row>
    <row r="36" spans="1:15" x14ac:dyDescent="0.25">
      <c r="A36" s="1"/>
      <c r="B36" s="3"/>
      <c r="F36" s="1"/>
      <c r="G36" s="1"/>
      <c r="L36" s="4"/>
      <c r="M36" s="4"/>
      <c r="N36" s="4"/>
      <c r="O36" s="36"/>
    </row>
    <row r="37" spans="1:15" x14ac:dyDescent="0.25">
      <c r="A37" s="1"/>
      <c r="B37" s="3"/>
      <c r="F37" s="1"/>
      <c r="G37" s="1"/>
      <c r="L37" s="4"/>
      <c r="M37" s="4"/>
      <c r="N37" s="4"/>
      <c r="O37" s="36"/>
    </row>
    <row r="38" spans="1:15" x14ac:dyDescent="0.25">
      <c r="A38" s="1"/>
      <c r="B38" s="3"/>
      <c r="F38" s="1"/>
      <c r="G38" s="1"/>
      <c r="L38" s="4"/>
      <c r="M38" s="4"/>
      <c r="N38" s="4"/>
      <c r="O38" s="36"/>
    </row>
    <row r="39" spans="1:15" x14ac:dyDescent="0.25">
      <c r="A39" s="1"/>
      <c r="B39" s="3"/>
      <c r="F39" s="1"/>
      <c r="G39" s="1"/>
      <c r="L39" s="4"/>
      <c r="M39" s="4"/>
      <c r="N39" s="4"/>
      <c r="O39" s="36"/>
    </row>
    <row r="40" spans="1:15" x14ac:dyDescent="0.25">
      <c r="A40" s="1"/>
      <c r="B40" s="3"/>
      <c r="F40" s="1"/>
      <c r="G40" s="1"/>
      <c r="L40" s="4"/>
      <c r="M40" s="4"/>
      <c r="N40" s="4"/>
      <c r="O40" s="36"/>
    </row>
    <row r="41" spans="1:15" x14ac:dyDescent="0.25">
      <c r="A41" s="1"/>
      <c r="B41" s="3"/>
      <c r="F41" s="1"/>
      <c r="G41" s="1"/>
      <c r="L41" s="4"/>
      <c r="M41" s="4"/>
      <c r="N41" s="4"/>
      <c r="O41" s="36"/>
    </row>
    <row r="42" spans="1:15" x14ac:dyDescent="0.25">
      <c r="A42" s="1"/>
      <c r="B42" s="3"/>
      <c r="F42" s="1"/>
      <c r="G42" s="1"/>
      <c r="M42" s="1"/>
    </row>
    <row r="43" spans="1:15" x14ac:dyDescent="0.25">
      <c r="A43" s="1"/>
      <c r="B43" s="3"/>
      <c r="F43" s="1"/>
      <c r="G43" s="1"/>
      <c r="M43" s="1"/>
    </row>
    <row r="44" spans="1:15" x14ac:dyDescent="0.25">
      <c r="A44" s="1"/>
      <c r="B44" s="3"/>
      <c r="F44" s="1"/>
      <c r="G44" s="1"/>
      <c r="M44" s="1"/>
    </row>
    <row r="45" spans="1:15" x14ac:dyDescent="0.25">
      <c r="A45" s="1"/>
      <c r="B45" s="3"/>
      <c r="F45" s="1"/>
      <c r="G45" s="1"/>
      <c r="M45" s="1"/>
    </row>
    <row r="46" spans="1:15" x14ac:dyDescent="0.25">
      <c r="A46" s="1"/>
      <c r="B46" s="3"/>
      <c r="F46" s="1"/>
      <c r="G46" s="1"/>
      <c r="M46" s="1"/>
    </row>
    <row r="47" spans="1:15" x14ac:dyDescent="0.25">
      <c r="A47" s="1"/>
      <c r="B47" s="3"/>
      <c r="F47" s="1"/>
      <c r="G47" s="1"/>
      <c r="M47" s="1"/>
    </row>
    <row r="48" spans="1:15" x14ac:dyDescent="0.25">
      <c r="A48" s="1"/>
      <c r="B48" s="3"/>
      <c r="F48" s="1"/>
      <c r="G48" s="1"/>
      <c r="M48" s="1"/>
    </row>
    <row r="49" spans="1:13" x14ac:dyDescent="0.25">
      <c r="A49" s="1"/>
      <c r="B49" s="3"/>
      <c r="F49" s="1"/>
      <c r="G49" s="1"/>
      <c r="M49" s="1"/>
    </row>
    <row r="50" spans="1:13" x14ac:dyDescent="0.25">
      <c r="A50" s="1"/>
      <c r="B50" s="3"/>
      <c r="F50" s="1"/>
      <c r="G50" s="1"/>
      <c r="M50" s="1"/>
    </row>
    <row r="51" spans="1:13" x14ac:dyDescent="0.25">
      <c r="A51" s="1"/>
      <c r="B51" s="3"/>
      <c r="F51" s="1"/>
      <c r="G51" s="1"/>
      <c r="M51" s="1"/>
    </row>
    <row r="52" spans="1:13" x14ac:dyDescent="0.25">
      <c r="A52" s="1"/>
      <c r="B52" s="3"/>
      <c r="F52" s="1"/>
      <c r="G52" s="1"/>
      <c r="M52" s="1"/>
    </row>
    <row r="53" spans="1:13" x14ac:dyDescent="0.25">
      <c r="A53" s="1"/>
      <c r="B53" s="3"/>
      <c r="F53" s="1"/>
      <c r="G53" s="1"/>
      <c r="M53" s="1"/>
    </row>
    <row r="54" spans="1:13" x14ac:dyDescent="0.25">
      <c r="A54" s="1"/>
      <c r="B54" s="3"/>
      <c r="F54" s="1"/>
      <c r="G54" s="1"/>
      <c r="M54" s="1"/>
    </row>
    <row r="55" spans="1:13" x14ac:dyDescent="0.25">
      <c r="A55" s="1"/>
      <c r="B55" s="3"/>
      <c r="F55" s="1"/>
      <c r="G55" s="1"/>
      <c r="M55" s="1"/>
    </row>
    <row r="56" spans="1:13" x14ac:dyDescent="0.25">
      <c r="A56" s="1"/>
      <c r="B56" s="3"/>
      <c r="F56" s="1"/>
      <c r="G56" s="1"/>
      <c r="M56" s="1"/>
    </row>
    <row r="57" spans="1:13" x14ac:dyDescent="0.25">
      <c r="A57" s="1"/>
      <c r="B57" s="3"/>
      <c r="F57" s="1"/>
      <c r="G57" s="1"/>
      <c r="M57" s="1"/>
    </row>
    <row r="58" spans="1:13" x14ac:dyDescent="0.25">
      <c r="A58" s="1"/>
      <c r="B58" s="3"/>
      <c r="F58" s="1"/>
      <c r="G58" s="1"/>
      <c r="M58" s="1"/>
    </row>
    <row r="59" spans="1:13" x14ac:dyDescent="0.25">
      <c r="A59" s="1"/>
      <c r="B59" s="3"/>
      <c r="F59" s="1"/>
      <c r="G59" s="1"/>
      <c r="M59" s="1"/>
    </row>
    <row r="60" spans="1:13" x14ac:dyDescent="0.25">
      <c r="A60" s="1"/>
      <c r="B60" s="3"/>
      <c r="F60" s="1"/>
      <c r="G60" s="1"/>
      <c r="M60" s="1"/>
    </row>
    <row r="61" spans="1:13" x14ac:dyDescent="0.25">
      <c r="A61" s="1"/>
      <c r="B61" s="3"/>
      <c r="F61" s="1"/>
      <c r="G61" s="1"/>
      <c r="M61" s="1"/>
    </row>
    <row r="62" spans="1:13" x14ac:dyDescent="0.25">
      <c r="A62" s="1"/>
      <c r="B62" s="3"/>
      <c r="F62" s="1"/>
      <c r="G62" s="1"/>
      <c r="M62" s="1"/>
    </row>
    <row r="63" spans="1:13" x14ac:dyDescent="0.25">
      <c r="A63" s="1"/>
      <c r="B63" s="3"/>
      <c r="F63" s="1"/>
      <c r="G63" s="1"/>
      <c r="M63" s="1"/>
    </row>
    <row r="64" spans="1:13" x14ac:dyDescent="0.25">
      <c r="A64" s="1"/>
      <c r="B64" s="3"/>
      <c r="F64" s="1"/>
      <c r="G64" s="1"/>
      <c r="M64" s="1"/>
    </row>
    <row r="65" spans="1:13" x14ac:dyDescent="0.25">
      <c r="A65" s="1"/>
      <c r="B65" s="3"/>
      <c r="F65" s="1"/>
      <c r="G65" s="1"/>
      <c r="M65" s="1"/>
    </row>
    <row r="66" spans="1:13" x14ac:dyDescent="0.25">
      <c r="A66" s="1"/>
      <c r="B66" s="3"/>
      <c r="F66" s="1"/>
      <c r="G66" s="1"/>
      <c r="M66" s="1"/>
    </row>
    <row r="67" spans="1:13" x14ac:dyDescent="0.25">
      <c r="A67" s="1"/>
      <c r="B67" s="3"/>
      <c r="F67" s="1"/>
      <c r="G67" s="1"/>
      <c r="M67" s="1"/>
    </row>
    <row r="68" spans="1:13" x14ac:dyDescent="0.25">
      <c r="A68" s="1"/>
      <c r="B68" s="3"/>
      <c r="F68" s="1"/>
      <c r="G68" s="1"/>
      <c r="M68" s="1"/>
    </row>
    <row r="69" spans="1:13" x14ac:dyDescent="0.25">
      <c r="A69" s="1"/>
      <c r="B69" s="3"/>
      <c r="F69" s="1"/>
      <c r="G69" s="1"/>
      <c r="M69" s="1"/>
    </row>
    <row r="70" spans="1:13" x14ac:dyDescent="0.25">
      <c r="A70" s="1"/>
      <c r="B70" s="3"/>
      <c r="F70" s="1"/>
      <c r="G70" s="1"/>
      <c r="M70" s="1"/>
    </row>
    <row r="71" spans="1:13" x14ac:dyDescent="0.25">
      <c r="A71" s="1"/>
      <c r="B71" s="3"/>
      <c r="F71" s="1"/>
      <c r="G71" s="1"/>
      <c r="M71" s="1"/>
    </row>
    <row r="72" spans="1:13" x14ac:dyDescent="0.25">
      <c r="A72" s="1"/>
      <c r="B72" s="3"/>
      <c r="F72" s="1"/>
      <c r="G72" s="1"/>
      <c r="M72" s="1"/>
    </row>
    <row r="73" spans="1:13" x14ac:dyDescent="0.25">
      <c r="A73" s="1"/>
      <c r="B73" s="3"/>
      <c r="F73" s="1"/>
      <c r="G73" s="1"/>
      <c r="M73" s="1"/>
    </row>
    <row r="74" spans="1:13" x14ac:dyDescent="0.25">
      <c r="A74" s="1"/>
      <c r="B74" s="3"/>
      <c r="F74" s="1"/>
      <c r="G74" s="1"/>
      <c r="M74" s="1"/>
    </row>
    <row r="75" spans="1:13" x14ac:dyDescent="0.25">
      <c r="A75" s="1"/>
      <c r="B75" s="3"/>
      <c r="F75" s="1"/>
      <c r="G75" s="1"/>
      <c r="M75" s="1"/>
    </row>
    <row r="76" spans="1:13" x14ac:dyDescent="0.25">
      <c r="A76" s="1"/>
      <c r="B76" s="3"/>
      <c r="F76" s="1"/>
      <c r="G76" s="1"/>
      <c r="M76" s="1"/>
    </row>
    <row r="77" spans="1:13" x14ac:dyDescent="0.25">
      <c r="A77" s="1"/>
      <c r="B77" s="3"/>
      <c r="F77" s="1"/>
      <c r="G77" s="1"/>
      <c r="M77" s="1"/>
    </row>
    <row r="78" spans="1:13" x14ac:dyDescent="0.25">
      <c r="A78" s="1"/>
      <c r="B78" s="3"/>
      <c r="F78" s="1"/>
      <c r="G78" s="1"/>
      <c r="M78" s="1"/>
    </row>
    <row r="79" spans="1:13" x14ac:dyDescent="0.25">
      <c r="A79" s="1"/>
      <c r="B79" s="3"/>
      <c r="F79" s="1"/>
      <c r="G79" s="1"/>
      <c r="M79" s="1"/>
    </row>
    <row r="80" spans="1:13" x14ac:dyDescent="0.25">
      <c r="A80" s="1"/>
      <c r="B80" s="3"/>
      <c r="F80" s="1"/>
      <c r="G80" s="1"/>
      <c r="M80" s="1"/>
    </row>
    <row r="81" spans="1:13" x14ac:dyDescent="0.25">
      <c r="A81" s="1"/>
      <c r="B81" s="3"/>
      <c r="F81" s="1"/>
      <c r="G81" s="1"/>
      <c r="M81" s="1"/>
    </row>
    <row r="82" spans="1:13" x14ac:dyDescent="0.25">
      <c r="A82" s="1"/>
      <c r="B82" s="3"/>
      <c r="F82" s="1"/>
      <c r="G82" s="1"/>
      <c r="M82" s="1"/>
    </row>
    <row r="83" spans="1:13" x14ac:dyDescent="0.25">
      <c r="A83" s="1"/>
      <c r="B83" s="3"/>
      <c r="F83" s="1"/>
      <c r="G83" s="1"/>
      <c r="M83" s="1"/>
    </row>
    <row r="84" spans="1:13" x14ac:dyDescent="0.25">
      <c r="A84" s="1"/>
      <c r="B84" s="3"/>
      <c r="F84" s="1"/>
      <c r="G84" s="1"/>
      <c r="M84" s="1"/>
    </row>
    <row r="85" spans="1:13" x14ac:dyDescent="0.25">
      <c r="A85" s="1"/>
      <c r="B85" s="3"/>
      <c r="F85" s="1"/>
      <c r="G85" s="1"/>
      <c r="M85" s="1"/>
    </row>
    <row r="86" spans="1:13" x14ac:dyDescent="0.25">
      <c r="A86" s="1"/>
      <c r="B86" s="3"/>
      <c r="F86" s="1"/>
      <c r="G86" s="1"/>
      <c r="M86" s="1"/>
    </row>
    <row r="87" spans="1:13" x14ac:dyDescent="0.25">
      <c r="A87" s="1"/>
      <c r="B87" s="3"/>
      <c r="F87" s="1"/>
      <c r="G87" s="1"/>
      <c r="M87" s="1"/>
    </row>
    <row r="88" spans="1:13" x14ac:dyDescent="0.25">
      <c r="A88" s="1"/>
      <c r="B88" s="3"/>
      <c r="F88" s="1"/>
      <c r="G88" s="1"/>
      <c r="M88" s="1"/>
    </row>
    <row r="89" spans="1:13" x14ac:dyDescent="0.25">
      <c r="A89" s="1"/>
      <c r="B89" s="3"/>
      <c r="F89" s="1"/>
      <c r="G89" s="1"/>
      <c r="M89" s="1"/>
    </row>
    <row r="90" spans="1:13" x14ac:dyDescent="0.25">
      <c r="A90" s="1"/>
      <c r="B90" s="3"/>
      <c r="F90" s="1"/>
      <c r="G90" s="1"/>
      <c r="M90" s="1"/>
    </row>
    <row r="91" spans="1:13" x14ac:dyDescent="0.25">
      <c r="A91" s="1"/>
      <c r="B91" s="3"/>
      <c r="F91" s="1"/>
      <c r="G91" s="1"/>
      <c r="M91" s="1"/>
    </row>
    <row r="92" spans="1:13" x14ac:dyDescent="0.25">
      <c r="A92" s="1"/>
      <c r="B92" s="3"/>
      <c r="F92" s="1"/>
      <c r="G92" s="1"/>
      <c r="M92" s="1"/>
    </row>
    <row r="93" spans="1:13" x14ac:dyDescent="0.25">
      <c r="A93" s="1"/>
      <c r="B93" s="3"/>
      <c r="F93" s="1"/>
      <c r="G93" s="1"/>
      <c r="M93" s="1"/>
    </row>
    <row r="94" spans="1:13" x14ac:dyDescent="0.25">
      <c r="A94" s="1"/>
      <c r="B94" s="3"/>
      <c r="F94" s="1"/>
      <c r="G94" s="1"/>
      <c r="M94" s="1"/>
    </row>
    <row r="95" spans="1:13" x14ac:dyDescent="0.25">
      <c r="A95" s="1"/>
      <c r="B95" s="3"/>
      <c r="F95" s="1"/>
      <c r="G95" s="1"/>
      <c r="M95" s="1"/>
    </row>
    <row r="96" spans="1:13" x14ac:dyDescent="0.25">
      <c r="A96" s="1"/>
      <c r="B96" s="3"/>
      <c r="F96" s="1"/>
      <c r="G96" s="1"/>
      <c r="M96" s="1"/>
    </row>
    <row r="97" spans="1:13" x14ac:dyDescent="0.25">
      <c r="A97" s="1"/>
      <c r="B97" s="3"/>
      <c r="F97" s="1"/>
      <c r="G97" s="1"/>
      <c r="M97" s="1"/>
    </row>
    <row r="98" spans="1:13" x14ac:dyDescent="0.25">
      <c r="A98" s="1"/>
      <c r="B98" s="3"/>
      <c r="F98" s="1"/>
      <c r="G98" s="1"/>
      <c r="M98" s="1"/>
    </row>
    <row r="99" spans="1:13" x14ac:dyDescent="0.25">
      <c r="A99" s="1"/>
      <c r="B99" s="3"/>
      <c r="F99" s="1"/>
      <c r="G99" s="1"/>
      <c r="M99" s="1"/>
    </row>
    <row r="100" spans="1:13" x14ac:dyDescent="0.25">
      <c r="A100" s="1"/>
      <c r="B100" s="3"/>
      <c r="F100" s="1"/>
      <c r="G100" s="1"/>
      <c r="M100" s="1"/>
    </row>
    <row r="101" spans="1:13" x14ac:dyDescent="0.25">
      <c r="A101" s="1"/>
      <c r="B101" s="3"/>
      <c r="F101" s="1"/>
      <c r="G101" s="1"/>
      <c r="M101" s="1"/>
    </row>
    <row r="102" spans="1:13" x14ac:dyDescent="0.25">
      <c r="A102" s="1"/>
      <c r="B102" s="3"/>
      <c r="F102" s="1"/>
      <c r="G102" s="1"/>
      <c r="M102" s="1"/>
    </row>
    <row r="103" spans="1:13" x14ac:dyDescent="0.25">
      <c r="A103" s="1"/>
      <c r="B103" s="3"/>
      <c r="F103" s="1"/>
      <c r="G103" s="1"/>
      <c r="M103" s="1"/>
    </row>
    <row r="104" spans="1:13" x14ac:dyDescent="0.25">
      <c r="A104" s="1"/>
      <c r="B104" s="3"/>
      <c r="F104" s="1"/>
      <c r="G104" s="1"/>
      <c r="M104" s="1"/>
    </row>
    <row r="105" spans="1:13" x14ac:dyDescent="0.25">
      <c r="A105" s="1"/>
      <c r="B105" s="3"/>
      <c r="F105" s="1"/>
      <c r="G105" s="1"/>
      <c r="M105" s="1"/>
    </row>
    <row r="106" spans="1:13" x14ac:dyDescent="0.25">
      <c r="A106" s="1"/>
      <c r="B106" s="3"/>
      <c r="F106" s="1"/>
      <c r="G106" s="1"/>
      <c r="M106" s="1"/>
    </row>
    <row r="107" spans="1:13" x14ac:dyDescent="0.25">
      <c r="A107" s="1"/>
      <c r="B107" s="3"/>
      <c r="F107" s="1"/>
      <c r="G107" s="1"/>
      <c r="M107" s="1"/>
    </row>
    <row r="108" spans="1:13" x14ac:dyDescent="0.25">
      <c r="A108" s="1"/>
      <c r="B108" s="3"/>
      <c r="F108" s="1"/>
      <c r="G108" s="1"/>
      <c r="M108" s="1"/>
    </row>
    <row r="109" spans="1:13" x14ac:dyDescent="0.25">
      <c r="A109" s="1"/>
      <c r="B109" s="3"/>
      <c r="F109" s="1"/>
      <c r="G109" s="1"/>
      <c r="M109" s="1"/>
    </row>
    <row r="110" spans="1:13" x14ac:dyDescent="0.25">
      <c r="A110" s="1"/>
      <c r="B110" s="3"/>
      <c r="F110" s="1"/>
      <c r="G110" s="1"/>
      <c r="M110" s="1"/>
    </row>
    <row r="111" spans="1:13" x14ac:dyDescent="0.25">
      <c r="A111" s="1"/>
      <c r="B111" s="3"/>
      <c r="F111" s="1"/>
      <c r="G111" s="1"/>
      <c r="M111" s="1"/>
    </row>
    <row r="112" spans="1:13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7170" r:id="rId4" name="ClearBtn"/>
      </mc:Fallback>
    </mc:AlternateContent>
    <mc:AlternateContent xmlns:mc="http://schemas.openxmlformats.org/markup-compatibility/2006">
      <mc:Choice Requires="x14">
        <control shapeId="7169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7169" r:id="rId6" name="ExecuteQueri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406"/>
  <sheetViews>
    <sheetView workbookViewId="0">
      <pane ySplit="6" topLeftCell="A82" activePane="bottomLeft" state="frozen"/>
      <selection pane="bottomLeft" activeCell="J124" sqref="J124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37</v>
      </c>
      <c r="I2" s="5">
        <v>105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8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8" t="s">
        <v>15</v>
      </c>
      <c r="M6" s="20" t="s">
        <v>33</v>
      </c>
      <c r="N6" s="21" t="s">
        <v>84</v>
      </c>
      <c r="O6" s="19" t="s">
        <v>87</v>
      </c>
      <c r="P6" s="10"/>
    </row>
    <row r="7" spans="1:18" s="2" customFormat="1" x14ac:dyDescent="0.25">
      <c r="F7" s="6"/>
      <c r="G7" s="6"/>
      <c r="M7" s="22"/>
      <c r="N7" s="23"/>
    </row>
    <row r="8" spans="1:18" ht="15.75" x14ac:dyDescent="0.25">
      <c r="A8" s="1">
        <v>40967</v>
      </c>
      <c r="B8" s="3" t="s">
        <v>58</v>
      </c>
      <c r="C8" s="3"/>
      <c r="F8" s="1">
        <v>40959</v>
      </c>
      <c r="G8" s="1">
        <v>40986</v>
      </c>
      <c r="H8" t="s">
        <v>90</v>
      </c>
      <c r="I8" t="s">
        <v>91</v>
      </c>
      <c r="J8" t="s">
        <v>32</v>
      </c>
      <c r="L8" t="s">
        <v>40</v>
      </c>
      <c r="M8" s="24" t="str">
        <f>B8</f>
        <v>currper</v>
      </c>
      <c r="N8" s="26" t="s">
        <v>85</v>
      </c>
      <c r="O8" s="3"/>
      <c r="R8" t="s">
        <v>41</v>
      </c>
    </row>
    <row r="9" spans="1:18" ht="15.75" x14ac:dyDescent="0.25">
      <c r="A9" s="1">
        <v>42428</v>
      </c>
      <c r="B9" s="3" t="s">
        <v>58</v>
      </c>
      <c r="F9" s="1">
        <v>42422</v>
      </c>
      <c r="G9" s="1">
        <v>42449</v>
      </c>
      <c r="H9" t="s">
        <v>31</v>
      </c>
      <c r="I9" t="s">
        <v>91</v>
      </c>
      <c r="J9" t="s">
        <v>32</v>
      </c>
      <c r="L9" t="s">
        <v>40</v>
      </c>
      <c r="M9" s="24" t="str">
        <f t="shared" ref="M9:M72" si="0">B9</f>
        <v>currper</v>
      </c>
      <c r="N9" s="27" t="s">
        <v>85</v>
      </c>
      <c r="O9" s="3"/>
      <c r="R9" t="s">
        <v>42</v>
      </c>
    </row>
    <row r="10" spans="1:18" ht="15.75" x14ac:dyDescent="0.25">
      <c r="A10" s="1">
        <v>43889</v>
      </c>
      <c r="B10" s="3" t="s">
        <v>58</v>
      </c>
      <c r="F10" s="1">
        <v>43885</v>
      </c>
      <c r="G10" s="1">
        <v>43912</v>
      </c>
      <c r="H10" t="s">
        <v>92</v>
      </c>
      <c r="I10" t="s">
        <v>91</v>
      </c>
      <c r="J10" t="s">
        <v>32</v>
      </c>
      <c r="L10" t="s">
        <v>40</v>
      </c>
      <c r="M10" s="24" t="str">
        <f t="shared" si="0"/>
        <v>currper</v>
      </c>
      <c r="N10" s="27" t="s">
        <v>85</v>
      </c>
      <c r="O10" s="3"/>
      <c r="R10" t="s">
        <v>43</v>
      </c>
    </row>
    <row r="11" spans="1:18" ht="15.75" x14ac:dyDescent="0.25">
      <c r="A11" s="29">
        <v>45350</v>
      </c>
      <c r="B11" s="3" t="s">
        <v>58</v>
      </c>
      <c r="F11" s="1">
        <v>45348</v>
      </c>
      <c r="G11" s="1">
        <v>45375</v>
      </c>
      <c r="H11" t="s">
        <v>93</v>
      </c>
      <c r="I11" t="s">
        <v>91</v>
      </c>
      <c r="J11" t="s">
        <v>32</v>
      </c>
      <c r="L11" t="s">
        <v>40</v>
      </c>
      <c r="M11" s="24" t="str">
        <f t="shared" si="0"/>
        <v>currper</v>
      </c>
      <c r="N11" s="27" t="s">
        <v>85</v>
      </c>
      <c r="O11" s="3"/>
      <c r="R11" t="s">
        <v>44</v>
      </c>
    </row>
    <row r="12" spans="1:18" ht="15.75" x14ac:dyDescent="0.25">
      <c r="A12" s="1">
        <v>40967</v>
      </c>
      <c r="B12" s="3" t="s">
        <v>95</v>
      </c>
      <c r="F12" s="1">
        <v>40959</v>
      </c>
      <c r="G12" s="1">
        <v>40986</v>
      </c>
      <c r="H12" t="s">
        <v>90</v>
      </c>
      <c r="I12" t="s">
        <v>91</v>
      </c>
      <c r="J12" t="s">
        <v>32</v>
      </c>
      <c r="L12" t="s">
        <v>36</v>
      </c>
      <c r="M12" s="24" t="str">
        <f t="shared" si="0"/>
        <v>Prevper</v>
      </c>
      <c r="N12" s="27" t="s">
        <v>85</v>
      </c>
      <c r="O12" s="3"/>
      <c r="R12" t="s">
        <v>45</v>
      </c>
    </row>
    <row r="13" spans="1:18" ht="15.75" x14ac:dyDescent="0.25">
      <c r="A13" s="1">
        <v>42428</v>
      </c>
      <c r="B13" s="3" t="s">
        <v>95</v>
      </c>
      <c r="F13" s="1">
        <v>42422</v>
      </c>
      <c r="G13" s="1">
        <v>42449</v>
      </c>
      <c r="H13" t="s">
        <v>31</v>
      </c>
      <c r="I13" t="s">
        <v>91</v>
      </c>
      <c r="J13" t="s">
        <v>32</v>
      </c>
      <c r="L13" t="s">
        <v>36</v>
      </c>
      <c r="M13" s="24" t="str">
        <f t="shared" si="0"/>
        <v>Prevper</v>
      </c>
      <c r="N13" s="27" t="s">
        <v>85</v>
      </c>
      <c r="O13" s="3"/>
      <c r="R13" t="s">
        <v>46</v>
      </c>
    </row>
    <row r="14" spans="1:18" ht="15.75" x14ac:dyDescent="0.25">
      <c r="A14" s="1">
        <v>43889</v>
      </c>
      <c r="B14" s="3" t="s">
        <v>95</v>
      </c>
      <c r="F14" s="1">
        <v>43885</v>
      </c>
      <c r="G14" s="1">
        <v>43912</v>
      </c>
      <c r="H14" t="s">
        <v>92</v>
      </c>
      <c r="I14" t="s">
        <v>91</v>
      </c>
      <c r="J14" t="s">
        <v>32</v>
      </c>
      <c r="L14" t="s">
        <v>36</v>
      </c>
      <c r="M14" s="24" t="str">
        <f t="shared" si="0"/>
        <v>Prevper</v>
      </c>
      <c r="N14" s="27" t="s">
        <v>85</v>
      </c>
      <c r="O14" s="3"/>
      <c r="R14" t="s">
        <v>47</v>
      </c>
    </row>
    <row r="15" spans="1:18" ht="15.75" x14ac:dyDescent="0.25">
      <c r="A15" s="29">
        <v>45350</v>
      </c>
      <c r="B15" s="3" t="s">
        <v>95</v>
      </c>
      <c r="F15" s="1">
        <v>45348</v>
      </c>
      <c r="G15" s="1">
        <v>45375</v>
      </c>
      <c r="H15" t="s">
        <v>93</v>
      </c>
      <c r="I15" t="s">
        <v>91</v>
      </c>
      <c r="J15" t="s">
        <v>32</v>
      </c>
      <c r="L15" t="s">
        <v>36</v>
      </c>
      <c r="M15" s="24" t="str">
        <f t="shared" si="0"/>
        <v>Prevper</v>
      </c>
      <c r="N15" s="27" t="s">
        <v>85</v>
      </c>
      <c r="O15" s="3"/>
      <c r="R15" t="s">
        <v>48</v>
      </c>
    </row>
    <row r="16" spans="1:18" ht="15.75" x14ac:dyDescent="0.25">
      <c r="A16" s="1">
        <v>40967</v>
      </c>
      <c r="B16" s="3" t="s">
        <v>62</v>
      </c>
      <c r="F16" s="1">
        <v>40959</v>
      </c>
      <c r="G16" s="1">
        <v>40986</v>
      </c>
      <c r="H16" t="s">
        <v>90</v>
      </c>
      <c r="I16" t="s">
        <v>91</v>
      </c>
      <c r="J16" t="s">
        <v>32</v>
      </c>
      <c r="L16" t="s">
        <v>39</v>
      </c>
      <c r="M16" s="24" t="str">
        <f t="shared" si="0"/>
        <v>nextper</v>
      </c>
      <c r="N16" s="27" t="s">
        <v>85</v>
      </c>
      <c r="O16" s="3"/>
      <c r="R16" t="s">
        <v>49</v>
      </c>
    </row>
    <row r="17" spans="1:18" ht="15.75" x14ac:dyDescent="0.25">
      <c r="A17" s="1">
        <v>42428</v>
      </c>
      <c r="B17" s="3" t="s">
        <v>62</v>
      </c>
      <c r="F17" s="1">
        <v>42422</v>
      </c>
      <c r="G17" s="1">
        <v>42449</v>
      </c>
      <c r="H17" t="s">
        <v>31</v>
      </c>
      <c r="I17" t="s">
        <v>91</v>
      </c>
      <c r="J17" t="s">
        <v>32</v>
      </c>
      <c r="L17" t="s">
        <v>39</v>
      </c>
      <c r="M17" s="24" t="str">
        <f t="shared" si="0"/>
        <v>nextper</v>
      </c>
      <c r="N17" s="27" t="s">
        <v>85</v>
      </c>
      <c r="O17" s="3"/>
      <c r="R17" t="s">
        <v>50</v>
      </c>
    </row>
    <row r="18" spans="1:18" ht="15.75" x14ac:dyDescent="0.25">
      <c r="A18" s="1">
        <v>43889</v>
      </c>
      <c r="B18" s="3" t="s">
        <v>62</v>
      </c>
      <c r="F18" s="1">
        <v>43885</v>
      </c>
      <c r="G18" s="1">
        <v>43912</v>
      </c>
      <c r="H18" t="s">
        <v>92</v>
      </c>
      <c r="I18" t="s">
        <v>91</v>
      </c>
      <c r="J18" t="s">
        <v>32</v>
      </c>
      <c r="L18" t="s">
        <v>39</v>
      </c>
      <c r="M18" s="24" t="str">
        <f t="shared" si="0"/>
        <v>nextper</v>
      </c>
      <c r="N18" s="27" t="s">
        <v>85</v>
      </c>
      <c r="O18" s="3"/>
      <c r="R18" t="s">
        <v>51</v>
      </c>
    </row>
    <row r="19" spans="1:18" ht="15.75" x14ac:dyDescent="0.25">
      <c r="A19" s="29">
        <v>45350</v>
      </c>
      <c r="B19" s="3" t="s">
        <v>62</v>
      </c>
      <c r="F19" s="1">
        <v>45348</v>
      </c>
      <c r="G19" s="1">
        <v>45375</v>
      </c>
      <c r="H19" t="s">
        <v>93</v>
      </c>
      <c r="I19" t="s">
        <v>91</v>
      </c>
      <c r="J19" t="s">
        <v>32</v>
      </c>
      <c r="L19" t="s">
        <v>39</v>
      </c>
      <c r="M19" s="24" t="str">
        <f t="shared" si="0"/>
        <v>nextper</v>
      </c>
      <c r="N19" s="27" t="s">
        <v>88</v>
      </c>
      <c r="O19" s="3"/>
      <c r="R19" t="s">
        <v>52</v>
      </c>
    </row>
    <row r="20" spans="1:18" ht="15.75" x14ac:dyDescent="0.25">
      <c r="A20" s="1">
        <v>40967</v>
      </c>
      <c r="B20" s="3" t="s">
        <v>59</v>
      </c>
      <c r="F20" s="1">
        <v>40959</v>
      </c>
      <c r="G20" s="1">
        <v>40986</v>
      </c>
      <c r="H20" t="s">
        <v>90</v>
      </c>
      <c r="I20" t="s">
        <v>91</v>
      </c>
      <c r="J20" t="s">
        <v>32</v>
      </c>
      <c r="L20" t="s">
        <v>96</v>
      </c>
      <c r="M20" s="24" t="str">
        <f t="shared" si="0"/>
        <v>perstart</v>
      </c>
      <c r="N20" s="27" t="s">
        <v>85</v>
      </c>
      <c r="O20" s="3"/>
      <c r="R20" t="s">
        <v>53</v>
      </c>
    </row>
    <row r="21" spans="1:18" ht="15.75" x14ac:dyDescent="0.25">
      <c r="A21" s="1">
        <v>42428</v>
      </c>
      <c r="B21" s="3" t="s">
        <v>59</v>
      </c>
      <c r="F21" s="1">
        <v>42422</v>
      </c>
      <c r="G21" s="1">
        <v>42449</v>
      </c>
      <c r="H21" t="s">
        <v>31</v>
      </c>
      <c r="I21" t="s">
        <v>91</v>
      </c>
      <c r="J21" t="s">
        <v>32</v>
      </c>
      <c r="L21" t="s">
        <v>97</v>
      </c>
      <c r="M21" s="24" t="str">
        <f t="shared" si="0"/>
        <v>perstart</v>
      </c>
      <c r="N21" s="27" t="s">
        <v>85</v>
      </c>
      <c r="O21" s="3"/>
      <c r="R21" t="s">
        <v>54</v>
      </c>
    </row>
    <row r="22" spans="1:18" ht="15.75" x14ac:dyDescent="0.25">
      <c r="A22" s="1">
        <v>43889</v>
      </c>
      <c r="B22" s="3" t="s">
        <v>59</v>
      </c>
      <c r="F22" s="1">
        <v>43885</v>
      </c>
      <c r="G22" s="1">
        <v>43912</v>
      </c>
      <c r="H22" t="s">
        <v>92</v>
      </c>
      <c r="I22" t="s">
        <v>91</v>
      </c>
      <c r="J22" t="s">
        <v>32</v>
      </c>
      <c r="L22" t="s">
        <v>98</v>
      </c>
      <c r="M22" s="24" t="str">
        <f t="shared" si="0"/>
        <v>perstart</v>
      </c>
      <c r="N22" s="27" t="s">
        <v>85</v>
      </c>
      <c r="O22" s="3"/>
      <c r="R22" t="s">
        <v>55</v>
      </c>
    </row>
    <row r="23" spans="1:18" ht="15.75" x14ac:dyDescent="0.25">
      <c r="A23" s="29">
        <v>45350</v>
      </c>
      <c r="B23" s="3" t="s">
        <v>59</v>
      </c>
      <c r="F23" s="1">
        <v>45348</v>
      </c>
      <c r="G23" s="1">
        <v>45375</v>
      </c>
      <c r="H23" t="s">
        <v>93</v>
      </c>
      <c r="I23" t="s">
        <v>91</v>
      </c>
      <c r="J23" t="s">
        <v>32</v>
      </c>
      <c r="L23" t="s">
        <v>99</v>
      </c>
      <c r="M23" s="24" t="str">
        <f t="shared" si="0"/>
        <v>perstart</v>
      </c>
      <c r="N23" s="27" t="s">
        <v>85</v>
      </c>
      <c r="O23" s="3"/>
      <c r="R23" t="s">
        <v>56</v>
      </c>
    </row>
    <row r="24" spans="1:18" ht="15.75" x14ac:dyDescent="0.25">
      <c r="A24" s="1">
        <v>40967</v>
      </c>
      <c r="B24" s="3" t="s">
        <v>60</v>
      </c>
      <c r="F24" s="1">
        <v>40959</v>
      </c>
      <c r="G24" s="1">
        <v>40986</v>
      </c>
      <c r="H24" t="s">
        <v>90</v>
      </c>
      <c r="I24" t="s">
        <v>91</v>
      </c>
      <c r="J24" t="s">
        <v>32</v>
      </c>
      <c r="L24" t="s">
        <v>100</v>
      </c>
      <c r="M24" s="24" t="str">
        <f t="shared" si="0"/>
        <v>perend</v>
      </c>
      <c r="N24" s="27" t="s">
        <v>85</v>
      </c>
      <c r="O24" s="3"/>
      <c r="R24" t="s">
        <v>57</v>
      </c>
    </row>
    <row r="25" spans="1:18" ht="15.75" x14ac:dyDescent="0.25">
      <c r="A25" s="1">
        <v>42428</v>
      </c>
      <c r="B25" s="3" t="s">
        <v>60</v>
      </c>
      <c r="F25" s="1">
        <v>42422</v>
      </c>
      <c r="G25" s="1">
        <v>42449</v>
      </c>
      <c r="H25" t="s">
        <v>31</v>
      </c>
      <c r="I25" t="s">
        <v>91</v>
      </c>
      <c r="J25" t="s">
        <v>32</v>
      </c>
      <c r="L25" t="s">
        <v>101</v>
      </c>
      <c r="M25" s="24" t="str">
        <f t="shared" si="0"/>
        <v>perend</v>
      </c>
      <c r="N25" s="27" t="s">
        <v>85</v>
      </c>
      <c r="O25" s="3"/>
    </row>
    <row r="26" spans="1:18" ht="15.75" x14ac:dyDescent="0.25">
      <c r="A26" s="1">
        <v>43889</v>
      </c>
      <c r="B26" s="3" t="s">
        <v>60</v>
      </c>
      <c r="F26" s="1">
        <v>43885</v>
      </c>
      <c r="G26" s="1">
        <v>43912</v>
      </c>
      <c r="H26" t="s">
        <v>92</v>
      </c>
      <c r="I26" t="s">
        <v>91</v>
      </c>
      <c r="J26" t="s">
        <v>32</v>
      </c>
      <c r="L26" t="s">
        <v>102</v>
      </c>
      <c r="M26" s="24" t="str">
        <f t="shared" si="0"/>
        <v>perend</v>
      </c>
      <c r="N26" s="27" t="s">
        <v>85</v>
      </c>
      <c r="O26" s="3"/>
    </row>
    <row r="27" spans="1:18" ht="15.75" x14ac:dyDescent="0.25">
      <c r="A27" s="29">
        <v>45350</v>
      </c>
      <c r="B27" s="3" t="s">
        <v>60</v>
      </c>
      <c r="F27" s="1">
        <v>45348</v>
      </c>
      <c r="G27" s="1">
        <v>45375</v>
      </c>
      <c r="H27" t="s">
        <v>93</v>
      </c>
      <c r="I27" t="s">
        <v>91</v>
      </c>
      <c r="J27" t="s">
        <v>32</v>
      </c>
      <c r="L27" t="s">
        <v>103</v>
      </c>
      <c r="M27" s="24" t="str">
        <f t="shared" si="0"/>
        <v>perend</v>
      </c>
      <c r="N27" s="27" t="s">
        <v>85</v>
      </c>
      <c r="O27" s="3"/>
      <c r="R27" t="s">
        <v>94</v>
      </c>
    </row>
    <row r="28" spans="1:18" ht="15.75" x14ac:dyDescent="0.25">
      <c r="A28" s="1">
        <v>41261</v>
      </c>
      <c r="B28" s="3" t="s">
        <v>58</v>
      </c>
      <c r="F28" s="1">
        <v>41239</v>
      </c>
      <c r="G28" s="1">
        <v>41273</v>
      </c>
      <c r="H28" t="s">
        <v>90</v>
      </c>
      <c r="I28" t="s">
        <v>19</v>
      </c>
      <c r="J28" t="s">
        <v>17</v>
      </c>
      <c r="L28" t="s">
        <v>19</v>
      </c>
      <c r="M28" s="24" t="str">
        <f t="shared" si="0"/>
        <v>currper</v>
      </c>
      <c r="N28" s="27" t="s">
        <v>85</v>
      </c>
      <c r="O28" s="3"/>
      <c r="R28" s="1">
        <v>40967</v>
      </c>
    </row>
    <row r="29" spans="1:18" ht="15.75" x14ac:dyDescent="0.25">
      <c r="A29" s="1">
        <v>41262</v>
      </c>
      <c r="B29" s="3" t="s">
        <v>58</v>
      </c>
      <c r="F29" s="1">
        <v>41239</v>
      </c>
      <c r="G29" s="1">
        <v>41273</v>
      </c>
      <c r="H29" t="s">
        <v>90</v>
      </c>
      <c r="I29" t="s">
        <v>19</v>
      </c>
      <c r="J29" t="s">
        <v>17</v>
      </c>
      <c r="L29" t="s">
        <v>19</v>
      </c>
      <c r="M29" s="24" t="str">
        <f t="shared" si="0"/>
        <v>currper</v>
      </c>
      <c r="N29" s="27" t="s">
        <v>85</v>
      </c>
      <c r="O29" s="3"/>
      <c r="R29" s="1">
        <v>42428</v>
      </c>
    </row>
    <row r="30" spans="1:18" ht="15.75" x14ac:dyDescent="0.25">
      <c r="A30" s="1">
        <v>41263</v>
      </c>
      <c r="B30" s="3" t="s">
        <v>58</v>
      </c>
      <c r="F30" s="1">
        <v>41239</v>
      </c>
      <c r="G30" s="1">
        <v>41273</v>
      </c>
      <c r="H30" t="s">
        <v>90</v>
      </c>
      <c r="I30" t="s">
        <v>19</v>
      </c>
      <c r="J30" t="s">
        <v>17</v>
      </c>
      <c r="L30" t="s">
        <v>19</v>
      </c>
      <c r="M30" s="24" t="str">
        <f t="shared" si="0"/>
        <v>currper</v>
      </c>
      <c r="N30" s="27" t="s">
        <v>85</v>
      </c>
      <c r="O30" s="3"/>
      <c r="R30" s="1">
        <v>43889</v>
      </c>
    </row>
    <row r="31" spans="1:18" ht="15.75" x14ac:dyDescent="0.25">
      <c r="A31" s="1">
        <v>41264</v>
      </c>
      <c r="B31" s="3" t="s">
        <v>58</v>
      </c>
      <c r="F31" s="1">
        <v>41239</v>
      </c>
      <c r="G31" s="1">
        <v>41273</v>
      </c>
      <c r="H31" t="s">
        <v>90</v>
      </c>
      <c r="I31" t="s">
        <v>19</v>
      </c>
      <c r="J31" t="s">
        <v>17</v>
      </c>
      <c r="L31" t="s">
        <v>19</v>
      </c>
      <c r="M31" s="24" t="str">
        <f t="shared" si="0"/>
        <v>currper</v>
      </c>
      <c r="N31" s="27" t="s">
        <v>85</v>
      </c>
      <c r="O31" s="3"/>
      <c r="R31" s="29">
        <v>45350</v>
      </c>
    </row>
    <row r="32" spans="1:18" ht="15.75" x14ac:dyDescent="0.25">
      <c r="A32" s="1">
        <v>41265</v>
      </c>
      <c r="B32" s="3" t="s">
        <v>58</v>
      </c>
      <c r="F32" s="1">
        <v>41239</v>
      </c>
      <c r="G32" s="1">
        <v>41273</v>
      </c>
      <c r="H32" t="s">
        <v>90</v>
      </c>
      <c r="I32" t="s">
        <v>19</v>
      </c>
      <c r="J32" t="s">
        <v>17</v>
      </c>
      <c r="L32" t="s">
        <v>19</v>
      </c>
      <c r="M32" s="24" t="str">
        <f t="shared" si="0"/>
        <v>currper</v>
      </c>
      <c r="N32" s="27" t="s">
        <v>85</v>
      </c>
      <c r="O32" s="3"/>
      <c r="R32" s="1"/>
    </row>
    <row r="33" spans="1:18" ht="15.75" x14ac:dyDescent="0.25">
      <c r="A33" s="1">
        <v>41266</v>
      </c>
      <c r="B33" s="3" t="s">
        <v>58</v>
      </c>
      <c r="F33" s="1">
        <v>41239</v>
      </c>
      <c r="G33" s="1">
        <v>41273</v>
      </c>
      <c r="H33" t="s">
        <v>90</v>
      </c>
      <c r="I33" t="s">
        <v>19</v>
      </c>
      <c r="J33" t="s">
        <v>17</v>
      </c>
      <c r="L33" t="s">
        <v>19</v>
      </c>
      <c r="M33" s="24" t="str">
        <f t="shared" si="0"/>
        <v>currper</v>
      </c>
      <c r="N33" s="27" t="s">
        <v>85</v>
      </c>
      <c r="O33" s="3"/>
    </row>
    <row r="34" spans="1:18" ht="15.75" x14ac:dyDescent="0.25">
      <c r="A34" s="1">
        <v>41267</v>
      </c>
      <c r="B34" s="3" t="s">
        <v>58</v>
      </c>
      <c r="F34" s="1">
        <v>41239</v>
      </c>
      <c r="G34" s="1">
        <v>41273</v>
      </c>
      <c r="H34" t="s">
        <v>90</v>
      </c>
      <c r="I34" t="s">
        <v>19</v>
      </c>
      <c r="J34" t="s">
        <v>17</v>
      </c>
      <c r="L34" t="s">
        <v>19</v>
      </c>
      <c r="M34" s="24" t="str">
        <f t="shared" si="0"/>
        <v>currper</v>
      </c>
      <c r="N34" s="27" t="s">
        <v>85</v>
      </c>
      <c r="O34" s="3"/>
      <c r="R34" s="1"/>
    </row>
    <row r="35" spans="1:18" ht="15.75" x14ac:dyDescent="0.25">
      <c r="A35" s="1">
        <v>41268</v>
      </c>
      <c r="B35" s="3" t="s">
        <v>58</v>
      </c>
      <c r="F35" s="1">
        <v>41239</v>
      </c>
      <c r="G35" s="1">
        <v>41273</v>
      </c>
      <c r="H35" t="s">
        <v>90</v>
      </c>
      <c r="I35" t="s">
        <v>19</v>
      </c>
      <c r="J35" t="s">
        <v>17</v>
      </c>
      <c r="L35" t="s">
        <v>19</v>
      </c>
      <c r="M35" s="24" t="str">
        <f t="shared" si="0"/>
        <v>currper</v>
      </c>
      <c r="N35" s="27" t="s">
        <v>85</v>
      </c>
      <c r="O35" s="3"/>
    </row>
    <row r="36" spans="1:18" ht="15.75" x14ac:dyDescent="0.25">
      <c r="A36" s="1">
        <v>41269</v>
      </c>
      <c r="B36" s="3" t="s">
        <v>58</v>
      </c>
      <c r="F36" s="1">
        <v>41239</v>
      </c>
      <c r="G36" s="1">
        <v>41273</v>
      </c>
      <c r="H36" t="s">
        <v>90</v>
      </c>
      <c r="I36" t="s">
        <v>19</v>
      </c>
      <c r="J36" t="s">
        <v>17</v>
      </c>
      <c r="L36" t="s">
        <v>19</v>
      </c>
      <c r="M36" s="24" t="str">
        <f t="shared" si="0"/>
        <v>currper</v>
      </c>
      <c r="N36" s="27" t="s">
        <v>85</v>
      </c>
      <c r="O36" s="3"/>
    </row>
    <row r="37" spans="1:18" ht="15.75" x14ac:dyDescent="0.25">
      <c r="A37" s="1">
        <v>41270</v>
      </c>
      <c r="B37" s="3" t="s">
        <v>58</v>
      </c>
      <c r="F37" s="1">
        <v>41239</v>
      </c>
      <c r="G37" s="1">
        <v>41273</v>
      </c>
      <c r="H37" t="s">
        <v>90</v>
      </c>
      <c r="I37" t="s">
        <v>19</v>
      </c>
      <c r="J37" t="s">
        <v>17</v>
      </c>
      <c r="L37" t="s">
        <v>19</v>
      </c>
      <c r="M37" s="24" t="str">
        <f t="shared" si="0"/>
        <v>currper</v>
      </c>
      <c r="N37" s="27" t="s">
        <v>85</v>
      </c>
      <c r="O37" s="3"/>
    </row>
    <row r="38" spans="1:18" ht="15.75" x14ac:dyDescent="0.25">
      <c r="A38" s="1">
        <v>41271</v>
      </c>
      <c r="B38" s="3" t="s">
        <v>58</v>
      </c>
      <c r="F38" s="1">
        <v>41239</v>
      </c>
      <c r="G38" s="1">
        <v>41273</v>
      </c>
      <c r="H38" t="s">
        <v>90</v>
      </c>
      <c r="I38" t="s">
        <v>19</v>
      </c>
      <c r="J38" t="s">
        <v>17</v>
      </c>
      <c r="L38" t="s">
        <v>19</v>
      </c>
      <c r="M38" s="24" t="str">
        <f t="shared" si="0"/>
        <v>currper</v>
      </c>
      <c r="N38" s="27" t="s">
        <v>85</v>
      </c>
      <c r="O38" s="3"/>
    </row>
    <row r="39" spans="1:18" ht="15.75" x14ac:dyDescent="0.25">
      <c r="A39" s="1">
        <v>41272</v>
      </c>
      <c r="B39" s="3" t="s">
        <v>58</v>
      </c>
      <c r="F39" s="1">
        <v>41239</v>
      </c>
      <c r="G39" s="1">
        <v>41273</v>
      </c>
      <c r="H39" t="s">
        <v>90</v>
      </c>
      <c r="I39" t="s">
        <v>19</v>
      </c>
      <c r="J39" t="s">
        <v>17</v>
      </c>
      <c r="L39" t="s">
        <v>19</v>
      </c>
      <c r="M39" s="24" t="str">
        <f t="shared" si="0"/>
        <v>currper</v>
      </c>
      <c r="N39" s="27" t="s">
        <v>85</v>
      </c>
      <c r="O39" s="3"/>
    </row>
    <row r="40" spans="1:18" ht="15.75" x14ac:dyDescent="0.25">
      <c r="A40" s="1">
        <v>41273</v>
      </c>
      <c r="B40" s="3" t="s">
        <v>58</v>
      </c>
      <c r="F40" s="1">
        <v>41239</v>
      </c>
      <c r="G40" s="1">
        <v>41273</v>
      </c>
      <c r="H40" t="s">
        <v>90</v>
      </c>
      <c r="I40" t="s">
        <v>19</v>
      </c>
      <c r="J40" t="s">
        <v>17</v>
      </c>
      <c r="L40" t="s">
        <v>19</v>
      </c>
      <c r="M40" s="24" t="str">
        <f t="shared" si="0"/>
        <v>currper</v>
      </c>
      <c r="N40" s="27" t="s">
        <v>85</v>
      </c>
      <c r="O40" s="3"/>
    </row>
    <row r="41" spans="1:18" ht="15.75" x14ac:dyDescent="0.25">
      <c r="A41" s="1">
        <v>41274</v>
      </c>
      <c r="B41" s="3" t="s">
        <v>58</v>
      </c>
      <c r="F41" s="1">
        <v>41274</v>
      </c>
      <c r="G41" s="1">
        <v>41301</v>
      </c>
      <c r="H41" t="s">
        <v>104</v>
      </c>
      <c r="I41" t="s">
        <v>32</v>
      </c>
      <c r="J41" t="s">
        <v>32</v>
      </c>
      <c r="L41" t="s">
        <v>20</v>
      </c>
      <c r="M41" s="24" t="str">
        <f t="shared" si="0"/>
        <v>currper</v>
      </c>
      <c r="N41" s="27" t="s">
        <v>85</v>
      </c>
      <c r="O41" s="3"/>
    </row>
    <row r="42" spans="1:18" ht="15.75" x14ac:dyDescent="0.25">
      <c r="A42" s="1">
        <v>41275</v>
      </c>
      <c r="B42" s="3" t="s">
        <v>58</v>
      </c>
      <c r="F42" s="1">
        <v>41274</v>
      </c>
      <c r="G42" s="1">
        <v>41301</v>
      </c>
      <c r="H42" t="s">
        <v>104</v>
      </c>
      <c r="I42" t="s">
        <v>32</v>
      </c>
      <c r="J42" t="s">
        <v>32</v>
      </c>
      <c r="L42" t="s">
        <v>20</v>
      </c>
      <c r="M42" s="24" t="str">
        <f t="shared" si="0"/>
        <v>currper</v>
      </c>
      <c r="N42" s="27" t="s">
        <v>85</v>
      </c>
    </row>
    <row r="43" spans="1:18" ht="15.75" x14ac:dyDescent="0.25">
      <c r="A43" s="1">
        <v>41276</v>
      </c>
      <c r="B43" s="3" t="s">
        <v>58</v>
      </c>
      <c r="F43" s="1">
        <v>41274</v>
      </c>
      <c r="G43" s="1">
        <v>41301</v>
      </c>
      <c r="H43" t="s">
        <v>104</v>
      </c>
      <c r="I43" t="s">
        <v>32</v>
      </c>
      <c r="J43" t="s">
        <v>32</v>
      </c>
      <c r="L43" t="s">
        <v>20</v>
      </c>
      <c r="M43" s="24" t="str">
        <f t="shared" si="0"/>
        <v>currper</v>
      </c>
      <c r="N43" s="27" t="s">
        <v>85</v>
      </c>
    </row>
    <row r="44" spans="1:18" ht="15.75" x14ac:dyDescent="0.25">
      <c r="A44" s="1">
        <v>41277</v>
      </c>
      <c r="B44" s="3" t="s">
        <v>58</v>
      </c>
      <c r="F44" s="1">
        <v>41274</v>
      </c>
      <c r="G44" s="1">
        <v>41301</v>
      </c>
      <c r="H44" t="s">
        <v>104</v>
      </c>
      <c r="I44" t="s">
        <v>32</v>
      </c>
      <c r="J44" t="s">
        <v>32</v>
      </c>
      <c r="L44" t="s">
        <v>20</v>
      </c>
      <c r="M44" s="24" t="str">
        <f t="shared" si="0"/>
        <v>currper</v>
      </c>
      <c r="N44" s="27" t="s">
        <v>85</v>
      </c>
    </row>
    <row r="45" spans="1:18" ht="15.75" x14ac:dyDescent="0.25">
      <c r="A45" s="1">
        <v>41261</v>
      </c>
      <c r="B45" s="3" t="s">
        <v>61</v>
      </c>
      <c r="F45" s="1">
        <v>41239</v>
      </c>
      <c r="G45" s="1">
        <v>41273</v>
      </c>
      <c r="H45" t="s">
        <v>90</v>
      </c>
      <c r="I45" t="s">
        <v>19</v>
      </c>
      <c r="J45" t="s">
        <v>17</v>
      </c>
      <c r="L45" s="4" t="s">
        <v>18</v>
      </c>
      <c r="M45" s="37" t="str">
        <f t="shared" si="0"/>
        <v>prevper</v>
      </c>
      <c r="N45" s="38" t="s">
        <v>88</v>
      </c>
    </row>
    <row r="46" spans="1:18" ht="15.75" x14ac:dyDescent="0.25">
      <c r="A46" s="1">
        <v>41262</v>
      </c>
      <c r="B46" s="3" t="s">
        <v>61</v>
      </c>
      <c r="F46" s="1">
        <v>41239</v>
      </c>
      <c r="G46" s="1">
        <v>41273</v>
      </c>
      <c r="H46" t="s">
        <v>90</v>
      </c>
      <c r="I46" t="s">
        <v>19</v>
      </c>
      <c r="J46" t="s">
        <v>17</v>
      </c>
      <c r="L46" s="4" t="s">
        <v>18</v>
      </c>
      <c r="M46" s="37" t="str">
        <f t="shared" si="0"/>
        <v>prevper</v>
      </c>
      <c r="N46" s="38" t="s">
        <v>88</v>
      </c>
    </row>
    <row r="47" spans="1:18" ht="15.75" x14ac:dyDescent="0.25">
      <c r="A47" s="1">
        <v>41263</v>
      </c>
      <c r="B47" s="3" t="s">
        <v>61</v>
      </c>
      <c r="F47" s="1">
        <v>41239</v>
      </c>
      <c r="G47" s="1">
        <v>41273</v>
      </c>
      <c r="H47" t="s">
        <v>90</v>
      </c>
      <c r="I47" t="s">
        <v>19</v>
      </c>
      <c r="J47" t="s">
        <v>17</v>
      </c>
      <c r="L47" s="4" t="s">
        <v>18</v>
      </c>
      <c r="M47" s="37" t="str">
        <f t="shared" si="0"/>
        <v>prevper</v>
      </c>
      <c r="N47" s="38" t="s">
        <v>88</v>
      </c>
    </row>
    <row r="48" spans="1:18" ht="15.75" x14ac:dyDescent="0.25">
      <c r="A48" s="1">
        <v>41264</v>
      </c>
      <c r="B48" s="3" t="s">
        <v>61</v>
      </c>
      <c r="F48" s="1">
        <v>41239</v>
      </c>
      <c r="G48" s="1">
        <v>41273</v>
      </c>
      <c r="H48" t="s">
        <v>90</v>
      </c>
      <c r="I48" t="s">
        <v>19</v>
      </c>
      <c r="J48" t="s">
        <v>17</v>
      </c>
      <c r="L48" s="4" t="s">
        <v>18</v>
      </c>
      <c r="M48" s="37" t="str">
        <f t="shared" si="0"/>
        <v>prevper</v>
      </c>
      <c r="N48" s="38" t="s">
        <v>88</v>
      </c>
    </row>
    <row r="49" spans="1:14" ht="15.75" x14ac:dyDescent="0.25">
      <c r="A49" s="1">
        <v>41265</v>
      </c>
      <c r="B49" s="3" t="s">
        <v>61</v>
      </c>
      <c r="F49" s="1">
        <v>41239</v>
      </c>
      <c r="G49" s="1">
        <v>41273</v>
      </c>
      <c r="H49" t="s">
        <v>90</v>
      </c>
      <c r="I49" t="s">
        <v>19</v>
      </c>
      <c r="J49" t="s">
        <v>17</v>
      </c>
      <c r="L49" s="4" t="s">
        <v>18</v>
      </c>
      <c r="M49" s="37" t="str">
        <f t="shared" si="0"/>
        <v>prevper</v>
      </c>
      <c r="N49" s="38" t="s">
        <v>88</v>
      </c>
    </row>
    <row r="50" spans="1:14" ht="15.75" x14ac:dyDescent="0.25">
      <c r="A50" s="1">
        <v>41266</v>
      </c>
      <c r="B50" s="3" t="s">
        <v>61</v>
      </c>
      <c r="F50" s="1">
        <v>41239</v>
      </c>
      <c r="G50" s="1">
        <v>41273</v>
      </c>
      <c r="H50" t="s">
        <v>90</v>
      </c>
      <c r="I50" t="s">
        <v>19</v>
      </c>
      <c r="J50" t="s">
        <v>17</v>
      </c>
      <c r="L50" s="4" t="s">
        <v>18</v>
      </c>
      <c r="M50" s="37" t="str">
        <f t="shared" si="0"/>
        <v>prevper</v>
      </c>
      <c r="N50" s="38" t="s">
        <v>88</v>
      </c>
    </row>
    <row r="51" spans="1:14" ht="15.75" x14ac:dyDescent="0.25">
      <c r="A51" s="1">
        <v>41267</v>
      </c>
      <c r="B51" s="3" t="s">
        <v>61</v>
      </c>
      <c r="F51" s="1">
        <v>41239</v>
      </c>
      <c r="G51" s="1">
        <v>41273</v>
      </c>
      <c r="H51" t="s">
        <v>90</v>
      </c>
      <c r="I51" t="s">
        <v>19</v>
      </c>
      <c r="J51" t="s">
        <v>17</v>
      </c>
      <c r="L51" s="4" t="s">
        <v>18</v>
      </c>
      <c r="M51" s="37" t="str">
        <f t="shared" si="0"/>
        <v>prevper</v>
      </c>
      <c r="N51" s="38" t="s">
        <v>88</v>
      </c>
    </row>
    <row r="52" spans="1:14" ht="15.75" x14ac:dyDescent="0.25">
      <c r="A52" s="1">
        <v>41268</v>
      </c>
      <c r="B52" s="3" t="s">
        <v>61</v>
      </c>
      <c r="F52" s="1">
        <v>41239</v>
      </c>
      <c r="G52" s="1">
        <v>41273</v>
      </c>
      <c r="H52" t="s">
        <v>90</v>
      </c>
      <c r="I52" t="s">
        <v>19</v>
      </c>
      <c r="J52" t="s">
        <v>17</v>
      </c>
      <c r="L52" s="4" t="s">
        <v>18</v>
      </c>
      <c r="M52" s="37" t="str">
        <f t="shared" si="0"/>
        <v>prevper</v>
      </c>
      <c r="N52" s="38" t="s">
        <v>88</v>
      </c>
    </row>
    <row r="53" spans="1:14" ht="15.75" x14ac:dyDescent="0.25">
      <c r="A53" s="1">
        <v>41269</v>
      </c>
      <c r="B53" s="3" t="s">
        <v>61</v>
      </c>
      <c r="F53" s="1">
        <v>41239</v>
      </c>
      <c r="G53" s="1">
        <v>41273</v>
      </c>
      <c r="H53" t="s">
        <v>90</v>
      </c>
      <c r="I53" t="s">
        <v>19</v>
      </c>
      <c r="J53" t="s">
        <v>17</v>
      </c>
      <c r="L53" s="4" t="s">
        <v>18</v>
      </c>
      <c r="M53" s="37" t="str">
        <f t="shared" si="0"/>
        <v>prevper</v>
      </c>
      <c r="N53" s="38" t="s">
        <v>88</v>
      </c>
    </row>
    <row r="54" spans="1:14" ht="15.75" x14ac:dyDescent="0.25">
      <c r="A54" s="1">
        <v>41270</v>
      </c>
      <c r="B54" s="3" t="s">
        <v>61</v>
      </c>
      <c r="F54" s="1">
        <v>41239</v>
      </c>
      <c r="G54" s="1">
        <v>41273</v>
      </c>
      <c r="H54" t="s">
        <v>90</v>
      </c>
      <c r="I54" t="s">
        <v>19</v>
      </c>
      <c r="J54" t="s">
        <v>17</v>
      </c>
      <c r="L54" s="4" t="s">
        <v>18</v>
      </c>
      <c r="M54" s="37" t="str">
        <f t="shared" si="0"/>
        <v>prevper</v>
      </c>
      <c r="N54" s="38" t="s">
        <v>88</v>
      </c>
    </row>
    <row r="55" spans="1:14" ht="15.75" x14ac:dyDescent="0.25">
      <c r="A55" s="1">
        <v>41271</v>
      </c>
      <c r="B55" s="3" t="s">
        <v>61</v>
      </c>
      <c r="F55" s="1">
        <v>41239</v>
      </c>
      <c r="G55" s="1">
        <v>41273</v>
      </c>
      <c r="H55" t="s">
        <v>90</v>
      </c>
      <c r="I55" t="s">
        <v>19</v>
      </c>
      <c r="J55" t="s">
        <v>17</v>
      </c>
      <c r="L55" s="4" t="s">
        <v>18</v>
      </c>
      <c r="M55" s="37" t="str">
        <f t="shared" si="0"/>
        <v>prevper</v>
      </c>
      <c r="N55" s="38" t="s">
        <v>88</v>
      </c>
    </row>
    <row r="56" spans="1:14" ht="15.75" x14ac:dyDescent="0.25">
      <c r="A56" s="1">
        <v>41272</v>
      </c>
      <c r="B56" s="3" t="s">
        <v>61</v>
      </c>
      <c r="F56" s="1">
        <v>41239</v>
      </c>
      <c r="G56" s="1">
        <v>41273</v>
      </c>
      <c r="H56" t="s">
        <v>90</v>
      </c>
      <c r="I56" t="s">
        <v>19</v>
      </c>
      <c r="J56" t="s">
        <v>17</v>
      </c>
      <c r="L56" s="4" t="s">
        <v>18</v>
      </c>
      <c r="M56" s="37" t="str">
        <f t="shared" si="0"/>
        <v>prevper</v>
      </c>
      <c r="N56" s="38" t="s">
        <v>88</v>
      </c>
    </row>
    <row r="57" spans="1:14" ht="15.75" x14ac:dyDescent="0.25">
      <c r="A57" s="1">
        <v>41273</v>
      </c>
      <c r="B57" s="3" t="s">
        <v>61</v>
      </c>
      <c r="F57" s="1">
        <v>41239</v>
      </c>
      <c r="G57" s="1">
        <v>41273</v>
      </c>
      <c r="H57" t="s">
        <v>90</v>
      </c>
      <c r="I57" t="s">
        <v>19</v>
      </c>
      <c r="J57" t="s">
        <v>17</v>
      </c>
      <c r="L57" s="4" t="s">
        <v>18</v>
      </c>
      <c r="M57" s="37" t="str">
        <f t="shared" si="0"/>
        <v>prevper</v>
      </c>
      <c r="N57" s="38" t="s">
        <v>88</v>
      </c>
    </row>
    <row r="58" spans="1:14" ht="15.75" x14ac:dyDescent="0.25">
      <c r="A58" s="1">
        <v>41274</v>
      </c>
      <c r="B58" s="3" t="s">
        <v>61</v>
      </c>
      <c r="F58" s="1">
        <v>41274</v>
      </c>
      <c r="G58" s="1">
        <v>41301</v>
      </c>
      <c r="H58" t="s">
        <v>104</v>
      </c>
      <c r="I58" t="s">
        <v>32</v>
      </c>
      <c r="J58" t="s">
        <v>32</v>
      </c>
      <c r="L58" s="4" t="s">
        <v>19</v>
      </c>
      <c r="M58" s="37" t="str">
        <f t="shared" si="0"/>
        <v>prevper</v>
      </c>
      <c r="N58" s="38" t="s">
        <v>88</v>
      </c>
    </row>
    <row r="59" spans="1:14" ht="15.75" x14ac:dyDescent="0.25">
      <c r="A59" s="1">
        <v>41275</v>
      </c>
      <c r="B59" s="3" t="s">
        <v>61</v>
      </c>
      <c r="F59" s="1">
        <v>41274</v>
      </c>
      <c r="G59" s="1">
        <v>41301</v>
      </c>
      <c r="H59" t="s">
        <v>104</v>
      </c>
      <c r="I59" t="s">
        <v>32</v>
      </c>
      <c r="J59" t="s">
        <v>32</v>
      </c>
      <c r="L59" s="4" t="s">
        <v>19</v>
      </c>
      <c r="M59" s="37" t="str">
        <f t="shared" si="0"/>
        <v>prevper</v>
      </c>
      <c r="N59" s="38" t="s">
        <v>88</v>
      </c>
    </row>
    <row r="60" spans="1:14" ht="15.75" x14ac:dyDescent="0.25">
      <c r="A60" s="1">
        <v>41276</v>
      </c>
      <c r="B60" s="3" t="s">
        <v>61</v>
      </c>
      <c r="F60" s="1">
        <v>41274</v>
      </c>
      <c r="G60" s="1">
        <v>41301</v>
      </c>
      <c r="H60" t="s">
        <v>104</v>
      </c>
      <c r="I60" t="s">
        <v>32</v>
      </c>
      <c r="J60" t="s">
        <v>32</v>
      </c>
      <c r="L60" s="4" t="s">
        <v>19</v>
      </c>
      <c r="M60" s="37" t="str">
        <f t="shared" si="0"/>
        <v>prevper</v>
      </c>
      <c r="N60" s="38" t="s">
        <v>88</v>
      </c>
    </row>
    <row r="61" spans="1:14" ht="15.75" x14ac:dyDescent="0.25">
      <c r="A61" s="1">
        <v>41277</v>
      </c>
      <c r="B61" s="3" t="s">
        <v>61</v>
      </c>
      <c r="F61" s="1">
        <v>41274</v>
      </c>
      <c r="G61" s="1">
        <v>41301</v>
      </c>
      <c r="H61" t="s">
        <v>104</v>
      </c>
      <c r="I61" t="s">
        <v>32</v>
      </c>
      <c r="J61" t="s">
        <v>32</v>
      </c>
      <c r="L61" s="4" t="s">
        <v>19</v>
      </c>
      <c r="M61" s="37" t="str">
        <f t="shared" si="0"/>
        <v>prevper</v>
      </c>
      <c r="N61" s="38" t="s">
        <v>88</v>
      </c>
    </row>
    <row r="62" spans="1:14" ht="15.75" x14ac:dyDescent="0.25">
      <c r="A62" s="1">
        <v>41261</v>
      </c>
      <c r="B62" s="3" t="s">
        <v>4</v>
      </c>
      <c r="F62" s="1">
        <v>41239</v>
      </c>
      <c r="G62" s="1">
        <v>41273</v>
      </c>
      <c r="H62" t="s">
        <v>90</v>
      </c>
      <c r="I62" t="s">
        <v>19</v>
      </c>
      <c r="J62" t="s">
        <v>17</v>
      </c>
      <c r="L62" t="s">
        <v>105</v>
      </c>
      <c r="M62" s="24" t="str">
        <f t="shared" si="0"/>
        <v>perStart</v>
      </c>
      <c r="N62" s="27" t="s">
        <v>85</v>
      </c>
    </row>
    <row r="63" spans="1:14" ht="15.75" x14ac:dyDescent="0.25">
      <c r="A63" s="1">
        <v>41262</v>
      </c>
      <c r="B63" s="3" t="s">
        <v>4</v>
      </c>
      <c r="F63" s="1">
        <v>41239</v>
      </c>
      <c r="G63" s="1">
        <v>41273</v>
      </c>
      <c r="H63" t="s">
        <v>90</v>
      </c>
      <c r="I63" t="s">
        <v>19</v>
      </c>
      <c r="J63" t="s">
        <v>17</v>
      </c>
      <c r="L63" t="s">
        <v>105</v>
      </c>
      <c r="M63" s="24" t="str">
        <f t="shared" si="0"/>
        <v>perStart</v>
      </c>
      <c r="N63" s="27" t="s">
        <v>85</v>
      </c>
    </row>
    <row r="64" spans="1:14" ht="15.75" x14ac:dyDescent="0.25">
      <c r="A64" s="1">
        <v>41263</v>
      </c>
      <c r="B64" s="3" t="s">
        <v>4</v>
      </c>
      <c r="F64" s="1">
        <v>41239</v>
      </c>
      <c r="G64" s="1">
        <v>41273</v>
      </c>
      <c r="H64" t="s">
        <v>90</v>
      </c>
      <c r="I64" t="s">
        <v>19</v>
      </c>
      <c r="J64" t="s">
        <v>17</v>
      </c>
      <c r="L64" t="s">
        <v>105</v>
      </c>
      <c r="M64" s="24" t="str">
        <f t="shared" si="0"/>
        <v>perStart</v>
      </c>
      <c r="N64" s="27" t="s">
        <v>85</v>
      </c>
    </row>
    <row r="65" spans="1:14" ht="15.75" x14ac:dyDescent="0.25">
      <c r="A65" s="1">
        <v>41264</v>
      </c>
      <c r="B65" s="3" t="s">
        <v>4</v>
      </c>
      <c r="F65" s="1">
        <v>41239</v>
      </c>
      <c r="G65" s="1">
        <v>41273</v>
      </c>
      <c r="H65" t="s">
        <v>90</v>
      </c>
      <c r="I65" t="s">
        <v>19</v>
      </c>
      <c r="J65" t="s">
        <v>17</v>
      </c>
      <c r="L65" t="s">
        <v>105</v>
      </c>
      <c r="M65" s="24" t="str">
        <f t="shared" si="0"/>
        <v>perStart</v>
      </c>
      <c r="N65" s="27" t="s">
        <v>85</v>
      </c>
    </row>
    <row r="66" spans="1:14" ht="15.75" x14ac:dyDescent="0.25">
      <c r="A66" s="1">
        <v>41265</v>
      </c>
      <c r="B66" s="3" t="s">
        <v>4</v>
      </c>
      <c r="F66" s="1">
        <v>41239</v>
      </c>
      <c r="G66" s="1">
        <v>41273</v>
      </c>
      <c r="H66" t="s">
        <v>90</v>
      </c>
      <c r="I66" t="s">
        <v>19</v>
      </c>
      <c r="J66" t="s">
        <v>17</v>
      </c>
      <c r="L66" t="s">
        <v>105</v>
      </c>
      <c r="M66" s="24" t="str">
        <f t="shared" si="0"/>
        <v>perStart</v>
      </c>
      <c r="N66" s="27" t="s">
        <v>85</v>
      </c>
    </row>
    <row r="67" spans="1:14" ht="15.75" x14ac:dyDescent="0.25">
      <c r="A67" s="1">
        <v>41266</v>
      </c>
      <c r="B67" s="3" t="s">
        <v>4</v>
      </c>
      <c r="F67" s="1">
        <v>41239</v>
      </c>
      <c r="G67" s="1">
        <v>41273</v>
      </c>
      <c r="H67" t="s">
        <v>90</v>
      </c>
      <c r="I67" t="s">
        <v>19</v>
      </c>
      <c r="J67" t="s">
        <v>17</v>
      </c>
      <c r="L67" t="s">
        <v>105</v>
      </c>
      <c r="M67" s="24" t="str">
        <f t="shared" si="0"/>
        <v>perStart</v>
      </c>
      <c r="N67" s="27" t="s">
        <v>85</v>
      </c>
    </row>
    <row r="68" spans="1:14" ht="15.75" x14ac:dyDescent="0.25">
      <c r="A68" s="1">
        <v>41267</v>
      </c>
      <c r="B68" s="3" t="s">
        <v>4</v>
      </c>
      <c r="F68" s="1">
        <v>41239</v>
      </c>
      <c r="G68" s="1">
        <v>41273</v>
      </c>
      <c r="H68" t="s">
        <v>90</v>
      </c>
      <c r="I68" t="s">
        <v>19</v>
      </c>
      <c r="J68" t="s">
        <v>17</v>
      </c>
      <c r="L68" t="s">
        <v>105</v>
      </c>
      <c r="M68" s="24" t="str">
        <f t="shared" si="0"/>
        <v>perStart</v>
      </c>
      <c r="N68" s="27" t="s">
        <v>85</v>
      </c>
    </row>
    <row r="69" spans="1:14" ht="15.75" x14ac:dyDescent="0.25">
      <c r="A69" s="1">
        <v>41268</v>
      </c>
      <c r="B69" s="3" t="s">
        <v>4</v>
      </c>
      <c r="F69" s="1">
        <v>41239</v>
      </c>
      <c r="G69" s="1">
        <v>41273</v>
      </c>
      <c r="H69" t="s">
        <v>90</v>
      </c>
      <c r="I69" t="s">
        <v>19</v>
      </c>
      <c r="J69" t="s">
        <v>17</v>
      </c>
      <c r="L69" t="s">
        <v>105</v>
      </c>
      <c r="M69" s="24" t="str">
        <f t="shared" si="0"/>
        <v>perStart</v>
      </c>
      <c r="N69" s="27" t="s">
        <v>85</v>
      </c>
    </row>
    <row r="70" spans="1:14" ht="15.75" x14ac:dyDescent="0.25">
      <c r="A70" s="1">
        <v>41269</v>
      </c>
      <c r="B70" s="3" t="s">
        <v>4</v>
      </c>
      <c r="F70" s="1">
        <v>41239</v>
      </c>
      <c r="G70" s="1">
        <v>41273</v>
      </c>
      <c r="H70" t="s">
        <v>90</v>
      </c>
      <c r="I70" t="s">
        <v>19</v>
      </c>
      <c r="J70" t="s">
        <v>17</v>
      </c>
      <c r="L70" t="s">
        <v>105</v>
      </c>
      <c r="M70" s="24" t="str">
        <f t="shared" si="0"/>
        <v>perStart</v>
      </c>
      <c r="N70" s="27" t="s">
        <v>85</v>
      </c>
    </row>
    <row r="71" spans="1:14" ht="15.75" x14ac:dyDescent="0.25">
      <c r="A71" s="1">
        <v>41270</v>
      </c>
      <c r="B71" s="3" t="s">
        <v>4</v>
      </c>
      <c r="F71" s="1">
        <v>41239</v>
      </c>
      <c r="G71" s="1">
        <v>41273</v>
      </c>
      <c r="H71" t="s">
        <v>90</v>
      </c>
      <c r="I71" t="s">
        <v>19</v>
      </c>
      <c r="J71" t="s">
        <v>17</v>
      </c>
      <c r="L71" t="s">
        <v>105</v>
      </c>
      <c r="M71" s="24" t="str">
        <f t="shared" si="0"/>
        <v>perStart</v>
      </c>
      <c r="N71" s="27" t="s">
        <v>85</v>
      </c>
    </row>
    <row r="72" spans="1:14" ht="15.75" x14ac:dyDescent="0.25">
      <c r="A72" s="1">
        <v>41271</v>
      </c>
      <c r="B72" s="3" t="s">
        <v>4</v>
      </c>
      <c r="F72" s="1">
        <v>41239</v>
      </c>
      <c r="G72" s="1">
        <v>41273</v>
      </c>
      <c r="H72" t="s">
        <v>90</v>
      </c>
      <c r="I72" t="s">
        <v>19</v>
      </c>
      <c r="J72" t="s">
        <v>17</v>
      </c>
      <c r="L72" t="s">
        <v>105</v>
      </c>
      <c r="M72" s="24" t="str">
        <f t="shared" si="0"/>
        <v>perStart</v>
      </c>
      <c r="N72" s="27" t="s">
        <v>85</v>
      </c>
    </row>
    <row r="73" spans="1:14" ht="15.75" x14ac:dyDescent="0.25">
      <c r="A73" s="1">
        <v>41272</v>
      </c>
      <c r="B73" s="3" t="s">
        <v>4</v>
      </c>
      <c r="F73" s="1">
        <v>41239</v>
      </c>
      <c r="G73" s="1">
        <v>41273</v>
      </c>
      <c r="H73" t="s">
        <v>90</v>
      </c>
      <c r="I73" t="s">
        <v>19</v>
      </c>
      <c r="J73" t="s">
        <v>17</v>
      </c>
      <c r="L73" t="s">
        <v>105</v>
      </c>
      <c r="M73" s="24" t="str">
        <f t="shared" ref="M73:M127" si="1">B73</f>
        <v>perStart</v>
      </c>
      <c r="N73" s="27" t="s">
        <v>85</v>
      </c>
    </row>
    <row r="74" spans="1:14" ht="15.75" x14ac:dyDescent="0.25">
      <c r="A74" s="1">
        <v>41273</v>
      </c>
      <c r="B74" s="3" t="s">
        <v>4</v>
      </c>
      <c r="F74" s="1">
        <v>41239</v>
      </c>
      <c r="G74" s="1">
        <v>41273</v>
      </c>
      <c r="H74" t="s">
        <v>90</v>
      </c>
      <c r="I74" t="s">
        <v>19</v>
      </c>
      <c r="J74" t="s">
        <v>17</v>
      </c>
      <c r="L74" t="s">
        <v>105</v>
      </c>
      <c r="M74" s="24" t="str">
        <f t="shared" si="1"/>
        <v>perStart</v>
      </c>
      <c r="N74" s="27" t="s">
        <v>85</v>
      </c>
    </row>
    <row r="75" spans="1:14" ht="15.75" x14ac:dyDescent="0.25">
      <c r="A75" s="1">
        <v>41274</v>
      </c>
      <c r="B75" s="3" t="s">
        <v>4</v>
      </c>
      <c r="F75" s="1">
        <v>41274</v>
      </c>
      <c r="G75" s="1">
        <v>41301</v>
      </c>
      <c r="H75" t="s">
        <v>104</v>
      </c>
      <c r="I75" t="s">
        <v>32</v>
      </c>
      <c r="J75" t="s">
        <v>32</v>
      </c>
      <c r="L75" t="s">
        <v>106</v>
      </c>
      <c r="M75" s="24" t="str">
        <f t="shared" si="1"/>
        <v>perStart</v>
      </c>
      <c r="N75" s="27" t="s">
        <v>85</v>
      </c>
    </row>
    <row r="76" spans="1:14" ht="15.75" x14ac:dyDescent="0.25">
      <c r="A76" s="1">
        <v>41275</v>
      </c>
      <c r="B76" s="3" t="s">
        <v>4</v>
      </c>
      <c r="F76" s="1">
        <v>41274</v>
      </c>
      <c r="G76" s="1">
        <v>41301</v>
      </c>
      <c r="H76" t="s">
        <v>104</v>
      </c>
      <c r="I76" t="s">
        <v>32</v>
      </c>
      <c r="J76" t="s">
        <v>32</v>
      </c>
      <c r="L76" t="s">
        <v>106</v>
      </c>
      <c r="M76" s="24" t="str">
        <f t="shared" si="1"/>
        <v>perStart</v>
      </c>
      <c r="N76" s="27" t="s">
        <v>85</v>
      </c>
    </row>
    <row r="77" spans="1:14" ht="15.75" x14ac:dyDescent="0.25">
      <c r="A77" s="1">
        <v>41276</v>
      </c>
      <c r="B77" s="3" t="s">
        <v>4</v>
      </c>
      <c r="F77" s="1">
        <v>41274</v>
      </c>
      <c r="G77" s="1">
        <v>41301</v>
      </c>
      <c r="H77" t="s">
        <v>104</v>
      </c>
      <c r="I77" t="s">
        <v>32</v>
      </c>
      <c r="J77" t="s">
        <v>32</v>
      </c>
      <c r="L77" t="s">
        <v>106</v>
      </c>
      <c r="M77" s="24" t="str">
        <f t="shared" si="1"/>
        <v>perStart</v>
      </c>
      <c r="N77" s="27" t="s">
        <v>85</v>
      </c>
    </row>
    <row r="78" spans="1:14" ht="15.75" x14ac:dyDescent="0.25">
      <c r="A78" s="1">
        <v>41277</v>
      </c>
      <c r="B78" s="3" t="s">
        <v>4</v>
      </c>
      <c r="F78" s="1">
        <v>41274</v>
      </c>
      <c r="G78" s="1">
        <v>41301</v>
      </c>
      <c r="H78" t="s">
        <v>104</v>
      </c>
      <c r="I78" t="s">
        <v>32</v>
      </c>
      <c r="J78" t="s">
        <v>32</v>
      </c>
      <c r="L78" t="s">
        <v>106</v>
      </c>
      <c r="M78" s="24" t="str">
        <f t="shared" si="1"/>
        <v>perStart</v>
      </c>
      <c r="N78" s="27" t="s">
        <v>85</v>
      </c>
    </row>
    <row r="79" spans="1:14" s="30" customFormat="1" ht="15.75" x14ac:dyDescent="0.25">
      <c r="A79" s="33">
        <v>42722</v>
      </c>
      <c r="B79" s="34" t="s">
        <v>58</v>
      </c>
      <c r="F79" s="33">
        <v>42702</v>
      </c>
      <c r="G79" s="33">
        <v>42729</v>
      </c>
      <c r="H79" s="30" t="s">
        <v>31</v>
      </c>
      <c r="I79" s="30" t="s">
        <v>19</v>
      </c>
      <c r="J79" s="30" t="s">
        <v>17</v>
      </c>
      <c r="L79" s="30" t="s">
        <v>19</v>
      </c>
      <c r="M79" s="31" t="str">
        <f t="shared" si="1"/>
        <v>currper</v>
      </c>
      <c r="N79" s="32" t="s">
        <v>85</v>
      </c>
    </row>
    <row r="80" spans="1:14" ht="15.75" x14ac:dyDescent="0.25">
      <c r="A80" s="1">
        <v>42723</v>
      </c>
      <c r="B80" s="3" t="s">
        <v>58</v>
      </c>
      <c r="F80" s="1">
        <v>42702</v>
      </c>
      <c r="G80" s="1">
        <v>42729</v>
      </c>
      <c r="H80" t="s">
        <v>31</v>
      </c>
      <c r="I80" t="s">
        <v>19</v>
      </c>
      <c r="J80" t="s">
        <v>17</v>
      </c>
      <c r="L80" t="s">
        <v>19</v>
      </c>
      <c r="M80" s="24" t="str">
        <f t="shared" si="1"/>
        <v>currper</v>
      </c>
      <c r="N80" s="27" t="s">
        <v>85</v>
      </c>
    </row>
    <row r="81" spans="1:14" ht="15.75" x14ac:dyDescent="0.25">
      <c r="A81" s="1">
        <v>42724</v>
      </c>
      <c r="B81" s="3" t="s">
        <v>58</v>
      </c>
      <c r="F81" s="1">
        <v>42702</v>
      </c>
      <c r="G81" s="1">
        <v>42729</v>
      </c>
      <c r="H81" t="s">
        <v>31</v>
      </c>
      <c r="I81" t="s">
        <v>19</v>
      </c>
      <c r="J81" t="s">
        <v>17</v>
      </c>
      <c r="L81" t="s">
        <v>19</v>
      </c>
      <c r="M81" s="24" t="str">
        <f t="shared" si="1"/>
        <v>currper</v>
      </c>
      <c r="N81" s="27" t="s">
        <v>85</v>
      </c>
    </row>
    <row r="82" spans="1:14" ht="15.75" x14ac:dyDescent="0.25">
      <c r="A82" s="1">
        <v>42725</v>
      </c>
      <c r="B82" s="3" t="s">
        <v>58</v>
      </c>
      <c r="F82" s="1">
        <v>42702</v>
      </c>
      <c r="G82" s="1">
        <v>42729</v>
      </c>
      <c r="H82" t="s">
        <v>31</v>
      </c>
      <c r="I82" t="s">
        <v>19</v>
      </c>
      <c r="J82" t="s">
        <v>17</v>
      </c>
      <c r="L82" t="s">
        <v>19</v>
      </c>
      <c r="M82" s="24" t="str">
        <f t="shared" si="1"/>
        <v>currper</v>
      </c>
      <c r="N82" s="27" t="s">
        <v>85</v>
      </c>
    </row>
    <row r="83" spans="1:14" ht="15.75" x14ac:dyDescent="0.25">
      <c r="A83" s="1">
        <v>42726</v>
      </c>
      <c r="B83" s="3" t="s">
        <v>58</v>
      </c>
      <c r="F83" s="1">
        <v>42702</v>
      </c>
      <c r="G83" s="1">
        <v>42729</v>
      </c>
      <c r="H83" t="s">
        <v>31</v>
      </c>
      <c r="I83" t="s">
        <v>19</v>
      </c>
      <c r="J83" t="s">
        <v>17</v>
      </c>
      <c r="L83" t="s">
        <v>19</v>
      </c>
      <c r="M83" s="24" t="str">
        <f t="shared" si="1"/>
        <v>currper</v>
      </c>
      <c r="N83" s="27" t="s">
        <v>85</v>
      </c>
    </row>
    <row r="84" spans="1:14" ht="15.75" x14ac:dyDescent="0.25">
      <c r="A84" s="1">
        <v>42727</v>
      </c>
      <c r="B84" s="3" t="s">
        <v>58</v>
      </c>
      <c r="F84" s="1">
        <v>42702</v>
      </c>
      <c r="G84" s="1">
        <v>42729</v>
      </c>
      <c r="H84" t="s">
        <v>31</v>
      </c>
      <c r="I84" t="s">
        <v>19</v>
      </c>
      <c r="J84" t="s">
        <v>17</v>
      </c>
      <c r="L84" t="s">
        <v>19</v>
      </c>
      <c r="M84" s="24" t="str">
        <f t="shared" si="1"/>
        <v>currper</v>
      </c>
      <c r="N84" s="27" t="s">
        <v>85</v>
      </c>
    </row>
    <row r="85" spans="1:14" ht="15.75" x14ac:dyDescent="0.25">
      <c r="A85" s="1">
        <v>42728</v>
      </c>
      <c r="B85" s="3" t="s">
        <v>58</v>
      </c>
      <c r="F85" s="1">
        <v>42702</v>
      </c>
      <c r="G85" s="1">
        <v>42729</v>
      </c>
      <c r="H85" t="s">
        <v>31</v>
      </c>
      <c r="I85" t="s">
        <v>19</v>
      </c>
      <c r="J85" t="s">
        <v>17</v>
      </c>
      <c r="L85" t="s">
        <v>19</v>
      </c>
      <c r="M85" s="24" t="str">
        <f t="shared" si="1"/>
        <v>currper</v>
      </c>
      <c r="N85" s="27" t="s">
        <v>85</v>
      </c>
    </row>
    <row r="86" spans="1:14" ht="15.75" x14ac:dyDescent="0.25">
      <c r="A86" s="1">
        <v>42729</v>
      </c>
      <c r="B86" s="3" t="s">
        <v>58</v>
      </c>
      <c r="F86" s="1">
        <v>42702</v>
      </c>
      <c r="G86" s="1">
        <v>42729</v>
      </c>
      <c r="H86" t="s">
        <v>31</v>
      </c>
      <c r="I86" t="s">
        <v>19</v>
      </c>
      <c r="J86" t="s">
        <v>17</v>
      </c>
      <c r="L86" t="s">
        <v>19</v>
      </c>
      <c r="M86" s="24" t="str">
        <f t="shared" si="1"/>
        <v>currper</v>
      </c>
      <c r="N86" s="27" t="s">
        <v>85</v>
      </c>
    </row>
    <row r="87" spans="1:14" ht="15.75" x14ac:dyDescent="0.25">
      <c r="A87" s="1">
        <v>42730</v>
      </c>
      <c r="B87" s="3" t="s">
        <v>58</v>
      </c>
      <c r="F87" s="1">
        <v>42730</v>
      </c>
      <c r="G87" s="1">
        <v>42757</v>
      </c>
      <c r="H87" t="s">
        <v>107</v>
      </c>
      <c r="I87" t="s">
        <v>32</v>
      </c>
      <c r="J87" t="s">
        <v>32</v>
      </c>
      <c r="L87" t="s">
        <v>20</v>
      </c>
      <c r="M87" s="24" t="str">
        <f t="shared" si="1"/>
        <v>currper</v>
      </c>
      <c r="N87" s="27" t="s">
        <v>85</v>
      </c>
    </row>
    <row r="88" spans="1:14" ht="15.75" x14ac:dyDescent="0.25">
      <c r="A88" s="1">
        <v>42731</v>
      </c>
      <c r="B88" s="3" t="s">
        <v>58</v>
      </c>
      <c r="F88" s="1">
        <v>42730</v>
      </c>
      <c r="G88" s="1">
        <v>42757</v>
      </c>
      <c r="H88" t="s">
        <v>107</v>
      </c>
      <c r="I88" t="s">
        <v>32</v>
      </c>
      <c r="J88" t="s">
        <v>32</v>
      </c>
      <c r="L88" t="s">
        <v>20</v>
      </c>
      <c r="M88" s="24" t="str">
        <f t="shared" si="1"/>
        <v>currper</v>
      </c>
      <c r="N88" s="27" t="s">
        <v>85</v>
      </c>
    </row>
    <row r="89" spans="1:14" ht="15.75" x14ac:dyDescent="0.25">
      <c r="A89" s="1">
        <v>42732</v>
      </c>
      <c r="B89" s="3" t="s">
        <v>58</v>
      </c>
      <c r="F89" s="1">
        <v>42730</v>
      </c>
      <c r="G89" s="1">
        <v>42757</v>
      </c>
      <c r="H89" t="s">
        <v>107</v>
      </c>
      <c r="I89" t="s">
        <v>32</v>
      </c>
      <c r="J89" t="s">
        <v>32</v>
      </c>
      <c r="L89" t="s">
        <v>20</v>
      </c>
      <c r="M89" s="24" t="str">
        <f t="shared" si="1"/>
        <v>currper</v>
      </c>
      <c r="N89" s="27" t="s">
        <v>85</v>
      </c>
    </row>
    <row r="90" spans="1:14" ht="15.75" x14ac:dyDescent="0.25">
      <c r="A90" s="1">
        <v>42733</v>
      </c>
      <c r="B90" s="3" t="s">
        <v>58</v>
      </c>
      <c r="F90" s="1">
        <v>42730</v>
      </c>
      <c r="G90" s="1">
        <v>42757</v>
      </c>
      <c r="H90" t="s">
        <v>107</v>
      </c>
      <c r="I90" t="s">
        <v>32</v>
      </c>
      <c r="J90" t="s">
        <v>32</v>
      </c>
      <c r="L90" t="s">
        <v>20</v>
      </c>
      <c r="M90" s="24" t="str">
        <f t="shared" si="1"/>
        <v>currper</v>
      </c>
      <c r="N90" s="27" t="s">
        <v>85</v>
      </c>
    </row>
    <row r="91" spans="1:14" ht="15.75" x14ac:dyDescent="0.25">
      <c r="A91" s="1">
        <v>42734</v>
      </c>
      <c r="B91" s="3" t="s">
        <v>58</v>
      </c>
      <c r="F91" s="1">
        <v>42730</v>
      </c>
      <c r="G91" s="1">
        <v>42757</v>
      </c>
      <c r="H91" t="s">
        <v>107</v>
      </c>
      <c r="I91" t="s">
        <v>32</v>
      </c>
      <c r="J91" t="s">
        <v>32</v>
      </c>
      <c r="L91" t="s">
        <v>20</v>
      </c>
      <c r="M91" s="24" t="str">
        <f t="shared" si="1"/>
        <v>currper</v>
      </c>
      <c r="N91" s="27" t="s">
        <v>85</v>
      </c>
    </row>
    <row r="92" spans="1:14" ht="15.75" x14ac:dyDescent="0.25">
      <c r="A92" s="1">
        <v>42735</v>
      </c>
      <c r="B92" s="3" t="s">
        <v>58</v>
      </c>
      <c r="F92" s="1">
        <v>42730</v>
      </c>
      <c r="G92" s="1">
        <v>42757</v>
      </c>
      <c r="H92" t="s">
        <v>107</v>
      </c>
      <c r="I92" t="s">
        <v>32</v>
      </c>
      <c r="J92" t="s">
        <v>32</v>
      </c>
      <c r="L92" t="s">
        <v>20</v>
      </c>
      <c r="M92" s="24" t="str">
        <f t="shared" si="1"/>
        <v>currper</v>
      </c>
      <c r="N92" s="27" t="s">
        <v>85</v>
      </c>
    </row>
    <row r="93" spans="1:14" ht="15.75" x14ac:dyDescent="0.25">
      <c r="A93" s="1">
        <v>42736</v>
      </c>
      <c r="B93" s="3" t="s">
        <v>58</v>
      </c>
      <c r="F93" s="1">
        <v>42730</v>
      </c>
      <c r="G93" s="1">
        <v>42757</v>
      </c>
      <c r="H93" t="s">
        <v>107</v>
      </c>
      <c r="I93" t="s">
        <v>32</v>
      </c>
      <c r="J93" t="s">
        <v>32</v>
      </c>
      <c r="L93" t="s">
        <v>20</v>
      </c>
      <c r="M93" s="24" t="str">
        <f t="shared" si="1"/>
        <v>currper</v>
      </c>
      <c r="N93" s="27" t="s">
        <v>85</v>
      </c>
    </row>
    <row r="94" spans="1:14" ht="15.75" x14ac:dyDescent="0.25">
      <c r="A94" s="1">
        <v>42737</v>
      </c>
      <c r="B94" s="3" t="s">
        <v>58</v>
      </c>
      <c r="F94" s="1">
        <v>42730</v>
      </c>
      <c r="G94" s="1">
        <v>42757</v>
      </c>
      <c r="H94" t="s">
        <v>107</v>
      </c>
      <c r="I94" t="s">
        <v>32</v>
      </c>
      <c r="J94" t="s">
        <v>32</v>
      </c>
      <c r="L94" t="s">
        <v>20</v>
      </c>
      <c r="M94" s="24" t="str">
        <f t="shared" si="1"/>
        <v>currper</v>
      </c>
      <c r="N94" s="27" t="s">
        <v>85</v>
      </c>
    </row>
    <row r="95" spans="1:14" ht="15.75" x14ac:dyDescent="0.25">
      <c r="A95" s="1">
        <v>42738</v>
      </c>
      <c r="B95" s="3" t="s">
        <v>58</v>
      </c>
      <c r="F95" s="1">
        <v>42730</v>
      </c>
      <c r="G95" s="1">
        <v>42757</v>
      </c>
      <c r="H95" t="s">
        <v>107</v>
      </c>
      <c r="I95" t="s">
        <v>32</v>
      </c>
      <c r="J95" t="s">
        <v>32</v>
      </c>
      <c r="L95" t="s">
        <v>20</v>
      </c>
      <c r="M95" s="24" t="str">
        <f t="shared" si="1"/>
        <v>currper</v>
      </c>
      <c r="N95" s="27" t="s">
        <v>85</v>
      </c>
    </row>
    <row r="96" spans="1:14" ht="15.75" x14ac:dyDescent="0.25">
      <c r="A96" s="35">
        <v>42722</v>
      </c>
      <c r="B96" s="3" t="s">
        <v>61</v>
      </c>
      <c r="F96" s="1">
        <v>42702</v>
      </c>
      <c r="G96" s="1">
        <v>42729</v>
      </c>
      <c r="H96" t="s">
        <v>31</v>
      </c>
      <c r="I96" t="s">
        <v>19</v>
      </c>
      <c r="J96" t="s">
        <v>17</v>
      </c>
      <c r="L96" s="4" t="s">
        <v>18</v>
      </c>
      <c r="M96" s="37" t="str">
        <f t="shared" si="1"/>
        <v>prevper</v>
      </c>
      <c r="N96" s="38" t="s">
        <v>85</v>
      </c>
    </row>
    <row r="97" spans="1:14" ht="15.75" x14ac:dyDescent="0.25">
      <c r="A97" s="1">
        <v>42723</v>
      </c>
      <c r="B97" s="3" t="s">
        <v>61</v>
      </c>
      <c r="F97" s="1">
        <v>42702</v>
      </c>
      <c r="G97" s="1">
        <v>42729</v>
      </c>
      <c r="H97" t="s">
        <v>31</v>
      </c>
      <c r="I97" t="s">
        <v>19</v>
      </c>
      <c r="J97" t="s">
        <v>17</v>
      </c>
      <c r="L97" s="4" t="s">
        <v>18</v>
      </c>
      <c r="M97" s="37" t="str">
        <f t="shared" si="1"/>
        <v>prevper</v>
      </c>
      <c r="N97" s="38" t="s">
        <v>85</v>
      </c>
    </row>
    <row r="98" spans="1:14" ht="15.75" x14ac:dyDescent="0.25">
      <c r="A98" s="1">
        <v>42724</v>
      </c>
      <c r="B98" s="3" t="s">
        <v>61</v>
      </c>
      <c r="F98" s="1">
        <v>42702</v>
      </c>
      <c r="G98" s="1">
        <v>42729</v>
      </c>
      <c r="H98" t="s">
        <v>31</v>
      </c>
      <c r="I98" t="s">
        <v>19</v>
      </c>
      <c r="J98" t="s">
        <v>17</v>
      </c>
      <c r="L98" s="4" t="s">
        <v>18</v>
      </c>
      <c r="M98" s="37" t="str">
        <f t="shared" si="1"/>
        <v>prevper</v>
      </c>
      <c r="N98" s="38" t="s">
        <v>85</v>
      </c>
    </row>
    <row r="99" spans="1:14" ht="15.75" x14ac:dyDescent="0.25">
      <c r="A99" s="1">
        <v>42725</v>
      </c>
      <c r="B99" s="3" t="s">
        <v>61</v>
      </c>
      <c r="F99" s="1">
        <v>42702</v>
      </c>
      <c r="G99" s="1">
        <v>42729</v>
      </c>
      <c r="H99" t="s">
        <v>31</v>
      </c>
      <c r="I99" t="s">
        <v>19</v>
      </c>
      <c r="J99" t="s">
        <v>17</v>
      </c>
      <c r="L99" s="4" t="s">
        <v>18</v>
      </c>
      <c r="M99" s="37" t="str">
        <f t="shared" si="1"/>
        <v>prevper</v>
      </c>
      <c r="N99" s="38" t="s">
        <v>85</v>
      </c>
    </row>
    <row r="100" spans="1:14" ht="15.75" x14ac:dyDescent="0.25">
      <c r="A100" s="1">
        <v>42726</v>
      </c>
      <c r="B100" s="3" t="s">
        <v>61</v>
      </c>
      <c r="F100" s="1">
        <v>42702</v>
      </c>
      <c r="G100" s="1">
        <v>42729</v>
      </c>
      <c r="H100" t="s">
        <v>31</v>
      </c>
      <c r="I100" t="s">
        <v>19</v>
      </c>
      <c r="J100" t="s">
        <v>17</v>
      </c>
      <c r="L100" s="4" t="s">
        <v>18</v>
      </c>
      <c r="M100" s="37" t="str">
        <f t="shared" si="1"/>
        <v>prevper</v>
      </c>
      <c r="N100" s="38" t="s">
        <v>85</v>
      </c>
    </row>
    <row r="101" spans="1:14" ht="15.75" x14ac:dyDescent="0.25">
      <c r="A101" s="1">
        <v>42727</v>
      </c>
      <c r="B101" s="3" t="s">
        <v>61</v>
      </c>
      <c r="F101" s="1">
        <v>42702</v>
      </c>
      <c r="G101" s="1">
        <v>42729</v>
      </c>
      <c r="H101" t="s">
        <v>31</v>
      </c>
      <c r="I101" t="s">
        <v>19</v>
      </c>
      <c r="J101" t="s">
        <v>17</v>
      </c>
      <c r="L101" s="4" t="s">
        <v>18</v>
      </c>
      <c r="M101" s="37" t="str">
        <f t="shared" si="1"/>
        <v>prevper</v>
      </c>
      <c r="N101" s="38" t="s">
        <v>85</v>
      </c>
    </row>
    <row r="102" spans="1:14" ht="15.75" x14ac:dyDescent="0.25">
      <c r="A102" s="1">
        <v>42728</v>
      </c>
      <c r="B102" s="3" t="s">
        <v>61</v>
      </c>
      <c r="F102" s="1">
        <v>42702</v>
      </c>
      <c r="G102" s="1">
        <v>42729</v>
      </c>
      <c r="H102" t="s">
        <v>31</v>
      </c>
      <c r="I102" t="s">
        <v>19</v>
      </c>
      <c r="J102" t="s">
        <v>17</v>
      </c>
      <c r="L102" s="4" t="s">
        <v>18</v>
      </c>
      <c r="M102" s="37" t="str">
        <f t="shared" si="1"/>
        <v>prevper</v>
      </c>
      <c r="N102" s="38" t="s">
        <v>85</v>
      </c>
    </row>
    <row r="103" spans="1:14" ht="15.75" x14ac:dyDescent="0.25">
      <c r="A103" s="1">
        <v>42729</v>
      </c>
      <c r="B103" s="3" t="s">
        <v>61</v>
      </c>
      <c r="F103" s="1">
        <v>42702</v>
      </c>
      <c r="G103" s="1">
        <v>42729</v>
      </c>
      <c r="H103" t="s">
        <v>31</v>
      </c>
      <c r="I103" t="s">
        <v>19</v>
      </c>
      <c r="J103" t="s">
        <v>17</v>
      </c>
      <c r="L103" s="4" t="s">
        <v>18</v>
      </c>
      <c r="M103" s="37" t="str">
        <f t="shared" si="1"/>
        <v>prevper</v>
      </c>
      <c r="N103" s="38" t="s">
        <v>85</v>
      </c>
    </row>
    <row r="104" spans="1:14" ht="15.75" x14ac:dyDescent="0.25">
      <c r="A104" s="1">
        <v>42730</v>
      </c>
      <c r="B104" s="3" t="s">
        <v>61</v>
      </c>
      <c r="F104" s="1">
        <v>42730</v>
      </c>
      <c r="G104" s="1">
        <v>42757</v>
      </c>
      <c r="H104" t="s">
        <v>107</v>
      </c>
      <c r="I104" t="s">
        <v>32</v>
      </c>
      <c r="J104" t="s">
        <v>32</v>
      </c>
      <c r="L104" s="4" t="s">
        <v>19</v>
      </c>
      <c r="M104" s="37" t="str">
        <f t="shared" si="1"/>
        <v>prevper</v>
      </c>
      <c r="N104" s="38" t="s">
        <v>85</v>
      </c>
    </row>
    <row r="105" spans="1:14" ht="15.75" x14ac:dyDescent="0.25">
      <c r="A105" s="1">
        <v>42731</v>
      </c>
      <c r="B105" s="3" t="s">
        <v>61</v>
      </c>
      <c r="F105" s="1">
        <v>42730</v>
      </c>
      <c r="G105" s="1">
        <v>42757</v>
      </c>
      <c r="H105" t="s">
        <v>107</v>
      </c>
      <c r="I105" t="s">
        <v>32</v>
      </c>
      <c r="J105" t="s">
        <v>32</v>
      </c>
      <c r="L105" s="4" t="s">
        <v>19</v>
      </c>
      <c r="M105" s="37" t="str">
        <f t="shared" si="1"/>
        <v>prevper</v>
      </c>
      <c r="N105" s="38" t="s">
        <v>85</v>
      </c>
    </row>
    <row r="106" spans="1:14" ht="15.75" x14ac:dyDescent="0.25">
      <c r="A106" s="1">
        <v>42732</v>
      </c>
      <c r="B106" s="3" t="s">
        <v>61</v>
      </c>
      <c r="F106" s="1">
        <v>42730</v>
      </c>
      <c r="G106" s="1">
        <v>42757</v>
      </c>
      <c r="H106" t="s">
        <v>107</v>
      </c>
      <c r="I106" t="s">
        <v>32</v>
      </c>
      <c r="J106" t="s">
        <v>32</v>
      </c>
      <c r="L106" s="4" t="s">
        <v>19</v>
      </c>
      <c r="M106" s="37" t="str">
        <f t="shared" si="1"/>
        <v>prevper</v>
      </c>
      <c r="N106" s="38" t="s">
        <v>85</v>
      </c>
    </row>
    <row r="107" spans="1:14" ht="15.75" x14ac:dyDescent="0.25">
      <c r="A107" s="1">
        <v>42733</v>
      </c>
      <c r="B107" s="3" t="s">
        <v>61</v>
      </c>
      <c r="F107" s="1">
        <v>42730</v>
      </c>
      <c r="G107" s="1">
        <v>42757</v>
      </c>
      <c r="H107" t="s">
        <v>107</v>
      </c>
      <c r="I107" t="s">
        <v>32</v>
      </c>
      <c r="J107" t="s">
        <v>32</v>
      </c>
      <c r="L107" s="4" t="s">
        <v>19</v>
      </c>
      <c r="M107" s="37" t="str">
        <f t="shared" si="1"/>
        <v>prevper</v>
      </c>
      <c r="N107" s="38" t="s">
        <v>85</v>
      </c>
    </row>
    <row r="108" spans="1:14" ht="15.75" x14ac:dyDescent="0.25">
      <c r="A108" s="1">
        <v>42734</v>
      </c>
      <c r="B108" s="3" t="s">
        <v>61</v>
      </c>
      <c r="F108" s="1">
        <v>42730</v>
      </c>
      <c r="G108" s="1">
        <v>42757</v>
      </c>
      <c r="H108" t="s">
        <v>107</v>
      </c>
      <c r="I108" t="s">
        <v>32</v>
      </c>
      <c r="J108" t="s">
        <v>32</v>
      </c>
      <c r="L108" s="4" t="s">
        <v>19</v>
      </c>
      <c r="M108" s="37" t="str">
        <f t="shared" si="1"/>
        <v>prevper</v>
      </c>
      <c r="N108" s="38" t="s">
        <v>85</v>
      </c>
    </row>
    <row r="109" spans="1:14" ht="15.75" x14ac:dyDescent="0.25">
      <c r="A109" s="1">
        <v>42735</v>
      </c>
      <c r="B109" s="3" t="s">
        <v>61</v>
      </c>
      <c r="F109" s="1">
        <v>42730</v>
      </c>
      <c r="G109" s="1">
        <v>42757</v>
      </c>
      <c r="H109" t="s">
        <v>107</v>
      </c>
      <c r="I109" t="s">
        <v>32</v>
      </c>
      <c r="J109" t="s">
        <v>32</v>
      </c>
      <c r="L109" s="4" t="s">
        <v>19</v>
      </c>
      <c r="M109" s="37" t="str">
        <f t="shared" si="1"/>
        <v>prevper</v>
      </c>
      <c r="N109" s="38" t="s">
        <v>85</v>
      </c>
    </row>
    <row r="110" spans="1:14" ht="15.75" x14ac:dyDescent="0.25">
      <c r="A110" s="1">
        <v>42736</v>
      </c>
      <c r="B110" s="3" t="s">
        <v>61</v>
      </c>
      <c r="F110" s="1">
        <v>42730</v>
      </c>
      <c r="G110" s="1">
        <v>42757</v>
      </c>
      <c r="H110" t="s">
        <v>107</v>
      </c>
      <c r="I110" t="s">
        <v>32</v>
      </c>
      <c r="J110" t="s">
        <v>32</v>
      </c>
      <c r="L110" s="4" t="s">
        <v>19</v>
      </c>
      <c r="M110" s="37" t="str">
        <f t="shared" si="1"/>
        <v>prevper</v>
      </c>
      <c r="N110" s="38" t="s">
        <v>85</v>
      </c>
    </row>
    <row r="111" spans="1:14" ht="15.75" x14ac:dyDescent="0.25">
      <c r="A111" s="1">
        <v>42737</v>
      </c>
      <c r="B111" s="3" t="s">
        <v>61</v>
      </c>
      <c r="F111" s="1">
        <v>42730</v>
      </c>
      <c r="G111" s="1">
        <v>42757</v>
      </c>
      <c r="H111" t="s">
        <v>107</v>
      </c>
      <c r="I111" t="s">
        <v>32</v>
      </c>
      <c r="J111" t="s">
        <v>32</v>
      </c>
      <c r="L111" s="4" t="s">
        <v>19</v>
      </c>
      <c r="M111" s="37" t="str">
        <f t="shared" si="1"/>
        <v>prevper</v>
      </c>
      <c r="N111" s="38" t="s">
        <v>85</v>
      </c>
    </row>
    <row r="112" spans="1:14" ht="15.75" x14ac:dyDescent="0.25">
      <c r="A112" s="1">
        <v>42738</v>
      </c>
      <c r="B112" s="3" t="s">
        <v>61</v>
      </c>
      <c r="F112" s="1">
        <v>42730</v>
      </c>
      <c r="G112" s="1">
        <v>42757</v>
      </c>
      <c r="H112" t="s">
        <v>107</v>
      </c>
      <c r="I112" t="s">
        <v>32</v>
      </c>
      <c r="J112" t="s">
        <v>32</v>
      </c>
      <c r="L112" s="4" t="s">
        <v>19</v>
      </c>
      <c r="M112" s="37" t="str">
        <f t="shared" si="1"/>
        <v>prevper</v>
      </c>
      <c r="N112" s="38" t="s">
        <v>85</v>
      </c>
    </row>
    <row r="113" spans="1:14" ht="15.75" x14ac:dyDescent="0.25">
      <c r="A113" s="1"/>
      <c r="B113" s="3"/>
      <c r="F113" s="1"/>
      <c r="G113" s="1"/>
      <c r="M113" s="24"/>
      <c r="N113" s="27"/>
    </row>
    <row r="114" spans="1:14" ht="15.75" x14ac:dyDescent="0.25">
      <c r="A114" s="1"/>
      <c r="B114" s="3"/>
      <c r="F114" s="1"/>
      <c r="G114" s="1"/>
      <c r="M114" s="24"/>
      <c r="N114" s="27"/>
    </row>
    <row r="115" spans="1:14" ht="15.75" x14ac:dyDescent="0.25">
      <c r="A115" s="1"/>
      <c r="B115" s="3"/>
      <c r="F115" s="1"/>
      <c r="G115" s="1"/>
      <c r="M115" s="24"/>
      <c r="N115" s="27"/>
    </row>
    <row r="116" spans="1:14" ht="15.75" x14ac:dyDescent="0.25">
      <c r="A116" s="1"/>
      <c r="B116" s="3"/>
      <c r="F116" s="1"/>
      <c r="G116" s="1"/>
      <c r="M116" s="24"/>
      <c r="N116" s="27"/>
    </row>
    <row r="117" spans="1:14" ht="15.75" x14ac:dyDescent="0.25">
      <c r="A117" s="1"/>
      <c r="B117" s="3"/>
      <c r="F117" s="1"/>
      <c r="G117" s="1"/>
      <c r="M117" s="24"/>
      <c r="N117" s="27"/>
    </row>
    <row r="118" spans="1:14" ht="15.75" x14ac:dyDescent="0.25">
      <c r="A118" s="1"/>
      <c r="B118" s="3"/>
      <c r="F118" s="1"/>
      <c r="G118" s="1"/>
      <c r="M118" s="24"/>
      <c r="N118" s="27"/>
    </row>
    <row r="119" spans="1:14" ht="15.75" x14ac:dyDescent="0.25">
      <c r="A119" s="1"/>
      <c r="B119" s="3"/>
      <c r="F119" s="1"/>
      <c r="G119" s="1"/>
      <c r="M119" s="24"/>
      <c r="N119" s="27"/>
    </row>
    <row r="120" spans="1:14" ht="15.75" x14ac:dyDescent="0.25">
      <c r="A120" s="1"/>
      <c r="B120" s="3"/>
      <c r="F120" s="1"/>
      <c r="G120" s="1"/>
      <c r="M120" s="24"/>
      <c r="N120" s="27"/>
    </row>
    <row r="121" spans="1:14" ht="15.75" x14ac:dyDescent="0.25">
      <c r="A121" s="1"/>
      <c r="B121" s="3"/>
      <c r="F121" s="1"/>
      <c r="G121" s="1"/>
      <c r="M121" s="24"/>
      <c r="N121" s="27"/>
    </row>
    <row r="122" spans="1:14" ht="15.75" x14ac:dyDescent="0.25">
      <c r="A122" s="1"/>
      <c r="B122" s="3"/>
      <c r="F122" s="1"/>
      <c r="G122" s="1"/>
      <c r="M122" s="24"/>
      <c r="N122" s="27"/>
    </row>
    <row r="123" spans="1:14" ht="15.75" x14ac:dyDescent="0.25">
      <c r="A123" s="1"/>
      <c r="B123" s="3"/>
      <c r="F123" s="1"/>
      <c r="G123" s="1"/>
      <c r="M123" s="24"/>
      <c r="N123" s="27"/>
    </row>
    <row r="124" spans="1:14" ht="15.75" x14ac:dyDescent="0.25">
      <c r="A124" s="1"/>
      <c r="B124" s="1"/>
      <c r="F124" s="1"/>
      <c r="G124" s="1"/>
      <c r="M124" s="24"/>
      <c r="N124" s="27"/>
    </row>
    <row r="125" spans="1:14" ht="15.75" x14ac:dyDescent="0.25">
      <c r="A125" s="1"/>
      <c r="B125" s="1"/>
      <c r="F125" s="1"/>
      <c r="G125" s="1"/>
      <c r="M125" s="24"/>
      <c r="N125" s="27"/>
    </row>
    <row r="126" spans="1:14" ht="15.75" x14ac:dyDescent="0.25">
      <c r="A126" s="1"/>
      <c r="B126" s="1"/>
      <c r="F126" s="1"/>
      <c r="G126" s="1"/>
      <c r="M126" s="24"/>
      <c r="N126" s="27"/>
    </row>
    <row r="127" spans="1:14" ht="15.75" x14ac:dyDescent="0.25">
      <c r="A127" s="1"/>
      <c r="B127" s="1"/>
      <c r="F127" s="1"/>
      <c r="G127" s="1"/>
      <c r="M127" s="24"/>
      <c r="N127" s="27"/>
    </row>
    <row r="128" spans="1:14" ht="15.75" x14ac:dyDescent="0.25">
      <c r="A128" s="1"/>
      <c r="B128" s="1"/>
      <c r="F128" s="1"/>
      <c r="G128" s="1"/>
      <c r="M128" s="24"/>
      <c r="N128" s="27"/>
    </row>
    <row r="129" spans="1:14" ht="15.75" x14ac:dyDescent="0.25">
      <c r="A129" s="1"/>
      <c r="B129" s="1"/>
      <c r="F129" s="1"/>
      <c r="G129" s="1"/>
      <c r="M129" s="24"/>
      <c r="N129" s="27"/>
    </row>
    <row r="130" spans="1:14" ht="15.75" x14ac:dyDescent="0.25">
      <c r="A130" s="1"/>
      <c r="B130" s="1"/>
      <c r="F130" s="1"/>
      <c r="G130" s="1"/>
      <c r="M130" s="24"/>
      <c r="N130" s="27"/>
    </row>
    <row r="131" spans="1:14" ht="15.75" x14ac:dyDescent="0.25">
      <c r="A131" s="1"/>
      <c r="B131" s="1"/>
      <c r="F131" s="1"/>
      <c r="G131" s="1"/>
      <c r="M131" s="24"/>
      <c r="N131" s="27"/>
    </row>
    <row r="132" spans="1:14" ht="15.75" x14ac:dyDescent="0.25">
      <c r="A132" s="1"/>
      <c r="B132" s="1"/>
      <c r="F132" s="1"/>
      <c r="G132" s="1"/>
      <c r="M132" s="24"/>
      <c r="N132" s="27"/>
    </row>
    <row r="133" spans="1:14" ht="15.75" x14ac:dyDescent="0.25">
      <c r="A133" s="1"/>
      <c r="B133" s="1"/>
      <c r="F133" s="1"/>
      <c r="G133" s="1"/>
      <c r="M133" s="24"/>
      <c r="N133" s="27"/>
    </row>
    <row r="134" spans="1:14" ht="15.75" x14ac:dyDescent="0.25">
      <c r="A134" s="1"/>
      <c r="B134" s="1"/>
      <c r="F134" s="1"/>
      <c r="G134" s="1"/>
      <c r="M134" s="24"/>
      <c r="N134" s="27"/>
    </row>
    <row r="135" spans="1:14" ht="15.75" x14ac:dyDescent="0.25">
      <c r="A135" s="1"/>
      <c r="B135" s="1"/>
      <c r="F135" s="1"/>
      <c r="G135" s="1"/>
      <c r="M135" s="24"/>
      <c r="N135" s="27"/>
    </row>
    <row r="136" spans="1:14" ht="15.75" x14ac:dyDescent="0.25">
      <c r="A136" s="1"/>
      <c r="B136" s="1"/>
      <c r="F136" s="1"/>
      <c r="G136" s="1"/>
      <c r="M136" s="24"/>
      <c r="N136" s="27"/>
    </row>
    <row r="137" spans="1:14" ht="15.75" x14ac:dyDescent="0.25">
      <c r="A137" s="1"/>
      <c r="B137" s="1"/>
      <c r="F137" s="1"/>
      <c r="G137" s="1"/>
      <c r="M137" s="24"/>
      <c r="N137" s="27"/>
    </row>
    <row r="138" spans="1:14" ht="15.75" x14ac:dyDescent="0.25">
      <c r="A138" s="1"/>
      <c r="B138" s="1"/>
      <c r="F138" s="1"/>
      <c r="G138" s="1"/>
      <c r="M138" s="24"/>
      <c r="N138" s="27"/>
    </row>
    <row r="139" spans="1:14" ht="15.75" x14ac:dyDescent="0.25">
      <c r="A139" s="1"/>
      <c r="B139" s="1"/>
      <c r="F139" s="1"/>
      <c r="G139" s="1"/>
      <c r="M139" s="24"/>
      <c r="N139" s="27"/>
    </row>
    <row r="140" spans="1:14" ht="15.75" x14ac:dyDescent="0.25">
      <c r="A140" s="1"/>
      <c r="B140" s="1"/>
      <c r="F140" s="1"/>
      <c r="G140" s="1"/>
      <c r="M140" s="24"/>
      <c r="N140" s="27"/>
    </row>
    <row r="141" spans="1:14" ht="15.75" x14ac:dyDescent="0.25">
      <c r="A141" s="1"/>
      <c r="B141" s="1"/>
      <c r="F141" s="1"/>
      <c r="G141" s="1"/>
      <c r="M141" s="24"/>
      <c r="N141" s="27"/>
    </row>
    <row r="142" spans="1:14" ht="15.75" x14ac:dyDescent="0.25">
      <c r="A142" s="1"/>
      <c r="B142" s="1"/>
      <c r="F142" s="1"/>
      <c r="G142" s="1"/>
      <c r="M142" s="24"/>
      <c r="N142" s="27"/>
    </row>
    <row r="143" spans="1:14" ht="15.75" x14ac:dyDescent="0.25">
      <c r="A143" s="1"/>
      <c r="B143" s="1"/>
      <c r="F143" s="1"/>
      <c r="G143" s="1"/>
      <c r="M143" s="24"/>
      <c r="N143" s="27"/>
    </row>
    <row r="144" spans="1:14" ht="15.75" x14ac:dyDescent="0.25">
      <c r="A144" s="1"/>
      <c r="B144" s="1"/>
      <c r="F144" s="1"/>
      <c r="G144" s="1"/>
      <c r="M144" s="24"/>
      <c r="N144" s="27"/>
    </row>
    <row r="145" spans="1:14" ht="15.75" x14ac:dyDescent="0.25">
      <c r="A145" s="1"/>
      <c r="B145" s="1"/>
      <c r="F145" s="1"/>
      <c r="G145" s="1"/>
      <c r="M145" s="24"/>
      <c r="N145" s="27"/>
    </row>
    <row r="146" spans="1:14" ht="15.75" x14ac:dyDescent="0.25">
      <c r="A146" s="1"/>
      <c r="B146" s="1"/>
      <c r="F146" s="1"/>
      <c r="G146" s="1"/>
      <c r="M146" s="24"/>
      <c r="N146" s="27"/>
    </row>
    <row r="147" spans="1:14" ht="15.75" x14ac:dyDescent="0.25">
      <c r="A147" s="1"/>
      <c r="B147" s="1"/>
      <c r="F147" s="1"/>
      <c r="G147" s="1"/>
      <c r="M147" s="24"/>
      <c r="N147" s="27"/>
    </row>
    <row r="148" spans="1:14" ht="15.75" x14ac:dyDescent="0.25">
      <c r="A148" s="1"/>
      <c r="B148" s="1"/>
      <c r="F148" s="1"/>
      <c r="G148" s="1"/>
      <c r="M148" s="24"/>
      <c r="N148" s="27"/>
    </row>
    <row r="149" spans="1:14" ht="15.75" x14ac:dyDescent="0.25">
      <c r="A149" s="1"/>
      <c r="B149" s="1"/>
      <c r="F149" s="1"/>
      <c r="G149" s="1"/>
      <c r="M149" s="24"/>
      <c r="N149" s="27"/>
    </row>
    <row r="150" spans="1:14" ht="15.75" x14ac:dyDescent="0.25">
      <c r="A150" s="1"/>
      <c r="B150" s="1"/>
      <c r="F150" s="1"/>
      <c r="G150" s="1"/>
      <c r="M150" s="24"/>
      <c r="N150" s="27"/>
    </row>
    <row r="151" spans="1:14" ht="15.75" x14ac:dyDescent="0.25">
      <c r="A151" s="1"/>
      <c r="B151" s="1"/>
      <c r="F151" s="1"/>
      <c r="G151" s="1"/>
      <c r="M151" s="24"/>
      <c r="N151" s="27"/>
    </row>
    <row r="152" spans="1:14" ht="15.75" x14ac:dyDescent="0.25">
      <c r="A152" s="1"/>
      <c r="B152" s="1"/>
      <c r="F152" s="1"/>
      <c r="G152" s="1"/>
      <c r="M152" s="24"/>
      <c r="N152" s="27"/>
    </row>
    <row r="153" spans="1:14" ht="15.75" x14ac:dyDescent="0.25">
      <c r="A153" s="1"/>
      <c r="B153" s="1"/>
      <c r="F153" s="1"/>
      <c r="G153" s="1"/>
      <c r="M153" s="24"/>
      <c r="N153" s="27"/>
    </row>
    <row r="154" spans="1:14" ht="15.75" x14ac:dyDescent="0.25">
      <c r="A154" s="1"/>
      <c r="B154" s="1"/>
      <c r="F154" s="1"/>
      <c r="G154" s="1"/>
      <c r="M154" s="24"/>
      <c r="N154" s="27"/>
    </row>
    <row r="155" spans="1:14" ht="15.75" x14ac:dyDescent="0.25">
      <c r="A155" s="1"/>
      <c r="B155" s="1"/>
      <c r="F155" s="1"/>
      <c r="G155" s="1"/>
      <c r="M155" s="24"/>
      <c r="N155" s="27"/>
    </row>
    <row r="156" spans="1:14" ht="15.75" x14ac:dyDescent="0.25">
      <c r="A156" s="1"/>
      <c r="B156" s="1"/>
      <c r="F156" s="1"/>
      <c r="G156" s="1"/>
      <c r="M156" s="24"/>
      <c r="N156" s="27"/>
    </row>
    <row r="157" spans="1:14" ht="15.75" x14ac:dyDescent="0.25">
      <c r="A157" s="1"/>
      <c r="B157" s="1"/>
      <c r="F157" s="1"/>
      <c r="G157" s="1"/>
      <c r="M157" s="24"/>
      <c r="N157" s="27"/>
    </row>
    <row r="158" spans="1:14" ht="15.75" x14ac:dyDescent="0.25">
      <c r="A158" s="1"/>
      <c r="B158" s="1"/>
      <c r="F158" s="1"/>
      <c r="G158" s="1"/>
      <c r="M158" s="24"/>
      <c r="N158" s="27"/>
    </row>
    <row r="159" spans="1:14" ht="15.75" x14ac:dyDescent="0.25">
      <c r="A159" s="1"/>
      <c r="B159" s="1"/>
      <c r="F159" s="1"/>
      <c r="G159" s="1"/>
      <c r="M159" s="24"/>
      <c r="N159" s="27"/>
    </row>
    <row r="160" spans="1:14" ht="15.75" x14ac:dyDescent="0.25">
      <c r="A160" s="1"/>
      <c r="B160" s="1"/>
      <c r="F160" s="1"/>
      <c r="G160" s="1"/>
      <c r="M160" s="24"/>
      <c r="N160" s="27"/>
    </row>
    <row r="161" spans="1:14" ht="15.75" x14ac:dyDescent="0.25">
      <c r="A161" s="1"/>
      <c r="B161" s="1"/>
      <c r="F161" s="1"/>
      <c r="G161" s="1"/>
      <c r="M161" s="24"/>
      <c r="N161" s="27"/>
    </row>
    <row r="162" spans="1:14" ht="15.75" x14ac:dyDescent="0.25">
      <c r="A162" s="1"/>
      <c r="B162" s="1"/>
      <c r="F162" s="1"/>
      <c r="G162" s="1"/>
      <c r="M162" s="24"/>
      <c r="N162" s="27"/>
    </row>
    <row r="163" spans="1:14" ht="15.75" x14ac:dyDescent="0.25">
      <c r="A163" s="1"/>
      <c r="B163" s="1"/>
      <c r="F163" s="1"/>
      <c r="G163" s="1"/>
      <c r="M163" s="24"/>
      <c r="N163" s="27"/>
    </row>
    <row r="164" spans="1:14" ht="15.75" x14ac:dyDescent="0.25">
      <c r="A164" s="1"/>
      <c r="B164" s="1"/>
      <c r="F164" s="1"/>
      <c r="G164" s="1"/>
      <c r="M164" s="24"/>
      <c r="N164" s="27"/>
    </row>
    <row r="165" spans="1:14" ht="15.75" x14ac:dyDescent="0.25">
      <c r="A165" s="1"/>
      <c r="B165" s="1"/>
      <c r="F165" s="1"/>
      <c r="G165" s="1"/>
      <c r="M165" s="24"/>
      <c r="N165" s="27"/>
    </row>
    <row r="166" spans="1:14" ht="15.75" x14ac:dyDescent="0.25">
      <c r="A166" s="1"/>
      <c r="B166" s="1"/>
      <c r="F166" s="1"/>
      <c r="G166" s="1"/>
      <c r="M166" s="24"/>
      <c r="N166" s="27"/>
    </row>
    <row r="167" spans="1:14" ht="15.75" x14ac:dyDescent="0.25">
      <c r="A167" s="1"/>
      <c r="B167" s="1"/>
      <c r="F167" s="1"/>
      <c r="G167" s="1"/>
      <c r="M167" s="24"/>
      <c r="N167" s="27"/>
    </row>
    <row r="168" spans="1:14" ht="15.75" x14ac:dyDescent="0.25">
      <c r="A168" s="1"/>
      <c r="B168" s="1"/>
      <c r="F168" s="1"/>
      <c r="G168" s="1"/>
      <c r="M168" s="24"/>
      <c r="N168" s="27"/>
    </row>
    <row r="169" spans="1:14" ht="15.75" x14ac:dyDescent="0.25">
      <c r="A169" s="1"/>
      <c r="B169" s="1"/>
      <c r="F169" s="1"/>
      <c r="G169" s="1"/>
      <c r="M169" s="24"/>
      <c r="N169" s="27"/>
    </row>
    <row r="170" spans="1:14" ht="15.75" x14ac:dyDescent="0.25">
      <c r="A170" s="1"/>
      <c r="B170" s="1"/>
      <c r="F170" s="1"/>
      <c r="G170" s="1"/>
      <c r="M170" s="24"/>
      <c r="N170" s="27"/>
    </row>
    <row r="171" spans="1:14" ht="15.75" x14ac:dyDescent="0.25">
      <c r="A171" s="1"/>
      <c r="B171" s="1"/>
      <c r="F171" s="1"/>
      <c r="G171" s="1"/>
      <c r="M171" s="24"/>
      <c r="N171" s="27"/>
    </row>
    <row r="172" spans="1:14" ht="15.75" x14ac:dyDescent="0.25">
      <c r="A172" s="1"/>
      <c r="B172" s="1"/>
      <c r="F172" s="1"/>
      <c r="G172" s="1"/>
      <c r="M172" s="24"/>
      <c r="N172" s="27"/>
    </row>
    <row r="173" spans="1:14" ht="15.75" x14ac:dyDescent="0.25">
      <c r="A173" s="1"/>
      <c r="B173" s="1"/>
      <c r="F173" s="1"/>
      <c r="G173" s="1"/>
      <c r="M173" s="24"/>
      <c r="N173" s="27"/>
    </row>
    <row r="174" spans="1:14" ht="15.75" x14ac:dyDescent="0.25">
      <c r="A174" s="1"/>
      <c r="B174" s="1"/>
      <c r="F174" s="1"/>
      <c r="G174" s="1"/>
      <c r="M174" s="24"/>
      <c r="N174" s="27"/>
    </row>
    <row r="175" spans="1:14" ht="15.75" x14ac:dyDescent="0.25">
      <c r="A175" s="1"/>
      <c r="B175" s="1"/>
      <c r="F175" s="1"/>
      <c r="G175" s="1"/>
      <c r="M175" s="24"/>
      <c r="N175" s="27"/>
    </row>
    <row r="176" spans="1:14" ht="15.75" x14ac:dyDescent="0.25">
      <c r="A176" s="1"/>
      <c r="B176" s="1"/>
      <c r="F176" s="1"/>
      <c r="G176" s="1"/>
      <c r="M176" s="24"/>
      <c r="N176" s="27"/>
    </row>
    <row r="177" spans="1:14" ht="15.75" x14ac:dyDescent="0.25">
      <c r="A177" s="1"/>
      <c r="B177" s="1"/>
      <c r="F177" s="1"/>
      <c r="G177" s="1"/>
      <c r="M177" s="24"/>
      <c r="N177" s="27"/>
    </row>
    <row r="178" spans="1:14" ht="15.75" x14ac:dyDescent="0.25">
      <c r="A178" s="1"/>
      <c r="B178" s="1"/>
      <c r="F178" s="1"/>
      <c r="G178" s="1"/>
      <c r="M178" s="24"/>
      <c r="N178" s="27"/>
    </row>
    <row r="179" spans="1:14" ht="15.75" x14ac:dyDescent="0.25">
      <c r="A179" s="1"/>
      <c r="B179" s="1"/>
      <c r="F179" s="1"/>
      <c r="G179" s="1"/>
      <c r="M179" s="24"/>
      <c r="N179" s="27"/>
    </row>
    <row r="180" spans="1:14" ht="15.75" x14ac:dyDescent="0.25">
      <c r="A180" s="1"/>
      <c r="B180" s="1"/>
      <c r="F180" s="1"/>
      <c r="G180" s="1"/>
      <c r="M180" s="24"/>
      <c r="N180" s="27"/>
    </row>
    <row r="181" spans="1:14" ht="15.75" x14ac:dyDescent="0.25">
      <c r="A181" s="1"/>
      <c r="B181" s="1"/>
      <c r="F181" s="1"/>
      <c r="G181" s="1"/>
      <c r="M181" s="24"/>
      <c r="N181" s="27"/>
    </row>
    <row r="182" spans="1:14" ht="15.75" x14ac:dyDescent="0.25">
      <c r="A182" s="1"/>
      <c r="B182" s="1"/>
      <c r="F182" s="1"/>
      <c r="G182" s="1"/>
      <c r="M182" s="24"/>
      <c r="N182" s="27"/>
    </row>
    <row r="183" spans="1:14" ht="15.75" x14ac:dyDescent="0.25">
      <c r="A183" s="1"/>
      <c r="B183" s="1"/>
      <c r="F183" s="1"/>
      <c r="G183" s="1"/>
      <c r="M183" s="24"/>
      <c r="N183" s="27"/>
    </row>
    <row r="184" spans="1:14" ht="15.75" x14ac:dyDescent="0.25">
      <c r="A184" s="1"/>
      <c r="B184" s="1"/>
      <c r="F184" s="1"/>
      <c r="G184" s="1"/>
      <c r="M184" s="24"/>
      <c r="N184" s="27"/>
    </row>
    <row r="185" spans="1:14" ht="15.75" x14ac:dyDescent="0.25">
      <c r="A185" s="1"/>
      <c r="B185" s="1"/>
      <c r="F185" s="1"/>
      <c r="G185" s="1"/>
      <c r="M185" s="24"/>
      <c r="N185" s="27"/>
    </row>
    <row r="186" spans="1:14" ht="15.75" x14ac:dyDescent="0.25">
      <c r="A186" s="1"/>
      <c r="B186" s="1"/>
      <c r="F186" s="1"/>
      <c r="G186" s="1"/>
      <c r="M186" s="24"/>
      <c r="N186" s="27"/>
    </row>
    <row r="187" spans="1:14" ht="15.75" x14ac:dyDescent="0.25">
      <c r="A187" s="1"/>
      <c r="B187" s="1"/>
      <c r="F187" s="1"/>
      <c r="G187" s="1"/>
      <c r="M187" s="24"/>
      <c r="N187" s="27"/>
    </row>
    <row r="188" spans="1:14" ht="15.75" x14ac:dyDescent="0.25">
      <c r="A188" s="1"/>
      <c r="B188" s="1"/>
      <c r="F188" s="1"/>
      <c r="G188" s="1"/>
      <c r="M188" s="24"/>
      <c r="N188" s="27"/>
    </row>
    <row r="189" spans="1:14" ht="15.75" x14ac:dyDescent="0.25">
      <c r="A189" s="1"/>
      <c r="B189" s="1"/>
      <c r="F189" s="1"/>
      <c r="G189" s="1"/>
      <c r="M189" s="24"/>
      <c r="N189" s="27"/>
    </row>
    <row r="190" spans="1:14" ht="15.75" x14ac:dyDescent="0.25">
      <c r="A190" s="1"/>
      <c r="B190" s="1"/>
      <c r="F190" s="1"/>
      <c r="G190" s="1"/>
      <c r="M190" s="24"/>
      <c r="N190" s="27"/>
    </row>
    <row r="191" spans="1:14" ht="15.75" x14ac:dyDescent="0.25">
      <c r="A191" s="1"/>
      <c r="B191" s="1"/>
      <c r="F191" s="1"/>
      <c r="G191" s="1"/>
      <c r="M191" s="24"/>
      <c r="N191" s="27"/>
    </row>
    <row r="192" spans="1:14" ht="15.75" x14ac:dyDescent="0.25">
      <c r="A192" s="1"/>
      <c r="B192" s="1"/>
      <c r="F192" s="1"/>
      <c r="G192" s="1"/>
      <c r="M192" s="24"/>
      <c r="N192" s="27"/>
    </row>
    <row r="193" spans="1:14" ht="15.75" x14ac:dyDescent="0.25">
      <c r="A193" s="1"/>
      <c r="B193" s="1"/>
      <c r="F193" s="1"/>
      <c r="G193" s="1"/>
      <c r="M193" s="24"/>
      <c r="N193" s="27"/>
    </row>
    <row r="194" spans="1:14" ht="15.75" x14ac:dyDescent="0.25">
      <c r="A194" s="1"/>
      <c r="B194" s="1"/>
      <c r="F194" s="1"/>
      <c r="G194" s="1"/>
      <c r="M194" s="24"/>
      <c r="N194" s="27"/>
    </row>
    <row r="195" spans="1:14" ht="15.75" x14ac:dyDescent="0.25">
      <c r="A195" s="1"/>
      <c r="B195" s="1"/>
      <c r="F195" s="1"/>
      <c r="G195" s="1"/>
      <c r="M195" s="24"/>
      <c r="N195" s="27"/>
    </row>
    <row r="196" spans="1:14" ht="15.75" x14ac:dyDescent="0.25">
      <c r="A196" s="1"/>
      <c r="B196" s="1"/>
      <c r="F196" s="1"/>
      <c r="G196" s="1"/>
      <c r="M196" s="24"/>
      <c r="N196" s="27"/>
    </row>
    <row r="197" spans="1:14" ht="15.75" x14ac:dyDescent="0.25">
      <c r="A197" s="1"/>
      <c r="B197" s="1"/>
      <c r="F197" s="1"/>
      <c r="G197" s="1"/>
      <c r="M197" s="24"/>
      <c r="N197" s="27"/>
    </row>
    <row r="198" spans="1:14" ht="15.75" x14ac:dyDescent="0.25">
      <c r="A198" s="1"/>
      <c r="B198" s="1"/>
      <c r="F198" s="1"/>
      <c r="G198" s="1"/>
      <c r="M198" s="24"/>
      <c r="N198" s="27"/>
    </row>
    <row r="199" spans="1:14" ht="15.75" x14ac:dyDescent="0.25">
      <c r="A199" s="1"/>
      <c r="B199" s="1"/>
      <c r="F199" s="1"/>
      <c r="G199" s="1"/>
      <c r="M199" s="24"/>
      <c r="N199" s="27"/>
    </row>
    <row r="200" spans="1:14" ht="15.75" x14ac:dyDescent="0.25">
      <c r="A200" s="1"/>
      <c r="B200" s="1"/>
      <c r="F200" s="1"/>
      <c r="G200" s="1"/>
      <c r="M200" s="24"/>
      <c r="N200" s="27"/>
    </row>
    <row r="201" spans="1:14" ht="15.75" x14ac:dyDescent="0.25">
      <c r="A201" s="1"/>
      <c r="B201" s="1"/>
      <c r="F201" s="1"/>
      <c r="G201" s="1"/>
      <c r="M201" s="24"/>
      <c r="N201" s="27"/>
    </row>
    <row r="202" spans="1:14" ht="15.75" x14ac:dyDescent="0.25">
      <c r="A202" s="1"/>
      <c r="B202" s="1"/>
      <c r="F202" s="1"/>
      <c r="G202" s="1"/>
      <c r="M202" s="24"/>
      <c r="N202" s="27"/>
    </row>
    <row r="203" spans="1:14" ht="15.75" x14ac:dyDescent="0.25">
      <c r="A203" s="1"/>
      <c r="B203" s="1"/>
      <c r="F203" s="1"/>
      <c r="G203" s="1"/>
      <c r="M203" s="24"/>
      <c r="N203" s="27"/>
    </row>
    <row r="204" spans="1:14" ht="15.75" x14ac:dyDescent="0.25">
      <c r="A204" s="1"/>
      <c r="B204" s="1"/>
      <c r="F204" s="1"/>
      <c r="G204" s="1"/>
      <c r="M204" s="24"/>
      <c r="N204" s="27"/>
    </row>
    <row r="205" spans="1:14" ht="15.75" x14ac:dyDescent="0.25">
      <c r="A205" s="1"/>
      <c r="B205" s="1"/>
      <c r="F205" s="1"/>
      <c r="G205" s="1"/>
      <c r="M205" s="24"/>
      <c r="N205" s="27"/>
    </row>
    <row r="206" spans="1:14" ht="15.75" x14ac:dyDescent="0.25">
      <c r="A206" s="1"/>
      <c r="B206" s="1"/>
      <c r="F206" s="1"/>
      <c r="G206" s="1"/>
      <c r="M206" s="24"/>
      <c r="N206" s="27"/>
    </row>
    <row r="207" spans="1:14" ht="15.75" x14ac:dyDescent="0.25">
      <c r="A207" s="1"/>
      <c r="B207" s="1"/>
      <c r="F207" s="1"/>
      <c r="G207" s="1"/>
      <c r="M207" s="24"/>
      <c r="N207" s="27"/>
    </row>
    <row r="208" spans="1:14" ht="15.75" x14ac:dyDescent="0.25">
      <c r="A208" s="1"/>
      <c r="B208" s="1"/>
      <c r="F208" s="1"/>
      <c r="G208" s="1"/>
      <c r="M208" s="24"/>
      <c r="N208" s="27"/>
    </row>
    <row r="209" spans="1:14" ht="15.75" x14ac:dyDescent="0.25">
      <c r="A209" s="1"/>
      <c r="B209" s="1"/>
      <c r="F209" s="1"/>
      <c r="G209" s="1"/>
      <c r="M209" s="24"/>
      <c r="N209" s="27"/>
    </row>
    <row r="210" spans="1:14" ht="15.75" x14ac:dyDescent="0.25">
      <c r="A210" s="1"/>
      <c r="B210" s="1"/>
      <c r="F210" s="1"/>
      <c r="G210" s="1"/>
      <c r="M210" s="24"/>
      <c r="N210" s="27"/>
    </row>
    <row r="211" spans="1:14" ht="15.75" x14ac:dyDescent="0.25">
      <c r="A211" s="1"/>
      <c r="B211" s="1"/>
      <c r="F211" s="1"/>
      <c r="G211" s="1"/>
      <c r="M211" s="24"/>
      <c r="N211" s="27"/>
    </row>
    <row r="212" spans="1:14" ht="15.75" x14ac:dyDescent="0.25">
      <c r="A212" s="1"/>
      <c r="B212" s="1"/>
      <c r="F212" s="1"/>
      <c r="G212" s="1"/>
      <c r="M212" s="24"/>
      <c r="N212" s="27"/>
    </row>
    <row r="213" spans="1:14" ht="15.75" x14ac:dyDescent="0.25">
      <c r="A213" s="1"/>
      <c r="B213" s="1"/>
      <c r="F213" s="1"/>
      <c r="G213" s="1"/>
      <c r="M213" s="24"/>
      <c r="N213" s="27"/>
    </row>
    <row r="214" spans="1:14" ht="15.75" x14ac:dyDescent="0.25">
      <c r="A214" s="1"/>
      <c r="B214" s="1"/>
      <c r="F214" s="1"/>
      <c r="G214" s="1"/>
      <c r="M214" s="24"/>
      <c r="N214" s="27"/>
    </row>
    <row r="215" spans="1:14" ht="15.75" x14ac:dyDescent="0.25">
      <c r="A215" s="1"/>
      <c r="B215" s="1"/>
      <c r="F215" s="1"/>
      <c r="G215" s="1"/>
      <c r="M215" s="24"/>
      <c r="N215" s="27"/>
    </row>
    <row r="216" spans="1:14" ht="15.75" x14ac:dyDescent="0.25">
      <c r="A216" s="1"/>
      <c r="B216" s="1"/>
      <c r="F216" s="1"/>
      <c r="G216" s="1"/>
      <c r="M216" s="24"/>
      <c r="N216" s="27"/>
    </row>
    <row r="217" spans="1:14" ht="15.75" x14ac:dyDescent="0.25">
      <c r="A217" s="1"/>
      <c r="B217" s="1"/>
      <c r="F217" s="1"/>
      <c r="G217" s="1"/>
      <c r="M217" s="24"/>
      <c r="N217" s="27"/>
    </row>
    <row r="218" spans="1:14" ht="15.75" x14ac:dyDescent="0.25">
      <c r="A218" s="1"/>
      <c r="B218" s="1"/>
      <c r="F218" s="1"/>
      <c r="G218" s="1"/>
      <c r="M218" s="24"/>
      <c r="N218" s="27"/>
    </row>
    <row r="219" spans="1:14" ht="15.75" x14ac:dyDescent="0.25">
      <c r="A219" s="1"/>
      <c r="B219" s="1"/>
      <c r="F219" s="1"/>
      <c r="G219" s="1"/>
      <c r="M219" s="24"/>
      <c r="N219" s="27"/>
    </row>
    <row r="220" spans="1:14" ht="15.75" x14ac:dyDescent="0.25">
      <c r="A220" s="1"/>
      <c r="B220" s="1"/>
      <c r="F220" s="1"/>
      <c r="G220" s="1"/>
      <c r="M220" s="24"/>
      <c r="N220" s="27"/>
    </row>
    <row r="221" spans="1:14" ht="15.75" x14ac:dyDescent="0.25">
      <c r="A221" s="1"/>
      <c r="B221" s="1"/>
      <c r="F221" s="1"/>
      <c r="G221" s="1"/>
      <c r="M221" s="24"/>
      <c r="N221" s="27"/>
    </row>
    <row r="222" spans="1:14" ht="15.75" x14ac:dyDescent="0.25">
      <c r="A222" s="1"/>
      <c r="B222" s="1"/>
      <c r="F222" s="1"/>
      <c r="G222" s="1"/>
      <c r="M222" s="24"/>
      <c r="N222" s="27"/>
    </row>
    <row r="223" spans="1:14" ht="15.75" x14ac:dyDescent="0.25">
      <c r="A223" s="1"/>
      <c r="B223" s="1"/>
      <c r="F223" s="1"/>
      <c r="G223" s="1"/>
      <c r="M223" s="24"/>
      <c r="N223" s="27"/>
    </row>
    <row r="224" spans="1:14" ht="15.75" x14ac:dyDescent="0.25">
      <c r="A224" s="1"/>
      <c r="B224" s="1"/>
      <c r="F224" s="1"/>
      <c r="G224" s="1"/>
      <c r="M224" s="24"/>
      <c r="N224" s="27"/>
    </row>
    <row r="225" spans="1:14" ht="15.75" x14ac:dyDescent="0.25">
      <c r="A225" s="1"/>
      <c r="B225" s="1"/>
      <c r="F225" s="1"/>
      <c r="G225" s="1"/>
      <c r="M225" s="24"/>
      <c r="N225" s="27"/>
    </row>
    <row r="226" spans="1:14" ht="15.75" x14ac:dyDescent="0.25">
      <c r="A226" s="1"/>
      <c r="B226" s="1"/>
      <c r="F226" s="1"/>
      <c r="G226" s="1"/>
      <c r="M226" s="24"/>
      <c r="N226" s="27"/>
    </row>
    <row r="227" spans="1:14" ht="15.75" x14ac:dyDescent="0.25">
      <c r="A227" s="1"/>
      <c r="B227" s="1"/>
      <c r="F227" s="1"/>
      <c r="G227" s="1"/>
      <c r="M227" s="24"/>
      <c r="N227" s="27"/>
    </row>
    <row r="228" spans="1:14" ht="15.75" x14ac:dyDescent="0.25">
      <c r="A228" s="1"/>
      <c r="B228" s="1"/>
      <c r="F228" s="1"/>
      <c r="G228" s="1"/>
      <c r="M228" s="24"/>
      <c r="N228" s="27"/>
    </row>
    <row r="229" spans="1:14" ht="15.75" x14ac:dyDescent="0.25">
      <c r="A229" s="1"/>
      <c r="B229" s="1"/>
      <c r="F229" s="1"/>
      <c r="G229" s="1"/>
      <c r="M229" s="24"/>
      <c r="N229" s="27"/>
    </row>
    <row r="230" spans="1:14" ht="15.75" x14ac:dyDescent="0.25">
      <c r="A230" s="1"/>
      <c r="B230" s="1"/>
      <c r="F230" s="1"/>
      <c r="G230" s="1"/>
      <c r="M230" s="24"/>
      <c r="N230" s="27"/>
    </row>
    <row r="231" spans="1:14" ht="15.75" x14ac:dyDescent="0.25">
      <c r="A231" s="1"/>
      <c r="B231" s="1"/>
      <c r="F231" s="1"/>
      <c r="G231" s="1"/>
      <c r="M231" s="24"/>
      <c r="N231" s="27"/>
    </row>
    <row r="232" spans="1:14" ht="15.75" x14ac:dyDescent="0.25">
      <c r="A232" s="1"/>
      <c r="B232" s="1"/>
      <c r="F232" s="1"/>
      <c r="G232" s="1"/>
      <c r="M232" s="24"/>
      <c r="N232" s="27"/>
    </row>
    <row r="233" spans="1:14" ht="15.75" x14ac:dyDescent="0.25">
      <c r="A233" s="1"/>
      <c r="B233" s="1"/>
      <c r="F233" s="1"/>
      <c r="G233" s="1"/>
      <c r="M233" s="24"/>
      <c r="N233" s="27"/>
    </row>
    <row r="234" spans="1:14" ht="15.75" x14ac:dyDescent="0.25">
      <c r="A234" s="1"/>
      <c r="B234" s="1"/>
      <c r="F234" s="1"/>
      <c r="G234" s="1"/>
      <c r="M234" s="24"/>
      <c r="N234" s="27"/>
    </row>
    <row r="235" spans="1:14" ht="15.75" x14ac:dyDescent="0.25">
      <c r="A235" s="1"/>
      <c r="B235" s="1"/>
      <c r="F235" s="1"/>
      <c r="G235" s="1"/>
      <c r="M235" s="24"/>
      <c r="N235" s="27"/>
    </row>
    <row r="236" spans="1:14" ht="15.75" x14ac:dyDescent="0.25">
      <c r="A236" s="1"/>
      <c r="B236" s="1"/>
      <c r="F236" s="1"/>
      <c r="G236" s="1"/>
      <c r="M236" s="24"/>
      <c r="N236" s="27"/>
    </row>
    <row r="237" spans="1:14" ht="15.75" x14ac:dyDescent="0.25">
      <c r="A237" s="1"/>
      <c r="B237" s="1"/>
      <c r="F237" s="1"/>
      <c r="G237" s="1"/>
      <c r="M237" s="24"/>
      <c r="N237" s="27"/>
    </row>
    <row r="238" spans="1:14" ht="15.75" x14ac:dyDescent="0.25">
      <c r="A238" s="1"/>
      <c r="B238" s="1"/>
      <c r="F238" s="1"/>
      <c r="G238" s="1"/>
      <c r="M238" s="24"/>
      <c r="N238" s="27"/>
    </row>
    <row r="239" spans="1:14" ht="15.75" x14ac:dyDescent="0.25">
      <c r="A239" s="1"/>
      <c r="B239" s="1"/>
      <c r="F239" s="1"/>
      <c r="G239" s="1"/>
      <c r="M239" s="24"/>
      <c r="N239" s="27"/>
    </row>
    <row r="240" spans="1:14" ht="15.75" x14ac:dyDescent="0.25">
      <c r="A240" s="1"/>
      <c r="B240" s="1"/>
      <c r="F240" s="1"/>
      <c r="G240" s="1"/>
      <c r="M240" s="24"/>
      <c r="N240" s="27"/>
    </row>
    <row r="241" spans="1:14" ht="15.75" x14ac:dyDescent="0.25">
      <c r="A241" s="1"/>
      <c r="B241" s="1"/>
      <c r="F241" s="1"/>
      <c r="G241" s="1"/>
      <c r="M241" s="24"/>
      <c r="N241" s="27"/>
    </row>
    <row r="242" spans="1:14" ht="15.75" x14ac:dyDescent="0.25">
      <c r="A242" s="1"/>
      <c r="B242" s="1"/>
      <c r="F242" s="1"/>
      <c r="G242" s="1"/>
      <c r="M242" s="24"/>
      <c r="N242" s="27"/>
    </row>
    <row r="243" spans="1:14" ht="15.75" x14ac:dyDescent="0.25">
      <c r="A243" s="1"/>
      <c r="B243" s="1"/>
      <c r="F243" s="1"/>
      <c r="G243" s="1"/>
      <c r="M243" s="24"/>
      <c r="N243" s="27"/>
    </row>
    <row r="244" spans="1:14" ht="15.75" x14ac:dyDescent="0.25">
      <c r="A244" s="1"/>
      <c r="B244" s="1"/>
      <c r="F244" s="1"/>
      <c r="G244" s="1"/>
      <c r="M244" s="24"/>
      <c r="N244" s="27"/>
    </row>
    <row r="245" spans="1:14" ht="15.75" x14ac:dyDescent="0.25">
      <c r="A245" s="1"/>
      <c r="B245" s="1"/>
      <c r="F245" s="1"/>
      <c r="G245" s="1"/>
      <c r="M245" s="24"/>
      <c r="N245" s="27"/>
    </row>
    <row r="246" spans="1:14" ht="15.75" x14ac:dyDescent="0.25">
      <c r="A246" s="1"/>
      <c r="B246" s="1"/>
      <c r="F246" s="1"/>
      <c r="G246" s="1"/>
      <c r="M246" s="24"/>
      <c r="N246" s="27"/>
    </row>
    <row r="247" spans="1:14" ht="15.75" x14ac:dyDescent="0.25">
      <c r="A247" s="1"/>
      <c r="B247" s="1"/>
      <c r="F247" s="1"/>
      <c r="G247" s="1"/>
      <c r="M247" s="24"/>
      <c r="N247" s="27"/>
    </row>
    <row r="248" spans="1:14" ht="15.75" x14ac:dyDescent="0.25">
      <c r="A248" s="1"/>
      <c r="B248" s="1"/>
      <c r="F248" s="1"/>
      <c r="G248" s="1"/>
      <c r="M248" s="24"/>
      <c r="N248" s="27"/>
    </row>
    <row r="249" spans="1:14" ht="15.75" x14ac:dyDescent="0.25">
      <c r="A249" s="1"/>
      <c r="B249" s="1"/>
      <c r="F249" s="1"/>
      <c r="G249" s="1"/>
      <c r="M249" s="24"/>
      <c r="N249" s="27"/>
    </row>
    <row r="250" spans="1:14" ht="15.75" x14ac:dyDescent="0.25">
      <c r="A250" s="1"/>
      <c r="B250" s="1"/>
      <c r="F250" s="1"/>
      <c r="G250" s="1"/>
      <c r="M250" s="24"/>
      <c r="N250" s="27"/>
    </row>
    <row r="251" spans="1:14" ht="15.75" x14ac:dyDescent="0.25">
      <c r="A251" s="1"/>
      <c r="B251" s="1"/>
      <c r="F251" s="1"/>
      <c r="G251" s="1"/>
      <c r="M251" s="24"/>
      <c r="N251" s="27"/>
    </row>
    <row r="252" spans="1:14" ht="15.75" x14ac:dyDescent="0.25">
      <c r="A252" s="1"/>
      <c r="B252" s="1"/>
      <c r="F252" s="1"/>
      <c r="G252" s="1"/>
      <c r="M252" s="24"/>
      <c r="N252" s="27"/>
    </row>
    <row r="253" spans="1:14" ht="15.75" x14ac:dyDescent="0.25">
      <c r="A253" s="1"/>
      <c r="B253" s="1"/>
      <c r="F253" s="1"/>
      <c r="G253" s="1"/>
      <c r="M253" s="24"/>
      <c r="N253" s="27"/>
    </row>
    <row r="254" spans="1:14" ht="15.75" x14ac:dyDescent="0.25">
      <c r="A254" s="1"/>
      <c r="B254" s="1"/>
      <c r="F254" s="1"/>
      <c r="G254" s="1"/>
      <c r="M254" s="24"/>
      <c r="N254" s="27"/>
    </row>
    <row r="255" spans="1:14" ht="15.75" x14ac:dyDescent="0.25">
      <c r="A255" s="1"/>
      <c r="B255" s="1"/>
      <c r="F255" s="1"/>
      <c r="G255" s="1"/>
      <c r="M255" s="24"/>
      <c r="N255" s="27"/>
    </row>
    <row r="256" spans="1:14" ht="15.75" x14ac:dyDescent="0.25">
      <c r="A256" s="1"/>
      <c r="B256" s="1"/>
      <c r="F256" s="1"/>
      <c r="G256" s="1"/>
      <c r="M256" s="24"/>
      <c r="N256" s="27"/>
    </row>
    <row r="257" spans="1:14" ht="15.75" x14ac:dyDescent="0.25">
      <c r="A257" s="1"/>
      <c r="B257" s="1"/>
      <c r="F257" s="1"/>
      <c r="G257" s="1"/>
      <c r="M257" s="24"/>
      <c r="N257" s="27"/>
    </row>
    <row r="258" spans="1:14" ht="15.75" x14ac:dyDescent="0.25">
      <c r="A258" s="1"/>
      <c r="B258" s="1"/>
      <c r="F258" s="1"/>
      <c r="G258" s="1"/>
      <c r="M258" s="24"/>
      <c r="N258" s="27"/>
    </row>
    <row r="259" spans="1:14" ht="15.75" x14ac:dyDescent="0.25">
      <c r="A259" s="1"/>
      <c r="B259" s="1"/>
      <c r="F259" s="1"/>
      <c r="G259" s="1"/>
      <c r="M259" s="24"/>
      <c r="N259" s="27"/>
    </row>
    <row r="260" spans="1:14" ht="15.75" x14ac:dyDescent="0.25">
      <c r="A260" s="1"/>
      <c r="B260" s="1"/>
      <c r="F260" s="1"/>
      <c r="G260" s="1"/>
      <c r="M260" s="24"/>
      <c r="N260" s="27"/>
    </row>
    <row r="261" spans="1:14" ht="15.75" x14ac:dyDescent="0.25">
      <c r="A261" s="1"/>
      <c r="B261" s="1"/>
      <c r="F261" s="1"/>
      <c r="G261" s="1"/>
      <c r="M261" s="24"/>
      <c r="N261" s="27"/>
    </row>
    <row r="262" spans="1:14" ht="15.75" x14ac:dyDescent="0.25">
      <c r="A262" s="1"/>
      <c r="B262" s="1"/>
      <c r="F262" s="1"/>
      <c r="G262" s="1"/>
      <c r="M262" s="24"/>
      <c r="N262" s="27"/>
    </row>
    <row r="263" spans="1:14" ht="15.75" x14ac:dyDescent="0.25">
      <c r="A263" s="1"/>
      <c r="B263" s="1"/>
      <c r="F263" s="1"/>
      <c r="G263" s="1"/>
      <c r="M263" s="24"/>
      <c r="N263" s="27"/>
    </row>
    <row r="264" spans="1:14" ht="15.75" x14ac:dyDescent="0.25">
      <c r="A264" s="1"/>
      <c r="B264" s="1"/>
      <c r="F264" s="1"/>
      <c r="G264" s="1"/>
      <c r="M264" s="24"/>
      <c r="N264" s="27"/>
    </row>
    <row r="265" spans="1:14" ht="15.75" x14ac:dyDescent="0.25">
      <c r="A265" s="1"/>
      <c r="B265" s="1"/>
      <c r="F265" s="1"/>
      <c r="G265" s="1"/>
      <c r="M265" s="24"/>
      <c r="N265" s="27"/>
    </row>
    <row r="266" spans="1:14" ht="15.75" x14ac:dyDescent="0.25">
      <c r="A266" s="1"/>
      <c r="B266" s="1"/>
      <c r="F266" s="1"/>
      <c r="G266" s="1"/>
      <c r="M266" s="24"/>
      <c r="N266" s="27"/>
    </row>
    <row r="267" spans="1:14" ht="15.75" x14ac:dyDescent="0.25">
      <c r="A267" s="1"/>
      <c r="B267" s="1"/>
      <c r="F267" s="1"/>
      <c r="G267" s="1"/>
      <c r="M267" s="24"/>
      <c r="N267" s="27"/>
    </row>
    <row r="268" spans="1:14" ht="15.75" x14ac:dyDescent="0.25">
      <c r="A268" s="1"/>
      <c r="B268" s="1"/>
      <c r="F268" s="1"/>
      <c r="G268" s="1"/>
      <c r="M268" s="24"/>
      <c r="N268" s="27"/>
    </row>
    <row r="269" spans="1:14" ht="15.75" x14ac:dyDescent="0.25">
      <c r="A269" s="1"/>
      <c r="B269" s="1"/>
      <c r="F269" s="1"/>
      <c r="G269" s="1"/>
      <c r="M269" s="24"/>
      <c r="N269" s="27"/>
    </row>
    <row r="270" spans="1:14" ht="15.75" x14ac:dyDescent="0.25">
      <c r="A270" s="1"/>
      <c r="B270" s="1"/>
      <c r="F270" s="1"/>
      <c r="G270" s="1"/>
      <c r="M270" s="24"/>
      <c r="N270" s="27"/>
    </row>
    <row r="271" spans="1:14" ht="15.75" x14ac:dyDescent="0.25">
      <c r="A271" s="1"/>
      <c r="B271" s="1"/>
      <c r="F271" s="1"/>
      <c r="G271" s="1"/>
      <c r="M271" s="24"/>
      <c r="N271" s="27"/>
    </row>
    <row r="272" spans="1:14" ht="15.75" x14ac:dyDescent="0.25">
      <c r="A272" s="1"/>
      <c r="B272" s="1"/>
      <c r="F272" s="1"/>
      <c r="G272" s="1"/>
      <c r="M272" s="24"/>
      <c r="N272" s="27"/>
    </row>
    <row r="273" spans="1:14" ht="15.75" x14ac:dyDescent="0.25">
      <c r="A273" s="1"/>
      <c r="B273" s="1"/>
      <c r="F273" s="1"/>
      <c r="G273" s="1"/>
      <c r="M273" s="24"/>
      <c r="N273" s="27"/>
    </row>
    <row r="274" spans="1:14" ht="15.75" x14ac:dyDescent="0.25">
      <c r="A274" s="1"/>
      <c r="B274" s="1"/>
      <c r="F274" s="1"/>
      <c r="G274" s="1"/>
      <c r="M274" s="24"/>
      <c r="N274" s="27"/>
    </row>
    <row r="275" spans="1:14" ht="15.75" x14ac:dyDescent="0.25">
      <c r="A275" s="1"/>
      <c r="B275" s="1"/>
      <c r="F275" s="1"/>
      <c r="G275" s="1"/>
      <c r="M275" s="24"/>
      <c r="N275" s="27"/>
    </row>
    <row r="276" spans="1:14" ht="15.75" x14ac:dyDescent="0.25">
      <c r="A276" s="1"/>
      <c r="B276" s="1"/>
      <c r="F276" s="1"/>
      <c r="G276" s="1"/>
      <c r="M276" s="24"/>
      <c r="N276" s="27"/>
    </row>
    <row r="277" spans="1:14" ht="15.75" x14ac:dyDescent="0.25">
      <c r="A277" s="1"/>
      <c r="B277" s="1"/>
      <c r="F277" s="1"/>
      <c r="G277" s="1"/>
      <c r="M277" s="24"/>
      <c r="N277" s="27"/>
    </row>
    <row r="278" spans="1:14" ht="15.75" x14ac:dyDescent="0.25">
      <c r="A278" s="1"/>
      <c r="B278" s="1"/>
      <c r="F278" s="1"/>
      <c r="G278" s="1"/>
      <c r="M278" s="24"/>
      <c r="N278" s="27"/>
    </row>
    <row r="279" spans="1:14" ht="15.75" x14ac:dyDescent="0.25">
      <c r="A279" s="1"/>
      <c r="B279" s="1"/>
      <c r="F279" s="1"/>
      <c r="G279" s="1"/>
      <c r="M279" s="24"/>
      <c r="N279" s="27"/>
    </row>
    <row r="280" spans="1:14" ht="15.75" x14ac:dyDescent="0.25">
      <c r="A280" s="1"/>
      <c r="B280" s="1"/>
      <c r="F280" s="1"/>
      <c r="G280" s="1"/>
      <c r="M280" s="24"/>
      <c r="N280" s="27"/>
    </row>
    <row r="281" spans="1:14" ht="15.75" x14ac:dyDescent="0.25">
      <c r="A281" s="1"/>
      <c r="B281" s="1"/>
      <c r="F281" s="1"/>
      <c r="G281" s="1"/>
      <c r="M281" s="24"/>
      <c r="N281" s="27"/>
    </row>
    <row r="282" spans="1:14" x14ac:dyDescent="0.25">
      <c r="A282" s="1"/>
      <c r="B282" s="1"/>
      <c r="F282" s="1"/>
      <c r="G282" s="1"/>
    </row>
    <row r="283" spans="1:14" x14ac:dyDescent="0.25">
      <c r="A283" s="1"/>
      <c r="B283" s="1"/>
      <c r="F283" s="1"/>
      <c r="G283" s="1"/>
    </row>
    <row r="284" spans="1:14" x14ac:dyDescent="0.25">
      <c r="A284" s="1"/>
      <c r="B284" s="1"/>
      <c r="F284" s="1"/>
      <c r="G284" s="1"/>
    </row>
    <row r="285" spans="1:14" x14ac:dyDescent="0.25">
      <c r="A285" s="1"/>
      <c r="B285" s="1"/>
      <c r="F285" s="1"/>
      <c r="G285" s="1"/>
    </row>
    <row r="286" spans="1:14" x14ac:dyDescent="0.25">
      <c r="A286" s="1"/>
      <c r="B286" s="1"/>
      <c r="F286" s="1"/>
      <c r="G286" s="1"/>
    </row>
    <row r="287" spans="1:14" x14ac:dyDescent="0.25">
      <c r="A287" s="1"/>
      <c r="B287" s="1"/>
      <c r="F287" s="1"/>
      <c r="G287" s="1"/>
    </row>
    <row r="288" spans="1:14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G404" s="1"/>
    </row>
    <row r="405" spans="1:7" x14ac:dyDescent="0.25">
      <c r="A405" s="1"/>
      <c r="B405" s="1"/>
      <c r="G405" s="1"/>
    </row>
    <row r="406" spans="1:7" x14ac:dyDescent="0.25">
      <c r="A406" s="1"/>
      <c r="B406" s="1"/>
      <c r="G406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6146" r:id="rId4" name="ClearBtn"/>
      </mc:Fallback>
    </mc:AlternateContent>
    <mc:AlternateContent xmlns:mc="http://schemas.openxmlformats.org/markup-compatibility/2006">
      <mc:Choice Requires="x14">
        <control shapeId="6145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6145" r:id="rId6" name="ExecuteQueri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FiscalYear Test1</vt:lpstr>
      <vt:lpstr>FiscalYear moreTest1</vt:lpstr>
      <vt:lpstr>FiscalYear Test2</vt:lpstr>
      <vt:lpstr>FiscalYear moreTest2</vt:lpstr>
      <vt:lpstr>LeapYEars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Lee, Brian</dc:creator>
  <cp:lastModifiedBy>Lee, Brian</cp:lastModifiedBy>
  <dcterms:created xsi:type="dcterms:W3CDTF">2015-10-16T14:08:54Z</dcterms:created>
  <dcterms:modified xsi:type="dcterms:W3CDTF">2015-10-19T17:43:42Z</dcterms:modified>
</cp:coreProperties>
</file>