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2.xml" ContentType="application/vnd.openxmlformats-officedocument.spreadsheetml.comment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3.xml" ContentType="application/vnd.openxmlformats-officedocument.spreadsheetml.comment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omments4.xml" ContentType="application/vnd.openxmlformats-officedocument.spreadsheetml.comment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5.xml" ContentType="application/vnd.openxmlformats-officedocument.spreadsheetml.comment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3290" tabRatio="781" firstSheet="10" activeTab="22"/>
  </bookViews>
  <sheets>
    <sheet name="perStart &amp; PerEnd" sheetId="25" r:id="rId1"/>
    <sheet name="CurrPer &amp; PrevPer &amp; NextPer" sheetId="12" r:id="rId2"/>
    <sheet name="DaysInPrd" sheetId="9" r:id="rId3"/>
    <sheet name="WksInPrd" sheetId="14" r:id="rId4"/>
    <sheet name="CurrQtr" sheetId="15" r:id="rId5"/>
    <sheet name="QtrStart" sheetId="29" r:id="rId6"/>
    <sheet name="QtrEnd" sheetId="26" r:id="rId7"/>
    <sheet name="WkInQtr" sheetId="36" r:id="rId8"/>
    <sheet name="DaysInQtr" sheetId="35" r:id="rId9"/>
    <sheet name="scratch - periods" sheetId="38" r:id="rId10"/>
    <sheet name="scratch - Qtr" sheetId="39" r:id="rId11"/>
    <sheet name="YrStart" sheetId="30" r:id="rId12"/>
    <sheet name="YrEnd" sheetId="33" r:id="rId13"/>
    <sheet name="DaysInToYr" sheetId="32" r:id="rId14"/>
    <sheet name="WkInYr" sheetId="31" r:id="rId15"/>
    <sheet name="WkInPrd" sheetId="34" r:id="rId16"/>
    <sheet name="LeapYEars" sheetId="6" r:id="rId17"/>
    <sheet name="5th weeks" sheetId="8" r:id="rId18"/>
    <sheet name="PrevPerStart &amp; PrevPerEnd" sheetId="40" r:id="rId19"/>
    <sheet name="NextPerStart &amp; NextPerEnd" sheetId="43" r:id="rId20"/>
    <sheet name="scratch - PrevPer &amp; NextPer" sheetId="45" r:id="rId21"/>
    <sheet name="FiscalYear" sheetId="44" r:id="rId22"/>
    <sheet name="template" sheetId="37" r:id="rId23"/>
  </sheets>
  <functionGroups builtInGroupCount="17"/>
  <calcPr calcId="145621"/>
</workbook>
</file>

<file path=xl/calcChain.xml><?xml version="1.0" encoding="utf-8"?>
<calcChain xmlns="http://schemas.openxmlformats.org/spreadsheetml/2006/main">
  <c r="N9" i="12" l="1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8" i="12"/>
  <c r="N8" i="12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8" i="25"/>
  <c r="O9" i="25"/>
  <c r="O10" i="25"/>
  <c r="O11" i="25"/>
  <c r="O12" i="25"/>
  <c r="O13" i="25"/>
  <c r="O14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8" i="25"/>
  <c r="P11" i="25"/>
  <c r="P19" i="25"/>
  <c r="P27" i="25"/>
  <c r="P35" i="25"/>
  <c r="P43" i="25"/>
  <c r="P51" i="25"/>
  <c r="P59" i="25"/>
  <c r="P67" i="25"/>
  <c r="P75" i="25"/>
  <c r="P14" i="25"/>
  <c r="P62" i="25"/>
  <c r="P12" i="25"/>
  <c r="P20" i="25"/>
  <c r="P28" i="25"/>
  <c r="P36" i="25"/>
  <c r="P44" i="25"/>
  <c r="P52" i="25"/>
  <c r="P60" i="25"/>
  <c r="P68" i="25"/>
  <c r="P76" i="25"/>
  <c r="P22" i="25"/>
  <c r="P54" i="25"/>
  <c r="P13" i="25"/>
  <c r="P21" i="25"/>
  <c r="P29" i="25"/>
  <c r="P37" i="25"/>
  <c r="P45" i="25"/>
  <c r="P53" i="25"/>
  <c r="P61" i="25"/>
  <c r="P69" i="25"/>
  <c r="P77" i="25"/>
  <c r="P30" i="25"/>
  <c r="P46" i="25"/>
  <c r="P70" i="25"/>
  <c r="P15" i="25"/>
  <c r="P23" i="25"/>
  <c r="P31" i="25"/>
  <c r="P39" i="25"/>
  <c r="P47" i="25"/>
  <c r="P55" i="25"/>
  <c r="P63" i="25"/>
  <c r="P71" i="25"/>
  <c r="P16" i="25"/>
  <c r="P24" i="25"/>
  <c r="P32" i="25"/>
  <c r="P40" i="25"/>
  <c r="P48" i="25"/>
  <c r="P56" i="25"/>
  <c r="P64" i="25"/>
  <c r="P72" i="25"/>
  <c r="P9" i="25"/>
  <c r="P17" i="25"/>
  <c r="P25" i="25"/>
  <c r="P33" i="25"/>
  <c r="P41" i="25"/>
  <c r="P49" i="25"/>
  <c r="P57" i="25"/>
  <c r="P65" i="25"/>
  <c r="P73" i="25"/>
  <c r="P10" i="25"/>
  <c r="P18" i="25"/>
  <c r="P26" i="25"/>
  <c r="P34" i="25"/>
  <c r="P42" i="25"/>
  <c r="P50" i="25"/>
  <c r="P58" i="25"/>
  <c r="P66" i="25"/>
  <c r="P74" i="25"/>
  <c r="P38" i="25"/>
  <c r="P78" i="25"/>
  <c r="P8" i="25"/>
  <c r="O8" i="26" l="1"/>
  <c r="O10" i="26"/>
  <c r="O18" i="26"/>
  <c r="O26" i="26"/>
  <c r="O34" i="26"/>
  <c r="O42" i="26"/>
  <c r="O50" i="26"/>
  <c r="O58" i="26"/>
  <c r="O66" i="26"/>
  <c r="O74" i="26"/>
  <c r="O82" i="26"/>
  <c r="O11" i="26"/>
  <c r="O19" i="26"/>
  <c r="O27" i="26"/>
  <c r="O35" i="26"/>
  <c r="O43" i="26"/>
  <c r="O51" i="26"/>
  <c r="O59" i="26"/>
  <c r="O67" i="26"/>
  <c r="O75" i="26"/>
  <c r="O83" i="26"/>
  <c r="O12" i="26"/>
  <c r="O20" i="26"/>
  <c r="O28" i="26"/>
  <c r="O36" i="26"/>
  <c r="O44" i="26"/>
  <c r="O52" i="26"/>
  <c r="O60" i="26"/>
  <c r="O68" i="26"/>
  <c r="O76" i="26"/>
  <c r="O84" i="26"/>
  <c r="O13" i="26"/>
  <c r="O21" i="26"/>
  <c r="O29" i="26"/>
  <c r="O37" i="26"/>
  <c r="O45" i="26"/>
  <c r="O53" i="26"/>
  <c r="O61" i="26"/>
  <c r="O69" i="26"/>
  <c r="O77" i="26"/>
  <c r="O85" i="26"/>
  <c r="O14" i="26"/>
  <c r="O22" i="26"/>
  <c r="O30" i="26"/>
  <c r="O38" i="26"/>
  <c r="O46" i="26"/>
  <c r="O54" i="26"/>
  <c r="O62" i="26"/>
  <c r="O70" i="26"/>
  <c r="O78" i="26"/>
  <c r="O86" i="26"/>
  <c r="O15" i="26"/>
  <c r="O23" i="26"/>
  <c r="O31" i="26"/>
  <c r="O39" i="26"/>
  <c r="O47" i="26"/>
  <c r="O55" i="26"/>
  <c r="O63" i="26"/>
  <c r="O71" i="26"/>
  <c r="O79" i="26"/>
  <c r="O16" i="26"/>
  <c r="O24" i="26"/>
  <c r="O32" i="26"/>
  <c r="O40" i="26"/>
  <c r="O48" i="26"/>
  <c r="O56" i="26"/>
  <c r="O64" i="26"/>
  <c r="O72" i="26"/>
  <c r="O80" i="26"/>
  <c r="O9" i="26"/>
  <c r="O17" i="26"/>
  <c r="O25" i="26"/>
  <c r="O33" i="26"/>
  <c r="O41" i="26"/>
  <c r="O49" i="26"/>
  <c r="O57" i="26"/>
  <c r="O65" i="26"/>
  <c r="O73" i="26"/>
  <c r="O81" i="26"/>
  <c r="P65" i="26"/>
  <c r="P14" i="26"/>
  <c r="P22" i="26"/>
  <c r="P30" i="26"/>
  <c r="P42" i="26"/>
  <c r="P50" i="26"/>
  <c r="P62" i="26"/>
  <c r="P74" i="26"/>
  <c r="P82" i="26"/>
  <c r="P10" i="26"/>
  <c r="P18" i="26"/>
  <c r="P26" i="26"/>
  <c r="P34" i="26"/>
  <c r="P38" i="26"/>
  <c r="P46" i="26"/>
  <c r="P54" i="26"/>
  <c r="P58" i="26"/>
  <c r="P66" i="26"/>
  <c r="P70" i="26"/>
  <c r="P78" i="26"/>
  <c r="P86" i="26"/>
  <c r="P69" i="26"/>
  <c r="P85" i="26"/>
  <c r="P9" i="26"/>
  <c r="P33" i="26"/>
  <c r="P41" i="26"/>
  <c r="P49" i="26"/>
  <c r="P57" i="26"/>
  <c r="P77" i="26"/>
  <c r="P11" i="26"/>
  <c r="P15" i="26"/>
  <c r="P19" i="26"/>
  <c r="P23" i="26"/>
  <c r="P27" i="26"/>
  <c r="P31" i="26"/>
  <c r="P35" i="26"/>
  <c r="P39" i="26"/>
  <c r="P43" i="26"/>
  <c r="P47" i="26"/>
  <c r="P51" i="26"/>
  <c r="P55" i="26"/>
  <c r="P59" i="26"/>
  <c r="P63" i="26"/>
  <c r="P67" i="26"/>
  <c r="P71" i="26"/>
  <c r="P75" i="26"/>
  <c r="P79" i="26"/>
  <c r="P83" i="26"/>
  <c r="P16" i="26"/>
  <c r="P36" i="26"/>
  <c r="P48" i="26"/>
  <c r="P56" i="26"/>
  <c r="P64" i="26"/>
  <c r="P72" i="26"/>
  <c r="P80" i="26"/>
  <c r="P12" i="26"/>
  <c r="P20" i="26"/>
  <c r="P24" i="26"/>
  <c r="P28" i="26"/>
  <c r="P32" i="26"/>
  <c r="P40" i="26"/>
  <c r="P44" i="26"/>
  <c r="P52" i="26"/>
  <c r="P60" i="26"/>
  <c r="P68" i="26"/>
  <c r="P76" i="26"/>
  <c r="P84" i="26"/>
  <c r="P13" i="26"/>
  <c r="P17" i="26"/>
  <c r="P21" i="26"/>
  <c r="P25" i="26"/>
  <c r="P29" i="26"/>
  <c r="P37" i="26"/>
  <c r="P45" i="26"/>
  <c r="P53" i="26"/>
  <c r="P61" i="26"/>
  <c r="P73" i="26"/>
  <c r="P81" i="26"/>
  <c r="P8" i="26"/>
  <c r="O89" i="6" l="1"/>
  <c r="O90" i="6"/>
  <c r="N90" i="6" s="1"/>
  <c r="O91" i="6"/>
  <c r="O92" i="6"/>
  <c r="O93" i="6"/>
  <c r="O94" i="6"/>
  <c r="O95" i="6"/>
  <c r="O96" i="6"/>
  <c r="O97" i="6"/>
  <c r="O98" i="6"/>
  <c r="N98" i="6" s="1"/>
  <c r="O99" i="6"/>
  <c r="O100" i="6"/>
  <c r="O101" i="6"/>
  <c r="O102" i="6"/>
  <c r="O103" i="6"/>
  <c r="O104" i="6"/>
  <c r="O105" i="6"/>
  <c r="O106" i="6"/>
  <c r="N106" i="6" s="1"/>
  <c r="O107" i="6"/>
  <c r="O108" i="6"/>
  <c r="O109" i="6"/>
  <c r="O110" i="6"/>
  <c r="O111" i="6"/>
  <c r="O112" i="6"/>
  <c r="O88" i="6"/>
  <c r="N89" i="6"/>
  <c r="N91" i="6"/>
  <c r="N92" i="6"/>
  <c r="N93" i="6"/>
  <c r="N94" i="6"/>
  <c r="N95" i="6"/>
  <c r="N96" i="6"/>
  <c r="N97" i="6"/>
  <c r="N99" i="6"/>
  <c r="N100" i="6"/>
  <c r="N101" i="6"/>
  <c r="N102" i="6"/>
  <c r="N103" i="6"/>
  <c r="N104" i="6"/>
  <c r="N105" i="6"/>
  <c r="N107" i="6"/>
  <c r="N108" i="6"/>
  <c r="N109" i="6"/>
  <c r="N110" i="6"/>
  <c r="N111" i="6"/>
  <c r="N112" i="6"/>
  <c r="N88" i="6"/>
  <c r="N35" i="40"/>
  <c r="N36" i="40"/>
  <c r="N37" i="40"/>
  <c r="N38" i="40"/>
  <c r="N39" i="40"/>
  <c r="N40" i="40"/>
  <c r="N41" i="40"/>
  <c r="N48" i="40"/>
  <c r="N49" i="40"/>
  <c r="N50" i="40"/>
  <c r="N51" i="40"/>
  <c r="N52" i="40"/>
  <c r="N53" i="40"/>
  <c r="N54" i="40"/>
  <c r="N55" i="40"/>
  <c r="N56" i="40"/>
  <c r="N57" i="40"/>
  <c r="AN10" i="26"/>
  <c r="AD10" i="26" s="1"/>
  <c r="AN18" i="26"/>
  <c r="AD18" i="26" s="1"/>
  <c r="AN26" i="26"/>
  <c r="AD26" i="26" s="1"/>
  <c r="AN34" i="26"/>
  <c r="AD34" i="26" s="1"/>
  <c r="AN42" i="26"/>
  <c r="AD42" i="26" s="1"/>
  <c r="AN50" i="26"/>
  <c r="AD50" i="26" s="1"/>
  <c r="AN58" i="26"/>
  <c r="AD58" i="26" s="1"/>
  <c r="AN66" i="26"/>
  <c r="AD66" i="26" s="1"/>
  <c r="AN74" i="26"/>
  <c r="AD74" i="26" s="1"/>
  <c r="AN82" i="26"/>
  <c r="AD82" i="26" s="1"/>
  <c r="AN11" i="26"/>
  <c r="AD11" i="26" s="1"/>
  <c r="AN19" i="26"/>
  <c r="AD19" i="26" s="1"/>
  <c r="AN27" i="26"/>
  <c r="AD27" i="26" s="1"/>
  <c r="AN35" i="26"/>
  <c r="AD35" i="26" s="1"/>
  <c r="AN43" i="26"/>
  <c r="AD43" i="26" s="1"/>
  <c r="AN51" i="26"/>
  <c r="AD51" i="26" s="1"/>
  <c r="AN59" i="26"/>
  <c r="AD59" i="26" s="1"/>
  <c r="AN67" i="26"/>
  <c r="AD67" i="26" s="1"/>
  <c r="AN75" i="26"/>
  <c r="AD75" i="26" s="1"/>
  <c r="AN83" i="26"/>
  <c r="AD83" i="26" s="1"/>
  <c r="AN86" i="26"/>
  <c r="AD86" i="26" s="1"/>
  <c r="AN15" i="26"/>
  <c r="AD15" i="26" s="1"/>
  <c r="AN39" i="26"/>
  <c r="AD39" i="26" s="1"/>
  <c r="AN63" i="26"/>
  <c r="AD63" i="26" s="1"/>
  <c r="AN16" i="26"/>
  <c r="AD16" i="26" s="1"/>
  <c r="AN40" i="26"/>
  <c r="AD40" i="26" s="1"/>
  <c r="AN48" i="26"/>
  <c r="AD48" i="26" s="1"/>
  <c r="AN64" i="26"/>
  <c r="AD64" i="26" s="1"/>
  <c r="AN9" i="26"/>
  <c r="AD9" i="26" s="1"/>
  <c r="AN33" i="26"/>
  <c r="AD33" i="26" s="1"/>
  <c r="AN49" i="26"/>
  <c r="AD49" i="26" s="1"/>
  <c r="AN65" i="26"/>
  <c r="AD65" i="26" s="1"/>
  <c r="AN81" i="26"/>
  <c r="AD81" i="26" s="1"/>
  <c r="AN12" i="26"/>
  <c r="AD12" i="26" s="1"/>
  <c r="AN20" i="26"/>
  <c r="AD20" i="26" s="1"/>
  <c r="AN28" i="26"/>
  <c r="AD28" i="26" s="1"/>
  <c r="AN36" i="26"/>
  <c r="AD36" i="26" s="1"/>
  <c r="AN44" i="26"/>
  <c r="AD44" i="26" s="1"/>
  <c r="AN52" i="26"/>
  <c r="AD52" i="26" s="1"/>
  <c r="AN60" i="26"/>
  <c r="AD60" i="26" s="1"/>
  <c r="AN68" i="26"/>
  <c r="AD68" i="26" s="1"/>
  <c r="AN76" i="26"/>
  <c r="AD76" i="26" s="1"/>
  <c r="AN84" i="26"/>
  <c r="AD84" i="26" s="1"/>
  <c r="AN23" i="26"/>
  <c r="AD23" i="26" s="1"/>
  <c r="AN55" i="26"/>
  <c r="AD55" i="26" s="1"/>
  <c r="AN79" i="26"/>
  <c r="AD79" i="26" s="1"/>
  <c r="AN32" i="26"/>
  <c r="AD32" i="26" s="1"/>
  <c r="AN72" i="26"/>
  <c r="AD72" i="26" s="1"/>
  <c r="AN17" i="26"/>
  <c r="AD17" i="26" s="1"/>
  <c r="AN41" i="26"/>
  <c r="AD41" i="26" s="1"/>
  <c r="AN73" i="26"/>
  <c r="AD73" i="26" s="1"/>
  <c r="AN13" i="26"/>
  <c r="AD13" i="26" s="1"/>
  <c r="AN21" i="26"/>
  <c r="AD21" i="26" s="1"/>
  <c r="AN29" i="26"/>
  <c r="AD29" i="26" s="1"/>
  <c r="AN37" i="26"/>
  <c r="AD37" i="26" s="1"/>
  <c r="AN45" i="26"/>
  <c r="AD45" i="26" s="1"/>
  <c r="AN53" i="26"/>
  <c r="AD53" i="26" s="1"/>
  <c r="AN61" i="26"/>
  <c r="AD61" i="26" s="1"/>
  <c r="AN69" i="26"/>
  <c r="AD69" i="26" s="1"/>
  <c r="AN77" i="26"/>
  <c r="AD77" i="26" s="1"/>
  <c r="AN85" i="26"/>
  <c r="AD85" i="26" s="1"/>
  <c r="AN14" i="26"/>
  <c r="AD14" i="26" s="1"/>
  <c r="AN22" i="26"/>
  <c r="AD22" i="26" s="1"/>
  <c r="AN30" i="26"/>
  <c r="AD30" i="26" s="1"/>
  <c r="AN38" i="26"/>
  <c r="AD38" i="26" s="1"/>
  <c r="AN46" i="26"/>
  <c r="AD46" i="26" s="1"/>
  <c r="AN54" i="26"/>
  <c r="AD54" i="26" s="1"/>
  <c r="AN62" i="26"/>
  <c r="AD62" i="26" s="1"/>
  <c r="AN70" i="26"/>
  <c r="AD70" i="26" s="1"/>
  <c r="AN78" i="26"/>
  <c r="AD78" i="26" s="1"/>
  <c r="AN31" i="26"/>
  <c r="AD31" i="26" s="1"/>
  <c r="AN47" i="26"/>
  <c r="AD47" i="26" s="1"/>
  <c r="AN71" i="26"/>
  <c r="AD71" i="26" s="1"/>
  <c r="AN24" i="26"/>
  <c r="AD24" i="26" s="1"/>
  <c r="AN56" i="26"/>
  <c r="AD56" i="26" s="1"/>
  <c r="AN80" i="26"/>
  <c r="AD80" i="26" s="1"/>
  <c r="AN25" i="26"/>
  <c r="AD25" i="26" s="1"/>
  <c r="AN57" i="26"/>
  <c r="AD57" i="26" s="1"/>
  <c r="AN8" i="26"/>
  <c r="AD8" i="26" s="1"/>
  <c r="AL9" i="26"/>
  <c r="Z9" i="26" s="1"/>
  <c r="AL17" i="26"/>
  <c r="Z17" i="26" s="1"/>
  <c r="AL25" i="26"/>
  <c r="Z25" i="26" s="1"/>
  <c r="AL33" i="26"/>
  <c r="Z33" i="26" s="1"/>
  <c r="AL41" i="26"/>
  <c r="Z41" i="26" s="1"/>
  <c r="AL49" i="26"/>
  <c r="Z49" i="26" s="1"/>
  <c r="AL57" i="26"/>
  <c r="Z57" i="26" s="1"/>
  <c r="AL65" i="26"/>
  <c r="Z65" i="26" s="1"/>
  <c r="AL73" i="26"/>
  <c r="Z73" i="26" s="1"/>
  <c r="AL81" i="26"/>
  <c r="Z81" i="26" s="1"/>
  <c r="AL34" i="26"/>
  <c r="Z34" i="26" s="1"/>
  <c r="AL58" i="26"/>
  <c r="Z58" i="26" s="1"/>
  <c r="AL74" i="26"/>
  <c r="Z74" i="26" s="1"/>
  <c r="AL82" i="26"/>
  <c r="Z82" i="26" s="1"/>
  <c r="AL10" i="26"/>
  <c r="Z10" i="26" s="1"/>
  <c r="AL18" i="26"/>
  <c r="Z18" i="26" s="1"/>
  <c r="AL26" i="26"/>
  <c r="Z26" i="26" s="1"/>
  <c r="AL42" i="26"/>
  <c r="Z42" i="26" s="1"/>
  <c r="AL50" i="26"/>
  <c r="Z50" i="26" s="1"/>
  <c r="AL66" i="26"/>
  <c r="Z66" i="26" s="1"/>
  <c r="AL83" i="26"/>
  <c r="Z83" i="26" s="1"/>
  <c r="AL11" i="26"/>
  <c r="Z11" i="26" s="1"/>
  <c r="AL19" i="26"/>
  <c r="Z19" i="26" s="1"/>
  <c r="AL27" i="26"/>
  <c r="Z27" i="26" s="1"/>
  <c r="AL35" i="26"/>
  <c r="Z35" i="26" s="1"/>
  <c r="AL43" i="26"/>
  <c r="Z43" i="26" s="1"/>
  <c r="AL51" i="26"/>
  <c r="Z51" i="26" s="1"/>
  <c r="AL59" i="26"/>
  <c r="Z59" i="26" s="1"/>
  <c r="AL67" i="26"/>
  <c r="Z67" i="26" s="1"/>
  <c r="AL75" i="26"/>
  <c r="Z75" i="26" s="1"/>
  <c r="AL12" i="26"/>
  <c r="Z12" i="26" s="1"/>
  <c r="AL20" i="26"/>
  <c r="Z20" i="26" s="1"/>
  <c r="AL28" i="26"/>
  <c r="Z28" i="26" s="1"/>
  <c r="AL36" i="26"/>
  <c r="Z36" i="26" s="1"/>
  <c r="AL44" i="26"/>
  <c r="Z44" i="26" s="1"/>
  <c r="AL52" i="26"/>
  <c r="Z52" i="26" s="1"/>
  <c r="AL60" i="26"/>
  <c r="Z60" i="26" s="1"/>
  <c r="AL68" i="26"/>
  <c r="Z68" i="26" s="1"/>
  <c r="AL76" i="26"/>
  <c r="Z76" i="26" s="1"/>
  <c r="AL84" i="26"/>
  <c r="Z84" i="26" s="1"/>
  <c r="AL13" i="26"/>
  <c r="Z13" i="26" s="1"/>
  <c r="AL21" i="26"/>
  <c r="Z21" i="26" s="1"/>
  <c r="AL29" i="26"/>
  <c r="Z29" i="26" s="1"/>
  <c r="AL37" i="26"/>
  <c r="Z37" i="26" s="1"/>
  <c r="AL45" i="26"/>
  <c r="Z45" i="26" s="1"/>
  <c r="AL53" i="26"/>
  <c r="Z53" i="26" s="1"/>
  <c r="AL61" i="26"/>
  <c r="Z61" i="26" s="1"/>
  <c r="AL69" i="26"/>
  <c r="Z69" i="26" s="1"/>
  <c r="AL77" i="26"/>
  <c r="Z77" i="26" s="1"/>
  <c r="AL85" i="26"/>
  <c r="Z85" i="26" s="1"/>
  <c r="AL14" i="26"/>
  <c r="Z14" i="26" s="1"/>
  <c r="AL22" i="26"/>
  <c r="Z22" i="26" s="1"/>
  <c r="AL30" i="26"/>
  <c r="Z30" i="26" s="1"/>
  <c r="AL38" i="26"/>
  <c r="Z38" i="26" s="1"/>
  <c r="AL46" i="26"/>
  <c r="Z46" i="26" s="1"/>
  <c r="AL54" i="26"/>
  <c r="Z54" i="26" s="1"/>
  <c r="AL62" i="26"/>
  <c r="Z62" i="26" s="1"/>
  <c r="AL70" i="26"/>
  <c r="Z70" i="26" s="1"/>
  <c r="AL78" i="26"/>
  <c r="Z78" i="26" s="1"/>
  <c r="AL86" i="26"/>
  <c r="Z86" i="26" s="1"/>
  <c r="AL15" i="26"/>
  <c r="Z15" i="26" s="1"/>
  <c r="AL23" i="26"/>
  <c r="Z23" i="26" s="1"/>
  <c r="AL31" i="26"/>
  <c r="Z31" i="26" s="1"/>
  <c r="AL39" i="26"/>
  <c r="Z39" i="26" s="1"/>
  <c r="AL47" i="26"/>
  <c r="Z47" i="26" s="1"/>
  <c r="AL55" i="26"/>
  <c r="Z55" i="26" s="1"/>
  <c r="AL63" i="26"/>
  <c r="Z63" i="26" s="1"/>
  <c r="AL71" i="26"/>
  <c r="Z71" i="26" s="1"/>
  <c r="AL79" i="26"/>
  <c r="Z79" i="26" s="1"/>
  <c r="AL16" i="26"/>
  <c r="Z16" i="26" s="1"/>
  <c r="AL24" i="26"/>
  <c r="Z24" i="26" s="1"/>
  <c r="AL32" i="26"/>
  <c r="Z32" i="26" s="1"/>
  <c r="AL40" i="26"/>
  <c r="Z40" i="26" s="1"/>
  <c r="AL48" i="26"/>
  <c r="Z48" i="26" s="1"/>
  <c r="AL56" i="26"/>
  <c r="Z56" i="26" s="1"/>
  <c r="AL64" i="26"/>
  <c r="Z64" i="26" s="1"/>
  <c r="AL72" i="26"/>
  <c r="Z72" i="26" s="1"/>
  <c r="AL80" i="26"/>
  <c r="Z80" i="26" s="1"/>
  <c r="AL8" i="26"/>
  <c r="Z8" i="26" s="1"/>
  <c r="AJ10" i="26"/>
  <c r="V10" i="26" s="1"/>
  <c r="AJ18" i="26"/>
  <c r="V18" i="26" s="1"/>
  <c r="AJ26" i="26"/>
  <c r="V26" i="26" s="1"/>
  <c r="AJ34" i="26"/>
  <c r="V34" i="26" s="1"/>
  <c r="AJ42" i="26"/>
  <c r="V42" i="26" s="1"/>
  <c r="AJ50" i="26"/>
  <c r="V50" i="26" s="1"/>
  <c r="AJ58" i="26"/>
  <c r="V58" i="26" s="1"/>
  <c r="AJ66" i="26"/>
  <c r="V66" i="26" s="1"/>
  <c r="AJ74" i="26"/>
  <c r="V74" i="26" s="1"/>
  <c r="AJ82" i="26"/>
  <c r="V82" i="26" s="1"/>
  <c r="AJ62" i="26"/>
  <c r="V62" i="26" s="1"/>
  <c r="AJ15" i="26"/>
  <c r="V15" i="26" s="1"/>
  <c r="AJ47" i="26"/>
  <c r="V47" i="26" s="1"/>
  <c r="AJ79" i="26"/>
  <c r="V79" i="26" s="1"/>
  <c r="AJ32" i="26"/>
  <c r="V32" i="26" s="1"/>
  <c r="AJ64" i="26"/>
  <c r="V64" i="26" s="1"/>
  <c r="AJ9" i="26"/>
  <c r="V9" i="26" s="1"/>
  <c r="AJ49" i="26"/>
  <c r="V49" i="26" s="1"/>
  <c r="AJ81" i="26"/>
  <c r="V81" i="26" s="1"/>
  <c r="AJ11" i="26"/>
  <c r="V11" i="26" s="1"/>
  <c r="AJ19" i="26"/>
  <c r="V19" i="26" s="1"/>
  <c r="AJ27" i="26"/>
  <c r="V27" i="26" s="1"/>
  <c r="AJ35" i="26"/>
  <c r="V35" i="26" s="1"/>
  <c r="AJ43" i="26"/>
  <c r="V43" i="26" s="1"/>
  <c r="AJ51" i="26"/>
  <c r="V51" i="26" s="1"/>
  <c r="AJ59" i="26"/>
  <c r="V59" i="26" s="1"/>
  <c r="AJ67" i="26"/>
  <c r="V67" i="26" s="1"/>
  <c r="AJ75" i="26"/>
  <c r="V75" i="26" s="1"/>
  <c r="AJ83" i="26"/>
  <c r="V83" i="26" s="1"/>
  <c r="AJ54" i="26"/>
  <c r="V54" i="26" s="1"/>
  <c r="AJ86" i="26"/>
  <c r="V86" i="26" s="1"/>
  <c r="AJ23" i="26"/>
  <c r="V23" i="26" s="1"/>
  <c r="AJ55" i="26"/>
  <c r="V55" i="26" s="1"/>
  <c r="AJ16" i="26"/>
  <c r="V16" i="26" s="1"/>
  <c r="AJ48" i="26"/>
  <c r="V48" i="26" s="1"/>
  <c r="AJ72" i="26"/>
  <c r="V72" i="26" s="1"/>
  <c r="AJ25" i="26"/>
  <c r="V25" i="26" s="1"/>
  <c r="AJ57" i="26"/>
  <c r="V57" i="26" s="1"/>
  <c r="AJ12" i="26"/>
  <c r="V12" i="26" s="1"/>
  <c r="AJ20" i="26"/>
  <c r="V20" i="26" s="1"/>
  <c r="AJ28" i="26"/>
  <c r="V28" i="26" s="1"/>
  <c r="AJ36" i="26"/>
  <c r="V36" i="26" s="1"/>
  <c r="AJ44" i="26"/>
  <c r="V44" i="26" s="1"/>
  <c r="AJ52" i="26"/>
  <c r="V52" i="26" s="1"/>
  <c r="AJ60" i="26"/>
  <c r="V60" i="26" s="1"/>
  <c r="AJ68" i="26"/>
  <c r="V68" i="26" s="1"/>
  <c r="AJ76" i="26"/>
  <c r="V76" i="26" s="1"/>
  <c r="AJ84" i="26"/>
  <c r="V84" i="26" s="1"/>
  <c r="AJ14" i="26"/>
  <c r="V14" i="26" s="1"/>
  <c r="AJ30" i="26"/>
  <c r="V30" i="26" s="1"/>
  <c r="AJ38" i="26"/>
  <c r="V38" i="26" s="1"/>
  <c r="AJ70" i="26"/>
  <c r="V70" i="26" s="1"/>
  <c r="AJ31" i="26"/>
  <c r="V31" i="26" s="1"/>
  <c r="AJ71" i="26"/>
  <c r="V71" i="26" s="1"/>
  <c r="AJ40" i="26"/>
  <c r="V40" i="26" s="1"/>
  <c r="AJ80" i="26"/>
  <c r="V80" i="26" s="1"/>
  <c r="AJ33" i="26"/>
  <c r="V33" i="26" s="1"/>
  <c r="AJ65" i="26"/>
  <c r="V65" i="26" s="1"/>
  <c r="AJ13" i="26"/>
  <c r="V13" i="26" s="1"/>
  <c r="AJ21" i="26"/>
  <c r="V21" i="26" s="1"/>
  <c r="AJ29" i="26"/>
  <c r="V29" i="26" s="1"/>
  <c r="AJ37" i="26"/>
  <c r="V37" i="26" s="1"/>
  <c r="AJ45" i="26"/>
  <c r="V45" i="26" s="1"/>
  <c r="AJ53" i="26"/>
  <c r="V53" i="26" s="1"/>
  <c r="AJ61" i="26"/>
  <c r="V61" i="26" s="1"/>
  <c r="AJ69" i="26"/>
  <c r="V69" i="26" s="1"/>
  <c r="AJ77" i="26"/>
  <c r="V77" i="26" s="1"/>
  <c r="AJ85" i="26"/>
  <c r="V85" i="26" s="1"/>
  <c r="AJ22" i="26"/>
  <c r="V22" i="26" s="1"/>
  <c r="AJ46" i="26"/>
  <c r="V46" i="26" s="1"/>
  <c r="AJ78" i="26"/>
  <c r="V78" i="26" s="1"/>
  <c r="AJ39" i="26"/>
  <c r="V39" i="26" s="1"/>
  <c r="AJ63" i="26"/>
  <c r="V63" i="26" s="1"/>
  <c r="AJ24" i="26"/>
  <c r="V24" i="26" s="1"/>
  <c r="AJ56" i="26"/>
  <c r="V56" i="26" s="1"/>
  <c r="AJ17" i="26"/>
  <c r="V17" i="26" s="1"/>
  <c r="AJ41" i="26"/>
  <c r="V41" i="26" s="1"/>
  <c r="AJ73" i="26"/>
  <c r="V73" i="26" s="1"/>
  <c r="AJ8" i="26"/>
  <c r="V8" i="26" s="1"/>
  <c r="N8" i="26" l="1"/>
  <c r="N73" i="26"/>
  <c r="N41" i="26"/>
  <c r="N17" i="26"/>
  <c r="N56" i="26"/>
  <c r="N24" i="26"/>
  <c r="N63" i="26"/>
  <c r="N39" i="26"/>
  <c r="N78" i="26"/>
  <c r="N46" i="26"/>
  <c r="N22" i="26"/>
  <c r="N85" i="26"/>
  <c r="N77" i="26"/>
  <c r="N69" i="26"/>
  <c r="N61" i="26"/>
  <c r="N53" i="26"/>
  <c r="N45" i="26"/>
  <c r="N37" i="26"/>
  <c r="N29" i="26"/>
  <c r="N21" i="26"/>
  <c r="N13" i="26"/>
  <c r="N65" i="26"/>
  <c r="N33" i="26"/>
  <c r="N80" i="26"/>
  <c r="N40" i="26"/>
  <c r="N71" i="26"/>
  <c r="N31" i="26"/>
  <c r="N70" i="26"/>
  <c r="N38" i="26"/>
  <c r="N30" i="26"/>
  <c r="N14" i="26"/>
  <c r="N84" i="26"/>
  <c r="N76" i="26"/>
  <c r="N68" i="26"/>
  <c r="N60" i="26"/>
  <c r="N52" i="26"/>
  <c r="N44" i="26"/>
  <c r="N36" i="26"/>
  <c r="N28" i="26"/>
  <c r="N20" i="26"/>
  <c r="N12" i="26"/>
  <c r="N57" i="26"/>
  <c r="N25" i="26"/>
  <c r="N72" i="26"/>
  <c r="N48" i="26"/>
  <c r="N16" i="26"/>
  <c r="N55" i="26"/>
  <c r="N23" i="26"/>
  <c r="N86" i="26"/>
  <c r="N54" i="26"/>
  <c r="N83" i="26"/>
  <c r="N75" i="26"/>
  <c r="N67" i="26"/>
  <c r="N59" i="26"/>
  <c r="N51" i="26"/>
  <c r="N43" i="26"/>
  <c r="N35" i="26"/>
  <c r="N27" i="26"/>
  <c r="N19" i="26"/>
  <c r="N11" i="26"/>
  <c r="N81" i="26"/>
  <c r="N49" i="26"/>
  <c r="N9" i="26"/>
  <c r="N64" i="26"/>
  <c r="N32" i="26"/>
  <c r="N79" i="26"/>
  <c r="N47" i="26"/>
  <c r="N15" i="26"/>
  <c r="N62" i="26"/>
  <c r="N82" i="26"/>
  <c r="N74" i="26"/>
  <c r="N66" i="26"/>
  <c r="N58" i="26"/>
  <c r="N50" i="26"/>
  <c r="N42" i="26"/>
  <c r="N34" i="26"/>
  <c r="N26" i="26"/>
  <c r="N18" i="26"/>
  <c r="N10" i="26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N40" i="44"/>
  <c r="N41" i="44"/>
  <c r="N42" i="44"/>
  <c r="N43" i="44"/>
  <c r="N44" i="44"/>
  <c r="N45" i="44"/>
  <c r="N46" i="44"/>
  <c r="N47" i="44"/>
  <c r="N48" i="44"/>
  <c r="N49" i="44"/>
  <c r="N50" i="44"/>
  <c r="N51" i="44"/>
  <c r="N52" i="44"/>
  <c r="N53" i="44"/>
  <c r="N54" i="44"/>
  <c r="N55" i="44"/>
  <c r="N56" i="44"/>
  <c r="N57" i="44"/>
  <c r="N58" i="44"/>
  <c r="N59" i="44"/>
  <c r="N60" i="44"/>
  <c r="N61" i="44"/>
  <c r="N62" i="44"/>
  <c r="N63" i="44"/>
  <c r="N64" i="44"/>
  <c r="N65" i="44"/>
  <c r="N8" i="44"/>
  <c r="R9" i="43"/>
  <c r="R10" i="43"/>
  <c r="R11" i="43"/>
  <c r="R12" i="43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R30" i="43"/>
  <c r="R31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48" i="43"/>
  <c r="N48" i="43" s="1"/>
  <c r="R49" i="43"/>
  <c r="R50" i="43"/>
  <c r="R51" i="43"/>
  <c r="R52" i="43"/>
  <c r="R53" i="43"/>
  <c r="N53" i="43" s="1"/>
  <c r="R54" i="43"/>
  <c r="N54" i="43" s="1"/>
  <c r="R55" i="43"/>
  <c r="R56" i="43"/>
  <c r="N56" i="43" s="1"/>
  <c r="R57" i="43"/>
  <c r="R58" i="43"/>
  <c r="R59" i="43"/>
  <c r="R60" i="43"/>
  <c r="R61" i="43"/>
  <c r="R62" i="43"/>
  <c r="R63" i="43"/>
  <c r="R64" i="43"/>
  <c r="R65" i="43"/>
  <c r="N8" i="43"/>
  <c r="N9" i="43"/>
  <c r="N10" i="43"/>
  <c r="N49" i="43"/>
  <c r="N50" i="43"/>
  <c r="N52" i="43"/>
  <c r="N55" i="43"/>
  <c r="N57" i="43"/>
  <c r="Q9" i="43"/>
  <c r="Q10" i="43"/>
  <c r="Q11" i="43"/>
  <c r="Q12" i="43"/>
  <c r="Q13" i="43"/>
  <c r="Q14" i="43"/>
  <c r="Q15" i="43"/>
  <c r="Q16" i="43"/>
  <c r="Q17" i="43"/>
  <c r="Q18" i="43"/>
  <c r="Q19" i="43"/>
  <c r="Q20" i="43"/>
  <c r="Q21" i="43"/>
  <c r="Q22" i="43"/>
  <c r="Q23" i="43"/>
  <c r="Q24" i="43"/>
  <c r="Q25" i="43"/>
  <c r="Q26" i="43"/>
  <c r="Q27" i="43"/>
  <c r="Q28" i="43"/>
  <c r="Q29" i="43"/>
  <c r="Q30" i="43"/>
  <c r="Q31" i="43"/>
  <c r="Q32" i="43"/>
  <c r="Q33" i="43"/>
  <c r="Q34" i="43"/>
  <c r="Q35" i="43"/>
  <c r="Q36" i="43"/>
  <c r="Q37" i="43"/>
  <c r="Q38" i="43"/>
  <c r="Q39" i="43"/>
  <c r="Q40" i="43"/>
  <c r="Q41" i="43"/>
  <c r="Q42" i="43"/>
  <c r="Q43" i="43"/>
  <c r="Q44" i="43"/>
  <c r="Q45" i="43"/>
  <c r="Q46" i="43"/>
  <c r="Q47" i="43"/>
  <c r="Q48" i="43"/>
  <c r="Q49" i="43"/>
  <c r="Q50" i="43"/>
  <c r="Q51" i="43"/>
  <c r="Q52" i="43"/>
  <c r="Q53" i="43"/>
  <c r="Q54" i="43"/>
  <c r="Q55" i="43"/>
  <c r="Q56" i="43"/>
  <c r="Q57" i="43"/>
  <c r="Q58" i="43"/>
  <c r="Q59" i="43"/>
  <c r="Q60" i="43"/>
  <c r="Q61" i="43"/>
  <c r="Q62" i="43"/>
  <c r="Q63" i="43"/>
  <c r="Q64" i="43"/>
  <c r="Q65" i="43"/>
  <c r="Q8" i="43"/>
  <c r="R8" i="43"/>
  <c r="O9" i="43"/>
  <c r="P9" i="43" s="1"/>
  <c r="O10" i="43"/>
  <c r="P10" i="43" s="1"/>
  <c r="O11" i="43"/>
  <c r="P11" i="43" s="1"/>
  <c r="O12" i="43"/>
  <c r="P12" i="43" s="1"/>
  <c r="O13" i="43"/>
  <c r="P13" i="43" s="1"/>
  <c r="O14" i="43"/>
  <c r="O8" i="43"/>
  <c r="P8" i="43" s="1"/>
  <c r="O31" i="43"/>
  <c r="P31" i="43" s="1"/>
  <c r="O45" i="43"/>
  <c r="P45" i="43" s="1"/>
  <c r="O46" i="43"/>
  <c r="P46" i="43" s="1"/>
  <c r="O47" i="43"/>
  <c r="P47" i="43" s="1"/>
  <c r="O48" i="43"/>
  <c r="P48" i="43" s="1"/>
  <c r="O49" i="43"/>
  <c r="P49" i="43" s="1"/>
  <c r="O50" i="43"/>
  <c r="P50" i="43" s="1"/>
  <c r="O51" i="43"/>
  <c r="P51" i="43" s="1"/>
  <c r="O52" i="43"/>
  <c r="P52" i="43" s="1"/>
  <c r="O53" i="43"/>
  <c r="P53" i="43" s="1"/>
  <c r="O54" i="43"/>
  <c r="P54" i="43" s="1"/>
  <c r="O55" i="43"/>
  <c r="P55" i="43" s="1"/>
  <c r="O56" i="43"/>
  <c r="P56" i="43" s="1"/>
  <c r="O57" i="43"/>
  <c r="P57" i="43" s="1"/>
  <c r="O58" i="43"/>
  <c r="P58" i="43" s="1"/>
  <c r="O59" i="43"/>
  <c r="P59" i="43" s="1"/>
  <c r="O60" i="43"/>
  <c r="P60" i="43" s="1"/>
  <c r="O61" i="43"/>
  <c r="P61" i="43" s="1"/>
  <c r="O62" i="43"/>
  <c r="P62" i="43" s="1"/>
  <c r="O63" i="43"/>
  <c r="P63" i="43" s="1"/>
  <c r="O64" i="43"/>
  <c r="P64" i="43" s="1"/>
  <c r="O65" i="43"/>
  <c r="P65" i="43" s="1"/>
  <c r="O15" i="43"/>
  <c r="P15" i="43" s="1"/>
  <c r="O16" i="43"/>
  <c r="P16" i="43" s="1"/>
  <c r="O17" i="43"/>
  <c r="P17" i="43" s="1"/>
  <c r="O18" i="43"/>
  <c r="P18" i="43" s="1"/>
  <c r="O19" i="43"/>
  <c r="P19" i="43" s="1"/>
  <c r="O20" i="43"/>
  <c r="P20" i="43" s="1"/>
  <c r="O21" i="43"/>
  <c r="P21" i="43" s="1"/>
  <c r="O22" i="43"/>
  <c r="P22" i="43" s="1"/>
  <c r="O23" i="43"/>
  <c r="O24" i="43"/>
  <c r="P24" i="43" s="1"/>
  <c r="O25" i="43"/>
  <c r="P25" i="43" s="1"/>
  <c r="O26" i="43"/>
  <c r="O27" i="43"/>
  <c r="O28" i="43"/>
  <c r="P28" i="43" s="1"/>
  <c r="O29" i="43"/>
  <c r="P29" i="43" s="1"/>
  <c r="O30" i="43"/>
  <c r="P30" i="43" s="1"/>
  <c r="O32" i="43"/>
  <c r="P32" i="43" s="1"/>
  <c r="O33" i="43"/>
  <c r="P33" i="43" s="1"/>
  <c r="O34" i="43"/>
  <c r="P34" i="43" s="1"/>
  <c r="O35" i="43"/>
  <c r="P35" i="43" s="1"/>
  <c r="O36" i="43"/>
  <c r="P36" i="43" s="1"/>
  <c r="O37" i="43"/>
  <c r="P37" i="43" s="1"/>
  <c r="O38" i="43"/>
  <c r="P38" i="43" s="1"/>
  <c r="O39" i="43"/>
  <c r="P39" i="43" s="1"/>
  <c r="O40" i="43"/>
  <c r="P40" i="43" s="1"/>
  <c r="O41" i="43"/>
  <c r="P41" i="43" s="1"/>
  <c r="O42" i="43"/>
  <c r="P42" i="43" s="1"/>
  <c r="O43" i="43"/>
  <c r="O44" i="43"/>
  <c r="P44" i="43" s="1"/>
  <c r="P43" i="43" l="1"/>
  <c r="P27" i="43"/>
  <c r="P23" i="43"/>
  <c r="P14" i="43"/>
  <c r="P26" i="43"/>
  <c r="O12" i="40"/>
  <c r="P12" i="40" s="1"/>
  <c r="Q12" i="40" s="1"/>
  <c r="M9" i="40"/>
  <c r="M10" i="40"/>
  <c r="M11" i="40"/>
  <c r="M12" i="40"/>
  <c r="M13" i="40"/>
  <c r="O13" i="40" s="1"/>
  <c r="P13" i="40" s="1"/>
  <c r="M14" i="40"/>
  <c r="M15" i="40"/>
  <c r="M16" i="40"/>
  <c r="M17" i="40"/>
  <c r="M18" i="40"/>
  <c r="M19" i="40"/>
  <c r="M20" i="40"/>
  <c r="M21" i="40"/>
  <c r="M22" i="40"/>
  <c r="M23" i="40"/>
  <c r="M24" i="40"/>
  <c r="M25" i="40"/>
  <c r="M26" i="40"/>
  <c r="M27" i="40"/>
  <c r="M28" i="40"/>
  <c r="M29" i="40"/>
  <c r="M30" i="40"/>
  <c r="M31" i="40"/>
  <c r="M32" i="40"/>
  <c r="M33" i="40"/>
  <c r="O33" i="40" s="1"/>
  <c r="P33" i="40" s="1"/>
  <c r="Q33" i="40" s="1"/>
  <c r="M34" i="40"/>
  <c r="M35" i="40"/>
  <c r="M36" i="40"/>
  <c r="M37" i="40"/>
  <c r="M38" i="40"/>
  <c r="M39" i="40"/>
  <c r="M40" i="40"/>
  <c r="M41" i="40"/>
  <c r="O41" i="40" s="1"/>
  <c r="P41" i="40" s="1"/>
  <c r="Q41" i="40" s="1"/>
  <c r="M42" i="40"/>
  <c r="M43" i="40"/>
  <c r="M44" i="40"/>
  <c r="M45" i="40"/>
  <c r="M46" i="40"/>
  <c r="M47" i="40"/>
  <c r="M48" i="40"/>
  <c r="M49" i="40"/>
  <c r="M50" i="40"/>
  <c r="M51" i="40"/>
  <c r="M52" i="40"/>
  <c r="M53" i="40"/>
  <c r="M54" i="40"/>
  <c r="M55" i="40"/>
  <c r="M56" i="40"/>
  <c r="M57" i="40"/>
  <c r="M58" i="40"/>
  <c r="M59" i="40"/>
  <c r="M60" i="40"/>
  <c r="M61" i="40"/>
  <c r="M62" i="40"/>
  <c r="M63" i="40"/>
  <c r="O63" i="40" s="1"/>
  <c r="P63" i="40" s="1"/>
  <c r="Q63" i="40" s="1"/>
  <c r="M64" i="40"/>
  <c r="O64" i="40" s="1"/>
  <c r="P64" i="40" s="1"/>
  <c r="Q64" i="40" s="1"/>
  <c r="R64" i="40" s="1"/>
  <c r="M65" i="40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8" i="40"/>
  <c r="O9" i="8"/>
  <c r="O10" i="8"/>
  <c r="O11" i="8"/>
  <c r="O12" i="8"/>
  <c r="O13" i="8"/>
  <c r="N13" i="8" s="1"/>
  <c r="O14" i="8"/>
  <c r="N14" i="8" s="1"/>
  <c r="O15" i="8"/>
  <c r="N15" i="8" s="1"/>
  <c r="O16" i="8"/>
  <c r="N16" i="8" s="1"/>
  <c r="O17" i="8"/>
  <c r="O18" i="8"/>
  <c r="O19" i="8"/>
  <c r="O20" i="8"/>
  <c r="O21" i="8"/>
  <c r="N21" i="8" s="1"/>
  <c r="O22" i="8"/>
  <c r="N22" i="8" s="1"/>
  <c r="O23" i="8"/>
  <c r="N23" i="8" s="1"/>
  <c r="O24" i="8"/>
  <c r="N24" i="8" s="1"/>
  <c r="O25" i="8"/>
  <c r="O26" i="8"/>
  <c r="O27" i="8"/>
  <c r="O28" i="8"/>
  <c r="O29" i="8"/>
  <c r="N29" i="8" s="1"/>
  <c r="O30" i="8"/>
  <c r="N30" i="8" s="1"/>
  <c r="O31" i="8"/>
  <c r="N31" i="8" s="1"/>
  <c r="O32" i="8"/>
  <c r="N32" i="8" s="1"/>
  <c r="O33" i="8"/>
  <c r="O34" i="8"/>
  <c r="O35" i="8"/>
  <c r="O36" i="8"/>
  <c r="O37" i="8"/>
  <c r="N37" i="8" s="1"/>
  <c r="O38" i="8"/>
  <c r="N38" i="8" s="1"/>
  <c r="O39" i="8"/>
  <c r="N39" i="8" s="1"/>
  <c r="O40" i="8"/>
  <c r="N40" i="8" s="1"/>
  <c r="O41" i="8"/>
  <c r="O42" i="8"/>
  <c r="O43" i="8"/>
  <c r="O44" i="8"/>
  <c r="O45" i="8"/>
  <c r="N45" i="8" s="1"/>
  <c r="O46" i="8"/>
  <c r="N46" i="8" s="1"/>
  <c r="O47" i="8"/>
  <c r="N47" i="8" s="1"/>
  <c r="O48" i="8"/>
  <c r="N48" i="8" s="1"/>
  <c r="O49" i="8"/>
  <c r="O50" i="8"/>
  <c r="O51" i="8"/>
  <c r="O52" i="8"/>
  <c r="O53" i="8"/>
  <c r="N53" i="8" s="1"/>
  <c r="O54" i="8"/>
  <c r="N54" i="8" s="1"/>
  <c r="O55" i="8"/>
  <c r="N55" i="8" s="1"/>
  <c r="O56" i="8"/>
  <c r="N56" i="8" s="1"/>
  <c r="O57" i="8"/>
  <c r="O58" i="8"/>
  <c r="O59" i="8"/>
  <c r="O60" i="8"/>
  <c r="O61" i="8"/>
  <c r="N61" i="8" s="1"/>
  <c r="O62" i="8"/>
  <c r="N62" i="8" s="1"/>
  <c r="O63" i="8"/>
  <c r="N63" i="8" s="1"/>
  <c r="O64" i="8"/>
  <c r="N64" i="8" s="1"/>
  <c r="O65" i="8"/>
  <c r="O66" i="8"/>
  <c r="O67" i="8"/>
  <c r="O68" i="8"/>
  <c r="O69" i="8"/>
  <c r="N69" i="8" s="1"/>
  <c r="O70" i="8"/>
  <c r="N70" i="8" s="1"/>
  <c r="O71" i="8"/>
  <c r="N71" i="8" s="1"/>
  <c r="O72" i="8"/>
  <c r="N72" i="8" s="1"/>
  <c r="O73" i="8"/>
  <c r="O74" i="8"/>
  <c r="O75" i="8"/>
  <c r="O76" i="8"/>
  <c r="O77" i="8"/>
  <c r="N77" i="8" s="1"/>
  <c r="O78" i="8"/>
  <c r="N78" i="8" s="1"/>
  <c r="O79" i="8"/>
  <c r="N79" i="8" s="1"/>
  <c r="O80" i="8"/>
  <c r="N80" i="8" s="1"/>
  <c r="O81" i="8"/>
  <c r="O82" i="8"/>
  <c r="O83" i="8"/>
  <c r="O84" i="8"/>
  <c r="O85" i="8"/>
  <c r="N85" i="8" s="1"/>
  <c r="O86" i="8"/>
  <c r="N86" i="8" s="1"/>
  <c r="O87" i="8"/>
  <c r="N87" i="8" s="1"/>
  <c r="O88" i="8"/>
  <c r="N88" i="8" s="1"/>
  <c r="O89" i="8"/>
  <c r="O90" i="8"/>
  <c r="O91" i="8"/>
  <c r="O92" i="8"/>
  <c r="O93" i="8"/>
  <c r="N93" i="8" s="1"/>
  <c r="O94" i="8"/>
  <c r="N94" i="8" s="1"/>
  <c r="O95" i="8"/>
  <c r="N95" i="8" s="1"/>
  <c r="O96" i="8"/>
  <c r="N96" i="8" s="1"/>
  <c r="O97" i="8"/>
  <c r="O98" i="8"/>
  <c r="O99" i="8"/>
  <c r="O100" i="8"/>
  <c r="O101" i="8"/>
  <c r="N101" i="8" s="1"/>
  <c r="O102" i="8"/>
  <c r="N102" i="8" s="1"/>
  <c r="O103" i="8"/>
  <c r="N103" i="8" s="1"/>
  <c r="O104" i="8"/>
  <c r="N104" i="8" s="1"/>
  <c r="O105" i="8"/>
  <c r="O106" i="8"/>
  <c r="O107" i="8"/>
  <c r="O108" i="8"/>
  <c r="O109" i="8"/>
  <c r="N109" i="8" s="1"/>
  <c r="O110" i="8"/>
  <c r="N110" i="8" s="1"/>
  <c r="O111" i="8"/>
  <c r="N111" i="8" s="1"/>
  <c r="O112" i="8"/>
  <c r="N112" i="8" s="1"/>
  <c r="O113" i="8"/>
  <c r="O114" i="8"/>
  <c r="O115" i="8"/>
  <c r="O116" i="8"/>
  <c r="O117" i="8"/>
  <c r="N117" i="8" s="1"/>
  <c r="O8" i="8"/>
  <c r="N9" i="8"/>
  <c r="N10" i="8"/>
  <c r="N11" i="8"/>
  <c r="N12" i="8"/>
  <c r="N17" i="8"/>
  <c r="N18" i="8"/>
  <c r="N19" i="8"/>
  <c r="N20" i="8"/>
  <c r="N25" i="8"/>
  <c r="N26" i="8"/>
  <c r="N27" i="8"/>
  <c r="N28" i="8"/>
  <c r="N33" i="8"/>
  <c r="N34" i="8"/>
  <c r="N35" i="8"/>
  <c r="N36" i="8"/>
  <c r="N41" i="8"/>
  <c r="N42" i="8"/>
  <c r="N43" i="8"/>
  <c r="N44" i="8"/>
  <c r="N49" i="8"/>
  <c r="N50" i="8"/>
  <c r="N51" i="8"/>
  <c r="N52" i="8"/>
  <c r="N57" i="8"/>
  <c r="N58" i="8"/>
  <c r="N59" i="8"/>
  <c r="N60" i="8"/>
  <c r="N65" i="8"/>
  <c r="N66" i="8"/>
  <c r="N67" i="8"/>
  <c r="N68" i="8"/>
  <c r="N73" i="8"/>
  <c r="N74" i="8"/>
  <c r="N75" i="8"/>
  <c r="N76" i="8"/>
  <c r="N81" i="8"/>
  <c r="N82" i="8"/>
  <c r="N83" i="8"/>
  <c r="N84" i="8"/>
  <c r="N89" i="8"/>
  <c r="N90" i="8"/>
  <c r="N91" i="8"/>
  <c r="N92" i="8"/>
  <c r="N97" i="8"/>
  <c r="N98" i="8"/>
  <c r="N99" i="8"/>
  <c r="N100" i="8"/>
  <c r="N105" i="8"/>
  <c r="N106" i="8"/>
  <c r="N107" i="8"/>
  <c r="N108" i="8"/>
  <c r="N113" i="8"/>
  <c r="N114" i="8"/>
  <c r="N115" i="8"/>
  <c r="N116" i="8"/>
  <c r="N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8" i="8"/>
  <c r="P9" i="35"/>
  <c r="Q9" i="35"/>
  <c r="R9" i="35"/>
  <c r="S9" i="35"/>
  <c r="P10" i="35"/>
  <c r="Q10" i="35"/>
  <c r="R10" i="35"/>
  <c r="S10" i="35"/>
  <c r="P11" i="35"/>
  <c r="Q11" i="35"/>
  <c r="R11" i="35"/>
  <c r="S11" i="35"/>
  <c r="P12" i="35"/>
  <c r="Q12" i="35"/>
  <c r="R12" i="35"/>
  <c r="S12" i="35"/>
  <c r="P13" i="35"/>
  <c r="Q13" i="35"/>
  <c r="R13" i="35"/>
  <c r="S13" i="35"/>
  <c r="P14" i="35"/>
  <c r="Q14" i="35"/>
  <c r="R14" i="35"/>
  <c r="S14" i="35"/>
  <c r="O14" i="35" s="1"/>
  <c r="N14" i="35" s="1"/>
  <c r="P15" i="35"/>
  <c r="Q15" i="35"/>
  <c r="R15" i="35"/>
  <c r="S15" i="35"/>
  <c r="P16" i="35"/>
  <c r="Q16" i="35"/>
  <c r="R16" i="35"/>
  <c r="S16" i="35"/>
  <c r="O16" i="35" s="1"/>
  <c r="N16" i="35" s="1"/>
  <c r="P17" i="35"/>
  <c r="Q17" i="35"/>
  <c r="R17" i="35"/>
  <c r="S17" i="35"/>
  <c r="P18" i="35"/>
  <c r="Q18" i="35"/>
  <c r="R18" i="35"/>
  <c r="S18" i="35"/>
  <c r="O18" i="35" s="1"/>
  <c r="N18" i="35" s="1"/>
  <c r="P19" i="35"/>
  <c r="Q19" i="35"/>
  <c r="R19" i="35"/>
  <c r="S19" i="35"/>
  <c r="P20" i="35"/>
  <c r="Q20" i="35"/>
  <c r="R20" i="35"/>
  <c r="S20" i="35"/>
  <c r="P21" i="35"/>
  <c r="Q21" i="35"/>
  <c r="R21" i="35"/>
  <c r="S21" i="35"/>
  <c r="P22" i="35"/>
  <c r="Q22" i="35"/>
  <c r="R22" i="35"/>
  <c r="S22" i="35"/>
  <c r="O22" i="35" s="1"/>
  <c r="N22" i="35" s="1"/>
  <c r="P23" i="35"/>
  <c r="Q23" i="35"/>
  <c r="R23" i="35"/>
  <c r="S23" i="35"/>
  <c r="P24" i="35"/>
  <c r="Q24" i="35"/>
  <c r="R24" i="35"/>
  <c r="S24" i="35"/>
  <c r="O24" i="35" s="1"/>
  <c r="N24" i="35" s="1"/>
  <c r="P25" i="35"/>
  <c r="Q25" i="35"/>
  <c r="R25" i="35"/>
  <c r="S25" i="35"/>
  <c r="P26" i="35"/>
  <c r="Q26" i="35"/>
  <c r="R26" i="35"/>
  <c r="S26" i="35"/>
  <c r="O26" i="35" s="1"/>
  <c r="N26" i="35" s="1"/>
  <c r="P27" i="35"/>
  <c r="Q27" i="35"/>
  <c r="R27" i="35"/>
  <c r="S27" i="35"/>
  <c r="P28" i="35"/>
  <c r="Q28" i="35"/>
  <c r="R28" i="35"/>
  <c r="S28" i="35"/>
  <c r="P29" i="35"/>
  <c r="Q29" i="35"/>
  <c r="R29" i="35"/>
  <c r="S29" i="35"/>
  <c r="P30" i="35"/>
  <c r="Q30" i="35"/>
  <c r="R30" i="35"/>
  <c r="S30" i="35"/>
  <c r="O30" i="35" s="1"/>
  <c r="N30" i="35" s="1"/>
  <c r="P31" i="35"/>
  <c r="Q31" i="35"/>
  <c r="R31" i="35"/>
  <c r="S31" i="35"/>
  <c r="P32" i="35"/>
  <c r="Q32" i="35"/>
  <c r="R32" i="35"/>
  <c r="S32" i="35"/>
  <c r="O32" i="35" s="1"/>
  <c r="N32" i="35" s="1"/>
  <c r="P33" i="35"/>
  <c r="Q33" i="35"/>
  <c r="R33" i="35"/>
  <c r="S33" i="35"/>
  <c r="P34" i="35"/>
  <c r="Q34" i="35"/>
  <c r="R34" i="35"/>
  <c r="S34" i="35"/>
  <c r="O34" i="35" s="1"/>
  <c r="N34" i="35" s="1"/>
  <c r="P35" i="35"/>
  <c r="Q35" i="35"/>
  <c r="R35" i="35"/>
  <c r="S35" i="35"/>
  <c r="P36" i="35"/>
  <c r="Q36" i="35"/>
  <c r="R36" i="35"/>
  <c r="S36" i="35"/>
  <c r="P37" i="35"/>
  <c r="Q37" i="35"/>
  <c r="R37" i="35"/>
  <c r="S37" i="35"/>
  <c r="P38" i="35"/>
  <c r="Q38" i="35"/>
  <c r="R38" i="35"/>
  <c r="S38" i="35"/>
  <c r="O38" i="35" s="1"/>
  <c r="N38" i="35" s="1"/>
  <c r="P39" i="35"/>
  <c r="Q39" i="35"/>
  <c r="R39" i="35"/>
  <c r="S39" i="35"/>
  <c r="P40" i="35"/>
  <c r="Q40" i="35"/>
  <c r="R40" i="35"/>
  <c r="S40" i="35"/>
  <c r="O40" i="35" s="1"/>
  <c r="N40" i="35" s="1"/>
  <c r="P41" i="35"/>
  <c r="Q41" i="35"/>
  <c r="R41" i="35"/>
  <c r="S41" i="35"/>
  <c r="P42" i="35"/>
  <c r="Q42" i="35"/>
  <c r="R42" i="35"/>
  <c r="S42" i="35"/>
  <c r="O42" i="35" s="1"/>
  <c r="N42" i="35" s="1"/>
  <c r="P43" i="35"/>
  <c r="Q43" i="35"/>
  <c r="R43" i="35"/>
  <c r="S43" i="35"/>
  <c r="P44" i="35"/>
  <c r="Q44" i="35"/>
  <c r="R44" i="35"/>
  <c r="S44" i="35"/>
  <c r="O44" i="35" s="1"/>
  <c r="N44" i="35" s="1"/>
  <c r="P45" i="35"/>
  <c r="Q45" i="35"/>
  <c r="R45" i="35"/>
  <c r="S45" i="35"/>
  <c r="P46" i="35"/>
  <c r="Q46" i="35"/>
  <c r="R46" i="35"/>
  <c r="S46" i="35"/>
  <c r="O46" i="35" s="1"/>
  <c r="N46" i="35" s="1"/>
  <c r="P47" i="35"/>
  <c r="Q47" i="35"/>
  <c r="R47" i="35"/>
  <c r="S47" i="35"/>
  <c r="P48" i="35"/>
  <c r="Q48" i="35"/>
  <c r="R48" i="35"/>
  <c r="S48" i="35"/>
  <c r="O48" i="35" s="1"/>
  <c r="N48" i="35" s="1"/>
  <c r="P49" i="35"/>
  <c r="Q49" i="35"/>
  <c r="R49" i="35"/>
  <c r="S49" i="35"/>
  <c r="P50" i="35"/>
  <c r="Q50" i="35"/>
  <c r="R50" i="35"/>
  <c r="S50" i="35"/>
  <c r="O50" i="35" s="1"/>
  <c r="N50" i="35" s="1"/>
  <c r="P51" i="35"/>
  <c r="Q51" i="35"/>
  <c r="R51" i="35"/>
  <c r="S51" i="35"/>
  <c r="P52" i="35"/>
  <c r="Q52" i="35"/>
  <c r="R52" i="35"/>
  <c r="S52" i="35"/>
  <c r="O52" i="35" s="1"/>
  <c r="N52" i="35" s="1"/>
  <c r="P53" i="35"/>
  <c r="Q53" i="35"/>
  <c r="R53" i="35"/>
  <c r="S53" i="35"/>
  <c r="P54" i="35"/>
  <c r="Q54" i="35"/>
  <c r="O54" i="35" s="1"/>
  <c r="N54" i="35" s="1"/>
  <c r="R54" i="35"/>
  <c r="S54" i="35"/>
  <c r="P55" i="35"/>
  <c r="Q55" i="35"/>
  <c r="R55" i="35"/>
  <c r="S55" i="35"/>
  <c r="P56" i="35"/>
  <c r="Q56" i="35"/>
  <c r="R56" i="35"/>
  <c r="S56" i="35"/>
  <c r="P57" i="35"/>
  <c r="Q57" i="35"/>
  <c r="R57" i="35"/>
  <c r="S57" i="35"/>
  <c r="P58" i="35"/>
  <c r="Q58" i="35"/>
  <c r="R58" i="35"/>
  <c r="S58" i="35"/>
  <c r="P59" i="35"/>
  <c r="Q59" i="35"/>
  <c r="R59" i="35"/>
  <c r="S59" i="35"/>
  <c r="P60" i="35"/>
  <c r="Q60" i="35"/>
  <c r="O60" i="35" s="1"/>
  <c r="N60" i="35" s="1"/>
  <c r="R60" i="35"/>
  <c r="S60" i="35"/>
  <c r="P61" i="35"/>
  <c r="Q61" i="35"/>
  <c r="R61" i="35"/>
  <c r="S61" i="35"/>
  <c r="P62" i="35"/>
  <c r="Q62" i="35"/>
  <c r="O62" i="35" s="1"/>
  <c r="N62" i="35" s="1"/>
  <c r="R62" i="35"/>
  <c r="S62" i="35"/>
  <c r="P63" i="35"/>
  <c r="Q63" i="35"/>
  <c r="R63" i="35"/>
  <c r="S63" i="35"/>
  <c r="P64" i="35"/>
  <c r="Q64" i="35"/>
  <c r="R64" i="35"/>
  <c r="O64" i="35" s="1"/>
  <c r="N64" i="35" s="1"/>
  <c r="S64" i="35"/>
  <c r="P65" i="35"/>
  <c r="Q65" i="35"/>
  <c r="R65" i="35"/>
  <c r="S65" i="35"/>
  <c r="P66" i="35"/>
  <c r="Q66" i="35"/>
  <c r="R66" i="35"/>
  <c r="O66" i="35" s="1"/>
  <c r="N66" i="35" s="1"/>
  <c r="S66" i="35"/>
  <c r="P67" i="35"/>
  <c r="Q67" i="35"/>
  <c r="R67" i="35"/>
  <c r="S67" i="35"/>
  <c r="P68" i="35"/>
  <c r="Q68" i="35"/>
  <c r="R68" i="35"/>
  <c r="S68" i="35"/>
  <c r="P69" i="35"/>
  <c r="Q69" i="35"/>
  <c r="R69" i="35"/>
  <c r="S69" i="35"/>
  <c r="P70" i="35"/>
  <c r="Q70" i="35"/>
  <c r="R70" i="35"/>
  <c r="S70" i="35"/>
  <c r="O70" i="35" s="1"/>
  <c r="N70" i="35" s="1"/>
  <c r="P71" i="35"/>
  <c r="Q71" i="35"/>
  <c r="R71" i="35"/>
  <c r="S71" i="35"/>
  <c r="P72" i="35"/>
  <c r="O72" i="35" s="1"/>
  <c r="N72" i="35" s="1"/>
  <c r="Q72" i="35"/>
  <c r="R72" i="35"/>
  <c r="S72" i="35"/>
  <c r="P73" i="35"/>
  <c r="Q73" i="35"/>
  <c r="R73" i="35"/>
  <c r="S73" i="35"/>
  <c r="P74" i="35"/>
  <c r="Q74" i="35"/>
  <c r="R74" i="35"/>
  <c r="S74" i="35"/>
  <c r="P75" i="35"/>
  <c r="Q75" i="35"/>
  <c r="R75" i="35"/>
  <c r="S75" i="35"/>
  <c r="P76" i="35"/>
  <c r="Q76" i="35"/>
  <c r="R76" i="35"/>
  <c r="S76" i="35"/>
  <c r="P77" i="35"/>
  <c r="Q77" i="35"/>
  <c r="R77" i="35"/>
  <c r="S77" i="35"/>
  <c r="P78" i="35"/>
  <c r="Q78" i="35"/>
  <c r="R78" i="35"/>
  <c r="O78" i="35" s="1"/>
  <c r="N78" i="35" s="1"/>
  <c r="S78" i="35"/>
  <c r="P79" i="35"/>
  <c r="Q79" i="35"/>
  <c r="R79" i="35"/>
  <c r="S79" i="35"/>
  <c r="P80" i="35"/>
  <c r="Q80" i="35"/>
  <c r="R80" i="35"/>
  <c r="S80" i="35"/>
  <c r="O80" i="35" s="1"/>
  <c r="N80" i="35" s="1"/>
  <c r="P81" i="35"/>
  <c r="Q81" i="35"/>
  <c r="R81" i="35"/>
  <c r="S81" i="35"/>
  <c r="P82" i="35"/>
  <c r="Q82" i="35"/>
  <c r="R82" i="35"/>
  <c r="O82" i="35" s="1"/>
  <c r="N82" i="35" s="1"/>
  <c r="S82" i="35"/>
  <c r="P83" i="35"/>
  <c r="Q83" i="35"/>
  <c r="R83" i="35"/>
  <c r="S83" i="35"/>
  <c r="P84" i="35"/>
  <c r="Q84" i="35"/>
  <c r="R84" i="35"/>
  <c r="S84" i="35"/>
  <c r="O84" i="35" s="1"/>
  <c r="N84" i="35" s="1"/>
  <c r="P85" i="35"/>
  <c r="Q85" i="35"/>
  <c r="R85" i="35"/>
  <c r="O85" i="35" s="1"/>
  <c r="N85" i="35" s="1"/>
  <c r="S85" i="35"/>
  <c r="P86" i="35"/>
  <c r="Q86" i="35"/>
  <c r="R86" i="35"/>
  <c r="S86" i="35"/>
  <c r="O77" i="35"/>
  <c r="N77" i="35" s="1"/>
  <c r="R8" i="35"/>
  <c r="O41" i="35"/>
  <c r="N41" i="35" s="1"/>
  <c r="O43" i="35"/>
  <c r="N43" i="35" s="1"/>
  <c r="O45" i="35"/>
  <c r="N45" i="35" s="1"/>
  <c r="O47" i="35"/>
  <c r="N47" i="35" s="1"/>
  <c r="O49" i="35"/>
  <c r="N49" i="35" s="1"/>
  <c r="O51" i="35"/>
  <c r="N51" i="35" s="1"/>
  <c r="O53" i="35"/>
  <c r="N53" i="35" s="1"/>
  <c r="O55" i="35"/>
  <c r="N55" i="35" s="1"/>
  <c r="O56" i="35"/>
  <c r="N56" i="35" s="1"/>
  <c r="O57" i="35"/>
  <c r="N57" i="35" s="1"/>
  <c r="O58" i="35"/>
  <c r="N58" i="35" s="1"/>
  <c r="O59" i="35"/>
  <c r="N59" i="35" s="1"/>
  <c r="O61" i="35"/>
  <c r="N61" i="35" s="1"/>
  <c r="O63" i="35"/>
  <c r="N63" i="35" s="1"/>
  <c r="O65" i="35"/>
  <c r="N65" i="35" s="1"/>
  <c r="O67" i="35"/>
  <c r="N67" i="35" s="1"/>
  <c r="O68" i="35"/>
  <c r="N68" i="35" s="1"/>
  <c r="O69" i="35"/>
  <c r="N69" i="35" s="1"/>
  <c r="O71" i="35"/>
  <c r="N71" i="35" s="1"/>
  <c r="O73" i="35"/>
  <c r="N73" i="35" s="1"/>
  <c r="O74" i="35"/>
  <c r="N74" i="35" s="1"/>
  <c r="O75" i="35"/>
  <c r="N75" i="35" s="1"/>
  <c r="O76" i="35"/>
  <c r="N76" i="35" s="1"/>
  <c r="O79" i="35"/>
  <c r="N79" i="35" s="1"/>
  <c r="O81" i="35"/>
  <c r="N81" i="35" s="1"/>
  <c r="O83" i="35"/>
  <c r="N83" i="35" s="1"/>
  <c r="O86" i="35"/>
  <c r="N86" i="35" s="1"/>
  <c r="O20" i="35"/>
  <c r="N20" i="35" s="1"/>
  <c r="O21" i="35"/>
  <c r="N21" i="35" s="1"/>
  <c r="O23" i="35"/>
  <c r="N23" i="35" s="1"/>
  <c r="O25" i="35"/>
  <c r="N25" i="35" s="1"/>
  <c r="O27" i="35"/>
  <c r="N27" i="35" s="1"/>
  <c r="O28" i="35"/>
  <c r="N28" i="35" s="1"/>
  <c r="O29" i="35"/>
  <c r="N29" i="35" s="1"/>
  <c r="O31" i="35"/>
  <c r="N31" i="35" s="1"/>
  <c r="O33" i="35"/>
  <c r="N33" i="35" s="1"/>
  <c r="O35" i="35"/>
  <c r="N35" i="35" s="1"/>
  <c r="O36" i="35"/>
  <c r="N36" i="35" s="1"/>
  <c r="O37" i="35"/>
  <c r="N37" i="35" s="1"/>
  <c r="O39" i="35"/>
  <c r="N39" i="35" s="1"/>
  <c r="O9" i="35"/>
  <c r="N9" i="35" s="1"/>
  <c r="O10" i="35"/>
  <c r="N10" i="35" s="1"/>
  <c r="O11" i="35"/>
  <c r="N11" i="35" s="1"/>
  <c r="O12" i="35"/>
  <c r="N12" i="35" s="1"/>
  <c r="O13" i="35"/>
  <c r="N13" i="35" s="1"/>
  <c r="O15" i="35"/>
  <c r="N15" i="35" s="1"/>
  <c r="O17" i="35"/>
  <c r="N17" i="35" s="1"/>
  <c r="O19" i="35"/>
  <c r="N19" i="35" s="1"/>
  <c r="O8" i="35"/>
  <c r="N8" i="35" s="1"/>
  <c r="M9" i="35"/>
  <c r="M10" i="35"/>
  <c r="M11" i="35"/>
  <c r="M12" i="35"/>
  <c r="M13" i="35"/>
  <c r="M14" i="35"/>
  <c r="M15" i="35"/>
  <c r="M16" i="35"/>
  <c r="M17" i="35"/>
  <c r="M18" i="35"/>
  <c r="M19" i="35"/>
  <c r="M20" i="35"/>
  <c r="M21" i="35"/>
  <c r="M22" i="35"/>
  <c r="M23" i="35"/>
  <c r="M24" i="35"/>
  <c r="M25" i="35"/>
  <c r="M26" i="35"/>
  <c r="M27" i="35"/>
  <c r="M28" i="35"/>
  <c r="M29" i="35"/>
  <c r="M30" i="35"/>
  <c r="M31" i="35"/>
  <c r="M32" i="35"/>
  <c r="M33" i="35"/>
  <c r="M34" i="35"/>
  <c r="M35" i="35"/>
  <c r="M36" i="35"/>
  <c r="M37" i="35"/>
  <c r="M38" i="35"/>
  <c r="M39" i="35"/>
  <c r="M40" i="35"/>
  <c r="M41" i="35"/>
  <c r="M42" i="35"/>
  <c r="M43" i="35"/>
  <c r="M44" i="35"/>
  <c r="M45" i="35"/>
  <c r="M46" i="35"/>
  <c r="M47" i="35"/>
  <c r="M48" i="35"/>
  <c r="M49" i="35"/>
  <c r="M50" i="35"/>
  <c r="M51" i="35"/>
  <c r="M52" i="35"/>
  <c r="M53" i="35"/>
  <c r="M54" i="35"/>
  <c r="M55" i="35"/>
  <c r="M56" i="35"/>
  <c r="M57" i="35"/>
  <c r="M58" i="35"/>
  <c r="M59" i="35"/>
  <c r="M60" i="35"/>
  <c r="M61" i="35"/>
  <c r="M62" i="35"/>
  <c r="M63" i="35"/>
  <c r="M64" i="35"/>
  <c r="M65" i="35"/>
  <c r="M66" i="35"/>
  <c r="M67" i="35"/>
  <c r="M68" i="35"/>
  <c r="M69" i="35"/>
  <c r="M70" i="35"/>
  <c r="M71" i="35"/>
  <c r="M72" i="35"/>
  <c r="M73" i="35"/>
  <c r="M74" i="35"/>
  <c r="M75" i="35"/>
  <c r="M76" i="35"/>
  <c r="M77" i="35"/>
  <c r="M78" i="35"/>
  <c r="M79" i="35"/>
  <c r="M80" i="35"/>
  <c r="M81" i="35"/>
  <c r="M82" i="35"/>
  <c r="M83" i="35"/>
  <c r="M84" i="35"/>
  <c r="M85" i="35"/>
  <c r="M86" i="35"/>
  <c r="M8" i="35"/>
  <c r="S8" i="35"/>
  <c r="Q8" i="35"/>
  <c r="P8" i="35"/>
  <c r="B86" i="35"/>
  <c r="B85" i="35"/>
  <c r="B84" i="35"/>
  <c r="B83" i="35"/>
  <c r="B82" i="35"/>
  <c r="B81" i="35"/>
  <c r="B80" i="35"/>
  <c r="B79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36" i="35"/>
  <c r="B35" i="35"/>
  <c r="B34" i="35"/>
  <c r="B33" i="35"/>
  <c r="B32" i="35"/>
  <c r="B31" i="35"/>
  <c r="B30" i="35"/>
  <c r="B29" i="35"/>
  <c r="B28" i="35"/>
  <c r="B27" i="35"/>
  <c r="B26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12" i="35"/>
  <c r="B11" i="35"/>
  <c r="B10" i="35"/>
  <c r="B9" i="35"/>
  <c r="B8" i="35"/>
  <c r="R13" i="40" l="1"/>
  <c r="Q13" i="40"/>
  <c r="R12" i="40"/>
  <c r="N12" i="40" s="1"/>
  <c r="R27" i="40"/>
  <c r="R57" i="40"/>
  <c r="O34" i="40"/>
  <c r="P34" i="40" s="1"/>
  <c r="Q34" i="40" s="1"/>
  <c r="R34" i="40" s="1"/>
  <c r="O18" i="40"/>
  <c r="P18" i="40" s="1"/>
  <c r="Q18" i="40" s="1"/>
  <c r="O56" i="40"/>
  <c r="P56" i="40" s="1"/>
  <c r="Q56" i="40" s="1"/>
  <c r="R48" i="40"/>
  <c r="R41" i="40"/>
  <c r="R33" i="40"/>
  <c r="R63" i="40"/>
  <c r="N13" i="40"/>
  <c r="O58" i="40"/>
  <c r="P58" i="40" s="1"/>
  <c r="Q58" i="40" s="1"/>
  <c r="R58" i="40" s="1"/>
  <c r="O50" i="40"/>
  <c r="P50" i="40" s="1"/>
  <c r="O43" i="40"/>
  <c r="P43" i="40" s="1"/>
  <c r="Q43" i="40" s="1"/>
  <c r="R43" i="40" s="1"/>
  <c r="O36" i="40"/>
  <c r="P36" i="40" s="1"/>
  <c r="Q36" i="40" s="1"/>
  <c r="O28" i="40"/>
  <c r="P28" i="40" s="1"/>
  <c r="Q28" i="40" s="1"/>
  <c r="R28" i="40" s="1"/>
  <c r="O20" i="40"/>
  <c r="P20" i="40" s="1"/>
  <c r="Q20" i="40" s="1"/>
  <c r="R20" i="40" s="1"/>
  <c r="O9" i="40"/>
  <c r="P9" i="40" s="1"/>
  <c r="Q9" i="40" s="1"/>
  <c r="O55" i="40"/>
  <c r="P55" i="40" s="1"/>
  <c r="Q55" i="40" s="1"/>
  <c r="O25" i="40"/>
  <c r="P25" i="40" s="1"/>
  <c r="Q25" i="40" s="1"/>
  <c r="R25" i="40" s="1"/>
  <c r="O65" i="40"/>
  <c r="P65" i="40" s="1"/>
  <c r="Q65" i="40" s="1"/>
  <c r="R65" i="40" s="1"/>
  <c r="O57" i="40"/>
  <c r="P57" i="40" s="1"/>
  <c r="Q57" i="40" s="1"/>
  <c r="O49" i="40"/>
  <c r="P49" i="40" s="1"/>
  <c r="Q49" i="40" s="1"/>
  <c r="O42" i="40"/>
  <c r="P42" i="40" s="1"/>
  <c r="Q42" i="40" s="1"/>
  <c r="R42" i="40" s="1"/>
  <c r="O35" i="40"/>
  <c r="P35" i="40" s="1"/>
  <c r="Q35" i="40" s="1"/>
  <c r="O27" i="40"/>
  <c r="P27" i="40" s="1"/>
  <c r="Q27" i="40" s="1"/>
  <c r="O19" i="40"/>
  <c r="P19" i="40" s="1"/>
  <c r="Q19" i="40" s="1"/>
  <c r="R19" i="40" s="1"/>
  <c r="O11" i="40"/>
  <c r="P11" i="40" s="1"/>
  <c r="Q11" i="40" s="1"/>
  <c r="O10" i="40"/>
  <c r="P10" i="40" s="1"/>
  <c r="Q10" i="40" s="1"/>
  <c r="O62" i="40"/>
  <c r="P62" i="40" s="1"/>
  <c r="O46" i="40"/>
  <c r="P46" i="40" s="1"/>
  <c r="O40" i="40"/>
  <c r="P40" i="40" s="1"/>
  <c r="Q40" i="40" s="1"/>
  <c r="O24" i="40"/>
  <c r="P24" i="40" s="1"/>
  <c r="O16" i="40"/>
  <c r="P16" i="40" s="1"/>
  <c r="O8" i="40"/>
  <c r="P8" i="40" s="1"/>
  <c r="Q8" i="40" s="1"/>
  <c r="O48" i="40"/>
  <c r="P48" i="40" s="1"/>
  <c r="Q48" i="40" s="1"/>
  <c r="O26" i="40"/>
  <c r="P26" i="40" s="1"/>
  <c r="Q26" i="40" s="1"/>
  <c r="R26" i="40" s="1"/>
  <c r="O53" i="40"/>
  <c r="P53" i="40" s="1"/>
  <c r="Q53" i="40" s="1"/>
  <c r="O31" i="40"/>
  <c r="P31" i="40" s="1"/>
  <c r="O15" i="40"/>
  <c r="P15" i="40" s="1"/>
  <c r="Q15" i="40" s="1"/>
  <c r="O14" i="40"/>
  <c r="O47" i="40"/>
  <c r="P47" i="40" s="1"/>
  <c r="Q47" i="40" s="1"/>
  <c r="R47" i="40" s="1"/>
  <c r="O17" i="40"/>
  <c r="P17" i="40" s="1"/>
  <c r="Q17" i="40" s="1"/>
  <c r="O54" i="40"/>
  <c r="O32" i="40"/>
  <c r="P32" i="40" s="1"/>
  <c r="O61" i="40"/>
  <c r="O45" i="40"/>
  <c r="P45" i="40" s="1"/>
  <c r="O23" i="40"/>
  <c r="P23" i="40" s="1"/>
  <c r="O60" i="40"/>
  <c r="P60" i="40" s="1"/>
  <c r="Q60" i="40" s="1"/>
  <c r="R60" i="40" s="1"/>
  <c r="O52" i="40"/>
  <c r="P52" i="40" s="1"/>
  <c r="Q52" i="40" s="1"/>
  <c r="O38" i="40"/>
  <c r="P38" i="40" s="1"/>
  <c r="Q38" i="40" s="1"/>
  <c r="O30" i="40"/>
  <c r="P30" i="40" s="1"/>
  <c r="Q30" i="40" s="1"/>
  <c r="R30" i="40" s="1"/>
  <c r="O22" i="40"/>
  <c r="P22" i="40" s="1"/>
  <c r="Q22" i="40" s="1"/>
  <c r="R22" i="40" s="1"/>
  <c r="O39" i="40"/>
  <c r="P39" i="40" s="1"/>
  <c r="Q39" i="40" s="1"/>
  <c r="O59" i="40"/>
  <c r="P59" i="40" s="1"/>
  <c r="Q59" i="40" s="1"/>
  <c r="R59" i="40" s="1"/>
  <c r="O51" i="40"/>
  <c r="P51" i="40" s="1"/>
  <c r="O44" i="40"/>
  <c r="P44" i="40" s="1"/>
  <c r="Q44" i="40" s="1"/>
  <c r="R44" i="40" s="1"/>
  <c r="O37" i="40"/>
  <c r="P37" i="40" s="1"/>
  <c r="Q37" i="40" s="1"/>
  <c r="O29" i="40"/>
  <c r="P29" i="40" s="1"/>
  <c r="Q29" i="40" s="1"/>
  <c r="R29" i="40" s="1"/>
  <c r="O21" i="40"/>
  <c r="P21" i="40" s="1"/>
  <c r="Q21" i="40" s="1"/>
  <c r="R21" i="40" s="1"/>
  <c r="B86" i="26"/>
  <c r="M86" i="26" s="1"/>
  <c r="B85" i="26"/>
  <c r="M85" i="26" s="1"/>
  <c r="B84" i="26"/>
  <c r="M84" i="26" s="1"/>
  <c r="B83" i="26"/>
  <c r="M83" i="26" s="1"/>
  <c r="B82" i="26"/>
  <c r="M82" i="26" s="1"/>
  <c r="B81" i="26"/>
  <c r="M81" i="26" s="1"/>
  <c r="B80" i="26"/>
  <c r="M80" i="26" s="1"/>
  <c r="B79" i="26"/>
  <c r="M79" i="26" s="1"/>
  <c r="B78" i="26"/>
  <c r="M78" i="26" s="1"/>
  <c r="B77" i="26"/>
  <c r="M77" i="26" s="1"/>
  <c r="B76" i="26"/>
  <c r="M76" i="26" s="1"/>
  <c r="B75" i="26"/>
  <c r="M75" i="26" s="1"/>
  <c r="B74" i="26"/>
  <c r="M74" i="26" s="1"/>
  <c r="B73" i="26"/>
  <c r="M73" i="26" s="1"/>
  <c r="B72" i="26"/>
  <c r="M72" i="26" s="1"/>
  <c r="B71" i="26"/>
  <c r="M71" i="26" s="1"/>
  <c r="B70" i="26"/>
  <c r="M70" i="26" s="1"/>
  <c r="B69" i="26"/>
  <c r="M69" i="26" s="1"/>
  <c r="B68" i="26"/>
  <c r="M68" i="26" s="1"/>
  <c r="B67" i="26"/>
  <c r="M67" i="26" s="1"/>
  <c r="B66" i="26"/>
  <c r="M66" i="26" s="1"/>
  <c r="B65" i="26"/>
  <c r="M65" i="26" s="1"/>
  <c r="B64" i="26"/>
  <c r="M64" i="26" s="1"/>
  <c r="B63" i="26"/>
  <c r="M63" i="26" s="1"/>
  <c r="B62" i="26"/>
  <c r="M62" i="26" s="1"/>
  <c r="B61" i="26"/>
  <c r="M61" i="26" s="1"/>
  <c r="B60" i="26"/>
  <c r="M60" i="26" s="1"/>
  <c r="B59" i="26"/>
  <c r="M59" i="26" s="1"/>
  <c r="B58" i="26"/>
  <c r="M58" i="26" s="1"/>
  <c r="B57" i="26"/>
  <c r="M57" i="26" s="1"/>
  <c r="B56" i="26"/>
  <c r="M56" i="26" s="1"/>
  <c r="B55" i="26"/>
  <c r="M55" i="26" s="1"/>
  <c r="B54" i="26"/>
  <c r="M54" i="26" s="1"/>
  <c r="B53" i="26"/>
  <c r="M53" i="26" s="1"/>
  <c r="B52" i="26"/>
  <c r="M52" i="26" s="1"/>
  <c r="B51" i="26"/>
  <c r="M51" i="26" s="1"/>
  <c r="B50" i="26"/>
  <c r="M50" i="26" s="1"/>
  <c r="B49" i="26"/>
  <c r="M49" i="26" s="1"/>
  <c r="B48" i="26"/>
  <c r="M48" i="26" s="1"/>
  <c r="B47" i="26"/>
  <c r="M47" i="26" s="1"/>
  <c r="B46" i="26"/>
  <c r="M46" i="26" s="1"/>
  <c r="B45" i="26"/>
  <c r="M45" i="26" s="1"/>
  <c r="B44" i="26"/>
  <c r="M44" i="26" s="1"/>
  <c r="B43" i="26"/>
  <c r="M43" i="26" s="1"/>
  <c r="B42" i="26"/>
  <c r="M42" i="26" s="1"/>
  <c r="B41" i="26"/>
  <c r="M41" i="26" s="1"/>
  <c r="B40" i="26"/>
  <c r="M40" i="26" s="1"/>
  <c r="B39" i="26"/>
  <c r="M39" i="26" s="1"/>
  <c r="B38" i="26"/>
  <c r="M38" i="26" s="1"/>
  <c r="B37" i="26"/>
  <c r="M37" i="26" s="1"/>
  <c r="B36" i="26"/>
  <c r="M36" i="26" s="1"/>
  <c r="B35" i="26"/>
  <c r="M35" i="26" s="1"/>
  <c r="B34" i="26"/>
  <c r="M34" i="26" s="1"/>
  <c r="B33" i="26"/>
  <c r="M33" i="26" s="1"/>
  <c r="B32" i="26"/>
  <c r="M32" i="26" s="1"/>
  <c r="B31" i="26"/>
  <c r="M31" i="26" s="1"/>
  <c r="B30" i="26"/>
  <c r="M30" i="26" s="1"/>
  <c r="B29" i="26"/>
  <c r="M29" i="26" s="1"/>
  <c r="B28" i="26"/>
  <c r="M28" i="26" s="1"/>
  <c r="B27" i="26"/>
  <c r="M27" i="26" s="1"/>
  <c r="B26" i="26"/>
  <c r="M26" i="26" s="1"/>
  <c r="B25" i="26"/>
  <c r="M25" i="26" s="1"/>
  <c r="B24" i="26"/>
  <c r="M24" i="26" s="1"/>
  <c r="B23" i="26"/>
  <c r="M23" i="26" s="1"/>
  <c r="B22" i="26"/>
  <c r="M22" i="26" s="1"/>
  <c r="B21" i="26"/>
  <c r="M21" i="26" s="1"/>
  <c r="B20" i="26"/>
  <c r="M20" i="26" s="1"/>
  <c r="B19" i="26"/>
  <c r="M19" i="26" s="1"/>
  <c r="B18" i="26"/>
  <c r="M18" i="26" s="1"/>
  <c r="B17" i="26"/>
  <c r="M17" i="26" s="1"/>
  <c r="B16" i="26"/>
  <c r="M16" i="26" s="1"/>
  <c r="B15" i="26"/>
  <c r="M15" i="26" s="1"/>
  <c r="B14" i="26"/>
  <c r="M14" i="26" s="1"/>
  <c r="B13" i="26"/>
  <c r="M13" i="26" s="1"/>
  <c r="B12" i="26"/>
  <c r="M12" i="26" s="1"/>
  <c r="B11" i="26"/>
  <c r="M11" i="26" s="1"/>
  <c r="B10" i="26"/>
  <c r="M10" i="26" s="1"/>
  <c r="B9" i="26"/>
  <c r="M9" i="26" s="1"/>
  <c r="B8" i="26"/>
  <c r="M8" i="26" s="1"/>
  <c r="O9" i="29"/>
  <c r="N9" i="29" s="1"/>
  <c r="O10" i="29"/>
  <c r="N10" i="29" s="1"/>
  <c r="O11" i="29"/>
  <c r="N11" i="29" s="1"/>
  <c r="O12" i="29"/>
  <c r="N12" i="29" s="1"/>
  <c r="O13" i="29"/>
  <c r="N13" i="29" s="1"/>
  <c r="O14" i="29"/>
  <c r="N14" i="29" s="1"/>
  <c r="O15" i="29"/>
  <c r="N15" i="29" s="1"/>
  <c r="O16" i="29"/>
  <c r="N16" i="29" s="1"/>
  <c r="O17" i="29"/>
  <c r="N17" i="29" s="1"/>
  <c r="O18" i="29"/>
  <c r="N18" i="29" s="1"/>
  <c r="O19" i="29"/>
  <c r="N19" i="29" s="1"/>
  <c r="O20" i="29"/>
  <c r="N20" i="29" s="1"/>
  <c r="O21" i="29"/>
  <c r="N21" i="29" s="1"/>
  <c r="O22" i="29"/>
  <c r="N22" i="29" s="1"/>
  <c r="O23" i="29"/>
  <c r="N23" i="29" s="1"/>
  <c r="O24" i="29"/>
  <c r="N24" i="29" s="1"/>
  <c r="O25" i="29"/>
  <c r="N25" i="29" s="1"/>
  <c r="O26" i="29"/>
  <c r="N26" i="29" s="1"/>
  <c r="O27" i="29"/>
  <c r="N27" i="29" s="1"/>
  <c r="O28" i="29"/>
  <c r="N28" i="29" s="1"/>
  <c r="O29" i="29"/>
  <c r="N29" i="29" s="1"/>
  <c r="O30" i="29"/>
  <c r="N30" i="29" s="1"/>
  <c r="O31" i="29"/>
  <c r="N31" i="29" s="1"/>
  <c r="O32" i="29"/>
  <c r="N32" i="29" s="1"/>
  <c r="O33" i="29"/>
  <c r="N33" i="29" s="1"/>
  <c r="O34" i="29"/>
  <c r="N34" i="29" s="1"/>
  <c r="O35" i="29"/>
  <c r="N35" i="29" s="1"/>
  <c r="O36" i="29"/>
  <c r="N36" i="29" s="1"/>
  <c r="O37" i="29"/>
  <c r="N37" i="29" s="1"/>
  <c r="O38" i="29"/>
  <c r="N38" i="29" s="1"/>
  <c r="O39" i="29"/>
  <c r="N39" i="29" s="1"/>
  <c r="O40" i="29"/>
  <c r="N40" i="29" s="1"/>
  <c r="O41" i="29"/>
  <c r="N41" i="29" s="1"/>
  <c r="O42" i="29"/>
  <c r="N42" i="29" s="1"/>
  <c r="O43" i="29"/>
  <c r="N43" i="29" s="1"/>
  <c r="O44" i="29"/>
  <c r="N44" i="29" s="1"/>
  <c r="O45" i="29"/>
  <c r="N45" i="29" s="1"/>
  <c r="O46" i="29"/>
  <c r="N46" i="29" s="1"/>
  <c r="O47" i="29"/>
  <c r="N47" i="29" s="1"/>
  <c r="O48" i="29"/>
  <c r="N48" i="29" s="1"/>
  <c r="O49" i="29"/>
  <c r="N49" i="29" s="1"/>
  <c r="O50" i="29"/>
  <c r="N50" i="29" s="1"/>
  <c r="O51" i="29"/>
  <c r="N51" i="29" s="1"/>
  <c r="O52" i="29"/>
  <c r="N52" i="29" s="1"/>
  <c r="O53" i="29"/>
  <c r="N53" i="29" s="1"/>
  <c r="O54" i="29"/>
  <c r="N54" i="29" s="1"/>
  <c r="O55" i="29"/>
  <c r="N55" i="29" s="1"/>
  <c r="O56" i="29"/>
  <c r="N56" i="29" s="1"/>
  <c r="O57" i="29"/>
  <c r="N57" i="29" s="1"/>
  <c r="O58" i="29"/>
  <c r="N58" i="29" s="1"/>
  <c r="O59" i="29"/>
  <c r="N59" i="29" s="1"/>
  <c r="O60" i="29"/>
  <c r="N60" i="29" s="1"/>
  <c r="O61" i="29"/>
  <c r="N61" i="29" s="1"/>
  <c r="O62" i="29"/>
  <c r="N62" i="29" s="1"/>
  <c r="O63" i="29"/>
  <c r="N63" i="29" s="1"/>
  <c r="O64" i="29"/>
  <c r="N64" i="29" s="1"/>
  <c r="O65" i="29"/>
  <c r="N65" i="29" s="1"/>
  <c r="O66" i="29"/>
  <c r="N66" i="29" s="1"/>
  <c r="O67" i="29"/>
  <c r="N67" i="29" s="1"/>
  <c r="O68" i="29"/>
  <c r="N68" i="29" s="1"/>
  <c r="O69" i="29"/>
  <c r="N69" i="29" s="1"/>
  <c r="O70" i="29"/>
  <c r="N70" i="29" s="1"/>
  <c r="O71" i="29"/>
  <c r="N71" i="29" s="1"/>
  <c r="O72" i="29"/>
  <c r="N72" i="29" s="1"/>
  <c r="O73" i="29"/>
  <c r="N73" i="29" s="1"/>
  <c r="O74" i="29"/>
  <c r="N74" i="29" s="1"/>
  <c r="O75" i="29"/>
  <c r="N75" i="29" s="1"/>
  <c r="O76" i="29"/>
  <c r="N76" i="29" s="1"/>
  <c r="O77" i="29"/>
  <c r="N77" i="29" s="1"/>
  <c r="O78" i="29"/>
  <c r="N78" i="29" s="1"/>
  <c r="O79" i="29"/>
  <c r="N79" i="29" s="1"/>
  <c r="O80" i="29"/>
  <c r="N80" i="29" s="1"/>
  <c r="O81" i="29"/>
  <c r="N81" i="29" s="1"/>
  <c r="O82" i="29"/>
  <c r="N82" i="29" s="1"/>
  <c r="O83" i="29"/>
  <c r="N83" i="29" s="1"/>
  <c r="O84" i="29"/>
  <c r="N84" i="29" s="1"/>
  <c r="O85" i="29"/>
  <c r="N85" i="29" s="1"/>
  <c r="O86" i="29"/>
  <c r="N86" i="29" s="1"/>
  <c r="O8" i="29"/>
  <c r="N8" i="29" s="1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83" i="29"/>
  <c r="B84" i="29"/>
  <c r="B85" i="29"/>
  <c r="B86" i="29"/>
  <c r="R49" i="40" l="1"/>
  <c r="R10" i="40"/>
  <c r="R52" i="40"/>
  <c r="R55" i="40"/>
  <c r="Q45" i="40"/>
  <c r="R45" i="40" s="1"/>
  <c r="Q31" i="40"/>
  <c r="R31" i="40" s="1"/>
  <c r="Q24" i="40"/>
  <c r="R24" i="40" s="1"/>
  <c r="R35" i="40"/>
  <c r="R38" i="40"/>
  <c r="P61" i="40"/>
  <c r="R8" i="40"/>
  <c r="N8" i="40" s="1"/>
  <c r="R56" i="40"/>
  <c r="R53" i="40"/>
  <c r="Q23" i="40"/>
  <c r="R23" i="40" s="1"/>
  <c r="R50" i="40"/>
  <c r="Q50" i="40"/>
  <c r="P54" i="40"/>
  <c r="R9" i="40"/>
  <c r="N9" i="40" s="1"/>
  <c r="R39" i="40"/>
  <c r="R51" i="40"/>
  <c r="Q51" i="40"/>
  <c r="R17" i="40"/>
  <c r="R18" i="40"/>
  <c r="N18" i="40" s="1"/>
  <c r="R36" i="40"/>
  <c r="R40" i="40"/>
  <c r="R16" i="40"/>
  <c r="N16" i="40" s="1"/>
  <c r="Q16" i="40"/>
  <c r="Q32" i="40"/>
  <c r="R32" i="40" s="1"/>
  <c r="R46" i="40"/>
  <c r="Q46" i="40"/>
  <c r="R62" i="40"/>
  <c r="Q62" i="40"/>
  <c r="R11" i="40"/>
  <c r="N11" i="40" s="1"/>
  <c r="R15" i="40"/>
  <c r="N15" i="40" s="1"/>
  <c r="P14" i="40"/>
  <c r="R37" i="40"/>
  <c r="N17" i="40"/>
  <c r="N10" i="40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P9" i="34"/>
  <c r="O9" i="34" s="1"/>
  <c r="P10" i="34"/>
  <c r="O10" i="34" s="1"/>
  <c r="P11" i="34"/>
  <c r="O11" i="34" s="1"/>
  <c r="P12" i="34"/>
  <c r="O12" i="34" s="1"/>
  <c r="P13" i="34"/>
  <c r="O13" i="34" s="1"/>
  <c r="P14" i="34"/>
  <c r="O14" i="34" s="1"/>
  <c r="P15" i="34"/>
  <c r="O15" i="34" s="1"/>
  <c r="P16" i="34"/>
  <c r="O16" i="34" s="1"/>
  <c r="P17" i="34"/>
  <c r="O17" i="34" s="1"/>
  <c r="P18" i="34"/>
  <c r="O18" i="34" s="1"/>
  <c r="P19" i="34"/>
  <c r="O19" i="34" s="1"/>
  <c r="P20" i="34"/>
  <c r="O20" i="34" s="1"/>
  <c r="P21" i="34"/>
  <c r="O21" i="34" s="1"/>
  <c r="P22" i="34"/>
  <c r="O22" i="34" s="1"/>
  <c r="P23" i="34"/>
  <c r="O23" i="34" s="1"/>
  <c r="P24" i="34"/>
  <c r="O24" i="34" s="1"/>
  <c r="P25" i="34"/>
  <c r="O25" i="34" s="1"/>
  <c r="P26" i="34"/>
  <c r="O26" i="34" s="1"/>
  <c r="P27" i="34"/>
  <c r="O27" i="34" s="1"/>
  <c r="P28" i="34"/>
  <c r="O28" i="34" s="1"/>
  <c r="P29" i="34"/>
  <c r="O29" i="34" s="1"/>
  <c r="P30" i="34"/>
  <c r="O30" i="34" s="1"/>
  <c r="P31" i="34"/>
  <c r="O31" i="34" s="1"/>
  <c r="P32" i="34"/>
  <c r="O32" i="34" s="1"/>
  <c r="P33" i="34"/>
  <c r="O33" i="34" s="1"/>
  <c r="P34" i="34"/>
  <c r="O34" i="34" s="1"/>
  <c r="P35" i="34"/>
  <c r="O35" i="34" s="1"/>
  <c r="P36" i="34"/>
  <c r="O36" i="34" s="1"/>
  <c r="P37" i="34"/>
  <c r="O37" i="34" s="1"/>
  <c r="P38" i="34"/>
  <c r="O38" i="34" s="1"/>
  <c r="P39" i="34"/>
  <c r="O39" i="34" s="1"/>
  <c r="P40" i="34"/>
  <c r="O40" i="34" s="1"/>
  <c r="P41" i="34"/>
  <c r="O41" i="34" s="1"/>
  <c r="P42" i="34"/>
  <c r="O42" i="34" s="1"/>
  <c r="P43" i="34"/>
  <c r="O43" i="34" s="1"/>
  <c r="P44" i="34"/>
  <c r="O44" i="34" s="1"/>
  <c r="P45" i="34"/>
  <c r="O45" i="34" s="1"/>
  <c r="P46" i="34"/>
  <c r="O46" i="34" s="1"/>
  <c r="P47" i="34"/>
  <c r="O47" i="34" s="1"/>
  <c r="P48" i="34"/>
  <c r="O48" i="34" s="1"/>
  <c r="P49" i="34"/>
  <c r="O49" i="34" s="1"/>
  <c r="P50" i="34"/>
  <c r="O50" i="34" s="1"/>
  <c r="P51" i="34"/>
  <c r="O51" i="34" s="1"/>
  <c r="P52" i="34"/>
  <c r="O52" i="34" s="1"/>
  <c r="P53" i="34"/>
  <c r="O53" i="34" s="1"/>
  <c r="P54" i="34"/>
  <c r="O54" i="34" s="1"/>
  <c r="P55" i="34"/>
  <c r="O55" i="34" s="1"/>
  <c r="P56" i="34"/>
  <c r="O56" i="34" s="1"/>
  <c r="P57" i="34"/>
  <c r="O57" i="34" s="1"/>
  <c r="P58" i="34"/>
  <c r="O58" i="34" s="1"/>
  <c r="P59" i="34"/>
  <c r="O59" i="34" s="1"/>
  <c r="P60" i="34"/>
  <c r="O60" i="34" s="1"/>
  <c r="P61" i="34"/>
  <c r="O61" i="34" s="1"/>
  <c r="P62" i="34"/>
  <c r="O62" i="34" s="1"/>
  <c r="P63" i="34"/>
  <c r="O63" i="34" s="1"/>
  <c r="P64" i="34"/>
  <c r="O64" i="34" s="1"/>
  <c r="P65" i="34"/>
  <c r="O65" i="34" s="1"/>
  <c r="P66" i="34"/>
  <c r="O66" i="34" s="1"/>
  <c r="P67" i="34"/>
  <c r="O67" i="34" s="1"/>
  <c r="P68" i="34"/>
  <c r="O68" i="34" s="1"/>
  <c r="P8" i="34"/>
  <c r="O8" i="34" s="1"/>
  <c r="Q14" i="40" l="1"/>
  <c r="R14" i="40"/>
  <c r="N14" i="40" s="1"/>
  <c r="R54" i="40"/>
  <c r="Q54" i="40"/>
  <c r="R61" i="40"/>
  <c r="Q61" i="40"/>
  <c r="O9" i="32"/>
  <c r="O9" i="31"/>
  <c r="O17" i="31"/>
  <c r="O15" i="31"/>
  <c r="O13" i="31"/>
  <c r="O11" i="31"/>
  <c r="N17" i="31"/>
  <c r="M17" i="31"/>
  <c r="M16" i="31"/>
  <c r="N15" i="31"/>
  <c r="M15" i="31"/>
  <c r="M14" i="31"/>
  <c r="N13" i="31"/>
  <c r="M13" i="31"/>
  <c r="M12" i="31"/>
  <c r="N11" i="31"/>
  <c r="M11" i="31"/>
  <c r="M10" i="31"/>
  <c r="N9" i="31"/>
  <c r="M9" i="31"/>
  <c r="M8" i="31"/>
  <c r="O17" i="32"/>
  <c r="O15" i="32"/>
  <c r="O13" i="32"/>
  <c r="N13" i="32"/>
  <c r="O11" i="32"/>
  <c r="M9" i="32"/>
  <c r="M10" i="32"/>
  <c r="M11" i="32"/>
  <c r="M12" i="32"/>
  <c r="M13" i="32"/>
  <c r="M14" i="32"/>
  <c r="M15" i="32"/>
  <c r="M16" i="32"/>
  <c r="M17" i="32"/>
  <c r="N11" i="32"/>
  <c r="M8" i="32"/>
  <c r="N9" i="32"/>
  <c r="B87" i="33"/>
  <c r="M87" i="33" s="1"/>
  <c r="B86" i="33"/>
  <c r="M86" i="33" s="1"/>
  <c r="B85" i="33"/>
  <c r="M85" i="33" s="1"/>
  <c r="B84" i="33"/>
  <c r="M84" i="33" s="1"/>
  <c r="B83" i="33"/>
  <c r="M83" i="33" s="1"/>
  <c r="B82" i="33"/>
  <c r="M82" i="33" s="1"/>
  <c r="M81" i="33"/>
  <c r="B81" i="33"/>
  <c r="B80" i="33"/>
  <c r="M80" i="33" s="1"/>
  <c r="B79" i="33"/>
  <c r="M79" i="33" s="1"/>
  <c r="B78" i="33"/>
  <c r="M78" i="33" s="1"/>
  <c r="M77" i="33"/>
  <c r="B77" i="33"/>
  <c r="B76" i="33"/>
  <c r="M76" i="33" s="1"/>
  <c r="B75" i="33"/>
  <c r="M75" i="33" s="1"/>
  <c r="B74" i="33"/>
  <c r="M74" i="33" s="1"/>
  <c r="M73" i="33"/>
  <c r="B73" i="33"/>
  <c r="B72" i="33"/>
  <c r="M72" i="33" s="1"/>
  <c r="B71" i="33"/>
  <c r="M71" i="33" s="1"/>
  <c r="B70" i="33"/>
  <c r="M70" i="33" s="1"/>
  <c r="B69" i="33"/>
  <c r="M69" i="33" s="1"/>
  <c r="B68" i="33"/>
  <c r="M68" i="33" s="1"/>
  <c r="B67" i="33"/>
  <c r="M67" i="33" s="1"/>
  <c r="B66" i="33"/>
  <c r="M66" i="33" s="1"/>
  <c r="B65" i="33"/>
  <c r="M65" i="33" s="1"/>
  <c r="B64" i="33"/>
  <c r="M64" i="33" s="1"/>
  <c r="B63" i="33"/>
  <c r="M63" i="33" s="1"/>
  <c r="B62" i="33"/>
  <c r="M62" i="33" s="1"/>
  <c r="B61" i="33"/>
  <c r="M61" i="33" s="1"/>
  <c r="B60" i="33"/>
  <c r="M60" i="33" s="1"/>
  <c r="B59" i="33"/>
  <c r="M59" i="33" s="1"/>
  <c r="B58" i="33"/>
  <c r="M58" i="33" s="1"/>
  <c r="B57" i="33"/>
  <c r="M57" i="33" s="1"/>
  <c r="B56" i="33"/>
  <c r="M56" i="33" s="1"/>
  <c r="B55" i="33"/>
  <c r="M55" i="33" s="1"/>
  <c r="B54" i="33"/>
  <c r="M54" i="33" s="1"/>
  <c r="B53" i="33"/>
  <c r="M53" i="33" s="1"/>
  <c r="B52" i="33"/>
  <c r="M52" i="33" s="1"/>
  <c r="B51" i="33"/>
  <c r="M51" i="33" s="1"/>
  <c r="B50" i="33"/>
  <c r="M50" i="33" s="1"/>
  <c r="M49" i="33"/>
  <c r="B49" i="33"/>
  <c r="B48" i="33"/>
  <c r="M48" i="33" s="1"/>
  <c r="B47" i="33"/>
  <c r="M47" i="33" s="1"/>
  <c r="B46" i="33"/>
  <c r="M46" i="33" s="1"/>
  <c r="M45" i="33"/>
  <c r="B45" i="33"/>
  <c r="B44" i="33"/>
  <c r="M44" i="33" s="1"/>
  <c r="B43" i="33"/>
  <c r="M43" i="33" s="1"/>
  <c r="B42" i="33"/>
  <c r="M42" i="33" s="1"/>
  <c r="M41" i="33"/>
  <c r="B41" i="33"/>
  <c r="B40" i="33"/>
  <c r="M40" i="33" s="1"/>
  <c r="B39" i="33"/>
  <c r="M39" i="33" s="1"/>
  <c r="B38" i="33"/>
  <c r="M38" i="33" s="1"/>
  <c r="B37" i="33"/>
  <c r="M37" i="33" s="1"/>
  <c r="B36" i="33"/>
  <c r="M36" i="33" s="1"/>
  <c r="B35" i="33"/>
  <c r="M35" i="33" s="1"/>
  <c r="B34" i="33"/>
  <c r="M34" i="33" s="1"/>
  <c r="B33" i="33"/>
  <c r="M33" i="33" s="1"/>
  <c r="B32" i="33"/>
  <c r="M32" i="33" s="1"/>
  <c r="B31" i="33"/>
  <c r="M31" i="33" s="1"/>
  <c r="B30" i="33"/>
  <c r="M30" i="33" s="1"/>
  <c r="B29" i="33"/>
  <c r="M29" i="33" s="1"/>
  <c r="B28" i="33"/>
  <c r="M28" i="33" s="1"/>
  <c r="B27" i="33"/>
  <c r="M27" i="33" s="1"/>
  <c r="B26" i="33"/>
  <c r="M26" i="33" s="1"/>
  <c r="B25" i="33"/>
  <c r="M25" i="33" s="1"/>
  <c r="B24" i="33"/>
  <c r="M24" i="33" s="1"/>
  <c r="B23" i="33"/>
  <c r="M23" i="33" s="1"/>
  <c r="B22" i="33"/>
  <c r="M22" i="33" s="1"/>
  <c r="B21" i="33"/>
  <c r="M21" i="33" s="1"/>
  <c r="B20" i="33"/>
  <c r="M20" i="33" s="1"/>
  <c r="B19" i="33"/>
  <c r="M19" i="33" s="1"/>
  <c r="B18" i="33"/>
  <c r="M18" i="33" s="1"/>
  <c r="M17" i="33"/>
  <c r="B17" i="33"/>
  <c r="B16" i="33"/>
  <c r="M16" i="33" s="1"/>
  <c r="B15" i="33"/>
  <c r="M15" i="33" s="1"/>
  <c r="B14" i="33"/>
  <c r="M14" i="33" s="1"/>
  <c r="M13" i="33"/>
  <c r="B13" i="33"/>
  <c r="B12" i="33"/>
  <c r="M12" i="33" s="1"/>
  <c r="B11" i="33"/>
  <c r="M11" i="33" s="1"/>
  <c r="B10" i="33"/>
  <c r="M10" i="33" s="1"/>
  <c r="M9" i="33"/>
  <c r="B9" i="33"/>
  <c r="B8" i="33"/>
  <c r="M8" i="33" s="1"/>
  <c r="B16" i="30"/>
  <c r="B17" i="30"/>
  <c r="B18" i="30"/>
  <c r="B19" i="30"/>
  <c r="B20" i="30"/>
  <c r="B21" i="30"/>
  <c r="B22" i="30"/>
  <c r="B23" i="30"/>
  <c r="B24" i="30"/>
  <c r="B25" i="30"/>
  <c r="B26" i="30"/>
  <c r="B27" i="30"/>
  <c r="B9" i="30"/>
  <c r="B10" i="30"/>
  <c r="B11" i="30"/>
  <c r="B12" i="30"/>
  <c r="B13" i="30"/>
  <c r="B14" i="30"/>
  <c r="B15" i="30"/>
  <c r="M15" i="30" s="1"/>
  <c r="M16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" i="30"/>
  <c r="M12" i="30"/>
  <c r="M19" i="30" s="1"/>
  <c r="M13" i="30"/>
  <c r="M20" i="30" s="1"/>
  <c r="M27" i="30" s="1"/>
  <c r="M34" i="30" s="1"/>
  <c r="M41" i="30" s="1"/>
  <c r="M14" i="30"/>
  <c r="B9" i="29"/>
  <c r="B10" i="29"/>
  <c r="M10" i="29" s="1"/>
  <c r="M17" i="29" s="1"/>
  <c r="M24" i="29" s="1"/>
  <c r="M31" i="29" s="1"/>
  <c r="M38" i="29" s="1"/>
  <c r="M45" i="29" s="1"/>
  <c r="M52" i="29" s="1"/>
  <c r="M59" i="29" s="1"/>
  <c r="M66" i="29" s="1"/>
  <c r="M73" i="29" s="1"/>
  <c r="M80" i="29" s="1"/>
  <c r="B11" i="29"/>
  <c r="M12" i="29"/>
  <c r="M19" i="29" s="1"/>
  <c r="M26" i="29" s="1"/>
  <c r="M33" i="29" s="1"/>
  <c r="M40" i="29" s="1"/>
  <c r="M47" i="29" s="1"/>
  <c r="M54" i="29" s="1"/>
  <c r="M61" i="29" s="1"/>
  <c r="M68" i="29" s="1"/>
  <c r="M75" i="29" s="1"/>
  <c r="M82" i="29" s="1"/>
  <c r="M16" i="29"/>
  <c r="M23" i="29" s="1"/>
  <c r="M30" i="29" s="1"/>
  <c r="M37" i="29" s="1"/>
  <c r="M44" i="29" s="1"/>
  <c r="M51" i="29" s="1"/>
  <c r="M58" i="29" s="1"/>
  <c r="M65" i="29" s="1"/>
  <c r="M72" i="29" s="1"/>
  <c r="M79" i="29" s="1"/>
  <c r="M86" i="29" s="1"/>
  <c r="B8" i="29"/>
  <c r="M8" i="29" s="1"/>
  <c r="M13" i="29"/>
  <c r="M20" i="29" s="1"/>
  <c r="M27" i="29" s="1"/>
  <c r="M34" i="29" s="1"/>
  <c r="M41" i="29" s="1"/>
  <c r="M48" i="29" s="1"/>
  <c r="M55" i="29" s="1"/>
  <c r="M14" i="29"/>
  <c r="M21" i="29" s="1"/>
  <c r="M28" i="29" s="1"/>
  <c r="M35" i="29" s="1"/>
  <c r="M42" i="29" s="1"/>
  <c r="M49" i="29" s="1"/>
  <c r="M56" i="29" s="1"/>
  <c r="M63" i="29" s="1"/>
  <c r="M70" i="29" s="1"/>
  <c r="M77" i="29" s="1"/>
  <c r="M84" i="29" s="1"/>
  <c r="O9" i="15"/>
  <c r="N9" i="15" s="1"/>
  <c r="O10" i="15"/>
  <c r="N10" i="15" s="1"/>
  <c r="O11" i="15"/>
  <c r="O12" i="15"/>
  <c r="N12" i="15" s="1"/>
  <c r="O13" i="15"/>
  <c r="N13" i="15" s="1"/>
  <c r="O14" i="15"/>
  <c r="N14" i="15" s="1"/>
  <c r="O15" i="15"/>
  <c r="N15" i="15" s="1"/>
  <c r="O16" i="15"/>
  <c r="N16" i="15" s="1"/>
  <c r="O17" i="15"/>
  <c r="N17" i="15" s="1"/>
  <c r="O18" i="15"/>
  <c r="N18" i="15" s="1"/>
  <c r="O19" i="15"/>
  <c r="O20" i="15"/>
  <c r="N20" i="15" s="1"/>
  <c r="O21" i="15"/>
  <c r="N21" i="15" s="1"/>
  <c r="O22" i="15"/>
  <c r="N22" i="15" s="1"/>
  <c r="O23" i="15"/>
  <c r="N23" i="15" s="1"/>
  <c r="O24" i="15"/>
  <c r="N24" i="15" s="1"/>
  <c r="O25" i="15"/>
  <c r="N25" i="15" s="1"/>
  <c r="O26" i="15"/>
  <c r="N26" i="15" s="1"/>
  <c r="O27" i="15"/>
  <c r="O28" i="15"/>
  <c r="N28" i="15" s="1"/>
  <c r="O29" i="15"/>
  <c r="N29" i="15" s="1"/>
  <c r="O30" i="15"/>
  <c r="N30" i="15" s="1"/>
  <c r="O31" i="15"/>
  <c r="N31" i="15" s="1"/>
  <c r="O32" i="15"/>
  <c r="N32" i="15" s="1"/>
  <c r="O33" i="15"/>
  <c r="N33" i="15" s="1"/>
  <c r="O34" i="15"/>
  <c r="N34" i="15" s="1"/>
  <c r="O35" i="15"/>
  <c r="O36" i="15"/>
  <c r="N36" i="15" s="1"/>
  <c r="O37" i="15"/>
  <c r="N37" i="15" s="1"/>
  <c r="O38" i="15"/>
  <c r="N38" i="15" s="1"/>
  <c r="O39" i="15"/>
  <c r="N39" i="15" s="1"/>
  <c r="O40" i="15"/>
  <c r="N40" i="15" s="1"/>
  <c r="O41" i="15"/>
  <c r="N41" i="15" s="1"/>
  <c r="O42" i="15"/>
  <c r="N42" i="15" s="1"/>
  <c r="O43" i="15"/>
  <c r="O44" i="15"/>
  <c r="N44" i="15" s="1"/>
  <c r="O45" i="15"/>
  <c r="N45" i="15" s="1"/>
  <c r="O46" i="15"/>
  <c r="N46" i="15" s="1"/>
  <c r="O47" i="15"/>
  <c r="N47" i="15" s="1"/>
  <c r="O48" i="15"/>
  <c r="N48" i="15" s="1"/>
  <c r="O49" i="15"/>
  <c r="N49" i="15" s="1"/>
  <c r="O50" i="15"/>
  <c r="N50" i="15" s="1"/>
  <c r="O51" i="15"/>
  <c r="O52" i="15"/>
  <c r="N52" i="15" s="1"/>
  <c r="O53" i="15"/>
  <c r="N53" i="15" s="1"/>
  <c r="O54" i="15"/>
  <c r="N54" i="15" s="1"/>
  <c r="O55" i="15"/>
  <c r="N55" i="15" s="1"/>
  <c r="O56" i="15"/>
  <c r="N56" i="15" s="1"/>
  <c r="O57" i="15"/>
  <c r="N57" i="15" s="1"/>
  <c r="O58" i="15"/>
  <c r="N58" i="15" s="1"/>
  <c r="O59" i="15"/>
  <c r="O60" i="15"/>
  <c r="N60" i="15" s="1"/>
  <c r="O61" i="15"/>
  <c r="N61" i="15" s="1"/>
  <c r="O62" i="15"/>
  <c r="N62" i="15" s="1"/>
  <c r="O63" i="15"/>
  <c r="N63" i="15" s="1"/>
  <c r="O64" i="15"/>
  <c r="N64" i="15" s="1"/>
  <c r="O65" i="15"/>
  <c r="N65" i="15" s="1"/>
  <c r="O66" i="15"/>
  <c r="N66" i="15" s="1"/>
  <c r="O67" i="15"/>
  <c r="O68" i="15"/>
  <c r="O69" i="15"/>
  <c r="O70" i="15"/>
  <c r="N70" i="15" s="1"/>
  <c r="O71" i="15"/>
  <c r="N71" i="15" s="1"/>
  <c r="O72" i="15"/>
  <c r="N72" i="15" s="1"/>
  <c r="O73" i="15"/>
  <c r="N73" i="15" s="1"/>
  <c r="O74" i="15"/>
  <c r="N74" i="15" s="1"/>
  <c r="O75" i="15"/>
  <c r="O76" i="15"/>
  <c r="N76" i="15" s="1"/>
  <c r="O77" i="15"/>
  <c r="N77" i="15" s="1"/>
  <c r="O78" i="15"/>
  <c r="N78" i="15" s="1"/>
  <c r="O79" i="15"/>
  <c r="N79" i="15" s="1"/>
  <c r="O80" i="15"/>
  <c r="N80" i="15" s="1"/>
  <c r="O81" i="15"/>
  <c r="N81" i="15" s="1"/>
  <c r="O82" i="15"/>
  <c r="N82" i="15" s="1"/>
  <c r="O83" i="15"/>
  <c r="O84" i="15"/>
  <c r="N84" i="15" s="1"/>
  <c r="O85" i="15"/>
  <c r="N85" i="15" s="1"/>
  <c r="O86" i="15"/>
  <c r="N86" i="15" s="1"/>
  <c r="O87" i="15"/>
  <c r="N87" i="15" s="1"/>
  <c r="O88" i="15"/>
  <c r="N88" i="15" s="1"/>
  <c r="O89" i="15"/>
  <c r="N89" i="15" s="1"/>
  <c r="O90" i="15"/>
  <c r="N90" i="15" s="1"/>
  <c r="O91" i="15"/>
  <c r="O92" i="15"/>
  <c r="N92" i="15" s="1"/>
  <c r="O93" i="15"/>
  <c r="N93" i="15" s="1"/>
  <c r="O94" i="15"/>
  <c r="N94" i="15" s="1"/>
  <c r="O95" i="15"/>
  <c r="N95" i="15" s="1"/>
  <c r="O96" i="15"/>
  <c r="N96" i="15" s="1"/>
  <c r="O97" i="15"/>
  <c r="N97" i="15" s="1"/>
  <c r="O98" i="15"/>
  <c r="N98" i="15" s="1"/>
  <c r="O99" i="15"/>
  <c r="N99" i="15" s="1"/>
  <c r="O8" i="15"/>
  <c r="N8" i="15" s="1"/>
  <c r="O99" i="37"/>
  <c r="N99" i="37" s="1"/>
  <c r="M99" i="37"/>
  <c r="O98" i="37"/>
  <c r="N98" i="37"/>
  <c r="M98" i="37"/>
  <c r="O97" i="37"/>
  <c r="N97" i="37"/>
  <c r="M97" i="37"/>
  <c r="O96" i="37"/>
  <c r="N96" i="37" s="1"/>
  <c r="M96" i="37"/>
  <c r="O95" i="37"/>
  <c r="N95" i="37"/>
  <c r="M95" i="37"/>
  <c r="O94" i="37"/>
  <c r="N94" i="37" s="1"/>
  <c r="M94" i="37"/>
  <c r="O93" i="37"/>
  <c r="N93" i="37"/>
  <c r="M93" i="37"/>
  <c r="O92" i="37"/>
  <c r="N92" i="37"/>
  <c r="M92" i="37"/>
  <c r="O91" i="37"/>
  <c r="N91" i="37" s="1"/>
  <c r="M91" i="37"/>
  <c r="O90" i="37"/>
  <c r="N90" i="37"/>
  <c r="M90" i="37"/>
  <c r="O89" i="37"/>
  <c r="N89" i="37"/>
  <c r="M89" i="37"/>
  <c r="O88" i="37"/>
  <c r="N88" i="37"/>
  <c r="M88" i="37"/>
  <c r="O87" i="37"/>
  <c r="N87" i="37"/>
  <c r="M87" i="37"/>
  <c r="O86" i="37"/>
  <c r="N86" i="37" s="1"/>
  <c r="M86" i="37"/>
  <c r="O85" i="37"/>
  <c r="N85" i="37"/>
  <c r="M85" i="37"/>
  <c r="O84" i="37"/>
  <c r="N84" i="37"/>
  <c r="M84" i="37"/>
  <c r="O83" i="37"/>
  <c r="N83" i="37" s="1"/>
  <c r="M83" i="37"/>
  <c r="O82" i="37"/>
  <c r="N82" i="37"/>
  <c r="M82" i="37"/>
  <c r="O81" i="37"/>
  <c r="N81" i="37"/>
  <c r="M81" i="37"/>
  <c r="O80" i="37"/>
  <c r="N80" i="37"/>
  <c r="M80" i="37"/>
  <c r="O79" i="37"/>
  <c r="N79" i="37"/>
  <c r="M79" i="37"/>
  <c r="O78" i="37"/>
  <c r="N78" i="37" s="1"/>
  <c r="M78" i="37"/>
  <c r="O77" i="37"/>
  <c r="N77" i="37"/>
  <c r="M77" i="37"/>
  <c r="O76" i="37"/>
  <c r="N76" i="37"/>
  <c r="M76" i="37"/>
  <c r="O75" i="37"/>
  <c r="N75" i="37" s="1"/>
  <c r="M75" i="37"/>
  <c r="O74" i="37"/>
  <c r="N74" i="37"/>
  <c r="M74" i="37"/>
  <c r="O73" i="37"/>
  <c r="N73" i="37"/>
  <c r="M73" i="37"/>
  <c r="O72" i="37"/>
  <c r="N72" i="37"/>
  <c r="M72" i="37"/>
  <c r="O71" i="37"/>
  <c r="N71" i="37"/>
  <c r="M71" i="37"/>
  <c r="O70" i="37"/>
  <c r="N70" i="37" s="1"/>
  <c r="M70" i="37"/>
  <c r="O69" i="37"/>
  <c r="N69" i="37" s="1"/>
  <c r="M69" i="37"/>
  <c r="O68" i="37"/>
  <c r="N68" i="37"/>
  <c r="M68" i="37"/>
  <c r="O67" i="37"/>
  <c r="N67" i="37" s="1"/>
  <c r="M67" i="37"/>
  <c r="O66" i="37"/>
  <c r="N66" i="37"/>
  <c r="M66" i="37"/>
  <c r="O65" i="37"/>
  <c r="N65" i="37"/>
  <c r="M65" i="37"/>
  <c r="O64" i="37"/>
  <c r="N64" i="37"/>
  <c r="M64" i="37"/>
  <c r="O63" i="37"/>
  <c r="N63" i="37"/>
  <c r="M63" i="37"/>
  <c r="O62" i="37"/>
  <c r="N62" i="37" s="1"/>
  <c r="M62" i="37"/>
  <c r="O61" i="37"/>
  <c r="N61" i="37" s="1"/>
  <c r="M61" i="37"/>
  <c r="O60" i="37"/>
  <c r="N60" i="37"/>
  <c r="M60" i="37"/>
  <c r="O59" i="37"/>
  <c r="N59" i="37" s="1"/>
  <c r="M59" i="37"/>
  <c r="O58" i="37"/>
  <c r="N58" i="37"/>
  <c r="M58" i="37"/>
  <c r="O57" i="37"/>
  <c r="N57" i="37"/>
  <c r="M57" i="37"/>
  <c r="O56" i="37"/>
  <c r="N56" i="37"/>
  <c r="M56" i="37"/>
  <c r="O55" i="37"/>
  <c r="N55" i="37"/>
  <c r="M55" i="37"/>
  <c r="O54" i="37"/>
  <c r="N54" i="37" s="1"/>
  <c r="M54" i="37"/>
  <c r="O53" i="37"/>
  <c r="N53" i="37" s="1"/>
  <c r="M53" i="37"/>
  <c r="O52" i="37"/>
  <c r="N52" i="37"/>
  <c r="M52" i="37"/>
  <c r="O51" i="37"/>
  <c r="N51" i="37" s="1"/>
  <c r="M51" i="37"/>
  <c r="O50" i="37"/>
  <c r="N50" i="37"/>
  <c r="M50" i="37"/>
  <c r="O49" i="37"/>
  <c r="N49" i="37"/>
  <c r="M49" i="37"/>
  <c r="O48" i="37"/>
  <c r="N48" i="37"/>
  <c r="M48" i="37"/>
  <c r="O47" i="37"/>
  <c r="N47" i="37"/>
  <c r="M47" i="37"/>
  <c r="O46" i="37"/>
  <c r="N46" i="37" s="1"/>
  <c r="M46" i="37"/>
  <c r="O45" i="37"/>
  <c r="N45" i="37" s="1"/>
  <c r="M45" i="37"/>
  <c r="O44" i="37"/>
  <c r="N44" i="37"/>
  <c r="M44" i="37"/>
  <c r="O43" i="37"/>
  <c r="N43" i="37" s="1"/>
  <c r="M43" i="37"/>
  <c r="O42" i="37"/>
  <c r="N42" i="37"/>
  <c r="M42" i="37"/>
  <c r="O41" i="37"/>
  <c r="N41" i="37"/>
  <c r="M41" i="37"/>
  <c r="O40" i="37"/>
  <c r="N40" i="37"/>
  <c r="M40" i="37"/>
  <c r="O39" i="37"/>
  <c r="N39" i="37"/>
  <c r="M39" i="37"/>
  <c r="O38" i="37"/>
  <c r="N38" i="37" s="1"/>
  <c r="M38" i="37"/>
  <c r="O37" i="37"/>
  <c r="N37" i="37" s="1"/>
  <c r="M37" i="37"/>
  <c r="O36" i="37"/>
  <c r="N36" i="37"/>
  <c r="M36" i="37"/>
  <c r="O35" i="37"/>
  <c r="N35" i="37" s="1"/>
  <c r="M35" i="37"/>
  <c r="O34" i="37"/>
  <c r="N34" i="37"/>
  <c r="M34" i="37"/>
  <c r="O33" i="37"/>
  <c r="N33" i="37"/>
  <c r="M33" i="37"/>
  <c r="O32" i="37"/>
  <c r="N32" i="37"/>
  <c r="M32" i="37"/>
  <c r="O31" i="37"/>
  <c r="N31" i="37"/>
  <c r="M31" i="37"/>
  <c r="O30" i="37"/>
  <c r="N30" i="37" s="1"/>
  <c r="M30" i="37"/>
  <c r="O29" i="37"/>
  <c r="N29" i="37" s="1"/>
  <c r="M29" i="37"/>
  <c r="O28" i="37"/>
  <c r="N28" i="37"/>
  <c r="M28" i="37"/>
  <c r="O27" i="37"/>
  <c r="N27" i="37"/>
  <c r="M27" i="37"/>
  <c r="O26" i="37"/>
  <c r="N26" i="37"/>
  <c r="M26" i="37"/>
  <c r="O25" i="37"/>
  <c r="N25" i="37"/>
  <c r="M25" i="37"/>
  <c r="O24" i="37"/>
  <c r="N24" i="37"/>
  <c r="M24" i="37"/>
  <c r="O23" i="37"/>
  <c r="N23" i="37"/>
  <c r="M23" i="37"/>
  <c r="O22" i="37"/>
  <c r="N22" i="37" s="1"/>
  <c r="M22" i="37"/>
  <c r="O21" i="37"/>
  <c r="N21" i="37" s="1"/>
  <c r="M21" i="37"/>
  <c r="O20" i="37"/>
  <c r="N20" i="37"/>
  <c r="M20" i="37"/>
  <c r="O19" i="37"/>
  <c r="N19" i="37"/>
  <c r="M19" i="37"/>
  <c r="O18" i="37"/>
  <c r="N18" i="37"/>
  <c r="M18" i="37"/>
  <c r="O17" i="37"/>
  <c r="N17" i="37"/>
  <c r="M17" i="37"/>
  <c r="O16" i="37"/>
  <c r="N16" i="37"/>
  <c r="M16" i="37"/>
  <c r="O15" i="37"/>
  <c r="N15" i="37"/>
  <c r="M15" i="37"/>
  <c r="O14" i="37"/>
  <c r="N14" i="37" s="1"/>
  <c r="M14" i="37"/>
  <c r="O13" i="37"/>
  <c r="N13" i="37" s="1"/>
  <c r="M13" i="37"/>
  <c r="O12" i="37"/>
  <c r="N12" i="37"/>
  <c r="M12" i="37"/>
  <c r="O11" i="37"/>
  <c r="N11" i="37"/>
  <c r="M11" i="37"/>
  <c r="O10" i="37"/>
  <c r="N10" i="37"/>
  <c r="M10" i="37"/>
  <c r="O9" i="37"/>
  <c r="N9" i="37"/>
  <c r="M9" i="37"/>
  <c r="O8" i="37"/>
  <c r="N8" i="37"/>
  <c r="M8" i="37"/>
  <c r="O99" i="36"/>
  <c r="N99" i="36" s="1"/>
  <c r="M99" i="36"/>
  <c r="O98" i="36"/>
  <c r="N98" i="36" s="1"/>
  <c r="M98" i="36"/>
  <c r="O97" i="36"/>
  <c r="N97" i="36"/>
  <c r="M97" i="36"/>
  <c r="O96" i="36"/>
  <c r="N96" i="36" s="1"/>
  <c r="M96" i="36"/>
  <c r="O95" i="36"/>
  <c r="N95" i="36" s="1"/>
  <c r="M95" i="36"/>
  <c r="O94" i="36"/>
  <c r="N94" i="36" s="1"/>
  <c r="M94" i="36"/>
  <c r="O93" i="36"/>
  <c r="N93" i="36"/>
  <c r="M93" i="36"/>
  <c r="O92" i="36"/>
  <c r="N92" i="36" s="1"/>
  <c r="M92" i="36"/>
  <c r="O91" i="36"/>
  <c r="N91" i="36" s="1"/>
  <c r="M91" i="36"/>
  <c r="O90" i="36"/>
  <c r="N90" i="36" s="1"/>
  <c r="M90" i="36"/>
  <c r="O89" i="36"/>
  <c r="N89" i="36" s="1"/>
  <c r="M89" i="36"/>
  <c r="O88" i="36"/>
  <c r="N88" i="36" s="1"/>
  <c r="M88" i="36"/>
  <c r="O87" i="36"/>
  <c r="N87" i="36" s="1"/>
  <c r="M87" i="36"/>
  <c r="O86" i="36"/>
  <c r="N86" i="36" s="1"/>
  <c r="M86" i="36"/>
  <c r="O85" i="36"/>
  <c r="N85" i="36" s="1"/>
  <c r="M85" i="36"/>
  <c r="O84" i="36"/>
  <c r="N84" i="36" s="1"/>
  <c r="M84" i="36"/>
  <c r="O83" i="36"/>
  <c r="N83" i="36" s="1"/>
  <c r="M83" i="36"/>
  <c r="O82" i="36"/>
  <c r="N82" i="36" s="1"/>
  <c r="M82" i="36"/>
  <c r="O81" i="36"/>
  <c r="N81" i="36" s="1"/>
  <c r="M81" i="36"/>
  <c r="O80" i="36"/>
  <c r="N80" i="36" s="1"/>
  <c r="M80" i="36"/>
  <c r="O79" i="36"/>
  <c r="N79" i="36" s="1"/>
  <c r="M79" i="36"/>
  <c r="O78" i="36"/>
  <c r="N78" i="36" s="1"/>
  <c r="M78" i="36"/>
  <c r="O77" i="36"/>
  <c r="N77" i="36" s="1"/>
  <c r="M77" i="36"/>
  <c r="O76" i="36"/>
  <c r="N76" i="36" s="1"/>
  <c r="M76" i="36"/>
  <c r="O75" i="36"/>
  <c r="N75" i="36"/>
  <c r="M75" i="36"/>
  <c r="O74" i="36"/>
  <c r="N74" i="36" s="1"/>
  <c r="M74" i="36"/>
  <c r="O73" i="36"/>
  <c r="N73" i="36" s="1"/>
  <c r="M73" i="36"/>
  <c r="O72" i="36"/>
  <c r="N72" i="36" s="1"/>
  <c r="M72" i="36"/>
  <c r="O71" i="36"/>
  <c r="N71" i="36" s="1"/>
  <c r="M71" i="36"/>
  <c r="O70" i="36"/>
  <c r="N70" i="36" s="1"/>
  <c r="M70" i="36"/>
  <c r="O69" i="36"/>
  <c r="N69" i="36" s="1"/>
  <c r="M69" i="36"/>
  <c r="O68" i="36"/>
  <c r="N68" i="36" s="1"/>
  <c r="M68" i="36"/>
  <c r="O67" i="36"/>
  <c r="N67" i="36" s="1"/>
  <c r="M67" i="36"/>
  <c r="O66" i="36"/>
  <c r="N66" i="36" s="1"/>
  <c r="M66" i="36"/>
  <c r="O65" i="36"/>
  <c r="N65" i="36" s="1"/>
  <c r="M65" i="36"/>
  <c r="O64" i="36"/>
  <c r="N64" i="36" s="1"/>
  <c r="M64" i="36"/>
  <c r="O63" i="36"/>
  <c r="N63" i="36" s="1"/>
  <c r="M63" i="36"/>
  <c r="O62" i="36"/>
  <c r="N62" i="36" s="1"/>
  <c r="M62" i="36"/>
  <c r="O61" i="36"/>
  <c r="N61" i="36" s="1"/>
  <c r="M61" i="36"/>
  <c r="O60" i="36"/>
  <c r="N60" i="36" s="1"/>
  <c r="M60" i="36"/>
  <c r="O59" i="36"/>
  <c r="N59" i="36" s="1"/>
  <c r="M59" i="36"/>
  <c r="O58" i="36"/>
  <c r="N58" i="36" s="1"/>
  <c r="M58" i="36"/>
  <c r="O57" i="36"/>
  <c r="N57" i="36" s="1"/>
  <c r="M57" i="36"/>
  <c r="O56" i="36"/>
  <c r="N56" i="36" s="1"/>
  <c r="M56" i="36"/>
  <c r="O55" i="36"/>
  <c r="N55" i="36" s="1"/>
  <c r="M55" i="36"/>
  <c r="O54" i="36"/>
  <c r="N54" i="36" s="1"/>
  <c r="M54" i="36"/>
  <c r="O53" i="36"/>
  <c r="N53" i="36" s="1"/>
  <c r="M53" i="36"/>
  <c r="O52" i="36"/>
  <c r="N52" i="36" s="1"/>
  <c r="M52" i="36"/>
  <c r="O51" i="36"/>
  <c r="N51" i="36" s="1"/>
  <c r="M51" i="36"/>
  <c r="O50" i="36"/>
  <c r="N50" i="36" s="1"/>
  <c r="M50" i="36"/>
  <c r="O49" i="36"/>
  <c r="N49" i="36" s="1"/>
  <c r="M49" i="36"/>
  <c r="O48" i="36"/>
  <c r="N48" i="36" s="1"/>
  <c r="M48" i="36"/>
  <c r="O47" i="36"/>
  <c r="N47" i="36" s="1"/>
  <c r="M47" i="36"/>
  <c r="O46" i="36"/>
  <c r="N46" i="36" s="1"/>
  <c r="M46" i="36"/>
  <c r="O45" i="36"/>
  <c r="N45" i="36" s="1"/>
  <c r="M45" i="36"/>
  <c r="O44" i="36"/>
  <c r="N44" i="36" s="1"/>
  <c r="M44" i="36"/>
  <c r="O43" i="36"/>
  <c r="N43" i="36" s="1"/>
  <c r="M43" i="36"/>
  <c r="O42" i="36"/>
  <c r="N42" i="36" s="1"/>
  <c r="M42" i="36"/>
  <c r="O41" i="36"/>
  <c r="N41" i="36" s="1"/>
  <c r="M41" i="36"/>
  <c r="O40" i="36"/>
  <c r="N40" i="36" s="1"/>
  <c r="M40" i="36"/>
  <c r="O39" i="36"/>
  <c r="N39" i="36" s="1"/>
  <c r="M39" i="36"/>
  <c r="O38" i="36"/>
  <c r="N38" i="36" s="1"/>
  <c r="M38" i="36"/>
  <c r="O37" i="36"/>
  <c r="N37" i="36" s="1"/>
  <c r="M37" i="36"/>
  <c r="O36" i="36"/>
  <c r="N36" i="36" s="1"/>
  <c r="M36" i="36"/>
  <c r="O35" i="36"/>
  <c r="N35" i="36" s="1"/>
  <c r="M35" i="36"/>
  <c r="O34" i="36"/>
  <c r="N34" i="36" s="1"/>
  <c r="M34" i="36"/>
  <c r="O33" i="36"/>
  <c r="N33" i="36" s="1"/>
  <c r="M33" i="36"/>
  <c r="O32" i="36"/>
  <c r="N32" i="36" s="1"/>
  <c r="M32" i="36"/>
  <c r="O31" i="36"/>
  <c r="N31" i="36" s="1"/>
  <c r="M31" i="36"/>
  <c r="O30" i="36"/>
  <c r="N30" i="36" s="1"/>
  <c r="M30" i="36"/>
  <c r="O29" i="36"/>
  <c r="N29" i="36" s="1"/>
  <c r="M29" i="36"/>
  <c r="O28" i="36"/>
  <c r="N28" i="36" s="1"/>
  <c r="M28" i="36"/>
  <c r="O27" i="36"/>
  <c r="N27" i="36" s="1"/>
  <c r="M27" i="36"/>
  <c r="O26" i="36"/>
  <c r="N26" i="36" s="1"/>
  <c r="M26" i="36"/>
  <c r="O25" i="36"/>
  <c r="N25" i="36" s="1"/>
  <c r="M25" i="36"/>
  <c r="O24" i="36"/>
  <c r="N24" i="36" s="1"/>
  <c r="M24" i="36"/>
  <c r="O23" i="36"/>
  <c r="N23" i="36" s="1"/>
  <c r="M23" i="36"/>
  <c r="O22" i="36"/>
  <c r="N22" i="36" s="1"/>
  <c r="M22" i="36"/>
  <c r="O21" i="36"/>
  <c r="N21" i="36" s="1"/>
  <c r="M21" i="36"/>
  <c r="O20" i="36"/>
  <c r="N20" i="36" s="1"/>
  <c r="M20" i="36"/>
  <c r="O19" i="36"/>
  <c r="N19" i="36" s="1"/>
  <c r="M19" i="36"/>
  <c r="O18" i="36"/>
  <c r="N18" i="36" s="1"/>
  <c r="M18" i="36"/>
  <c r="O17" i="36"/>
  <c r="N17" i="36" s="1"/>
  <c r="M17" i="36"/>
  <c r="O16" i="36"/>
  <c r="N16" i="36" s="1"/>
  <c r="M16" i="36"/>
  <c r="O15" i="36"/>
  <c r="N15" i="36" s="1"/>
  <c r="M15" i="36"/>
  <c r="O14" i="36"/>
  <c r="N14" i="36" s="1"/>
  <c r="M14" i="36"/>
  <c r="N13" i="36"/>
  <c r="M13" i="36"/>
  <c r="O12" i="36"/>
  <c r="N12" i="36" s="1"/>
  <c r="M12" i="36"/>
  <c r="O11" i="36"/>
  <c r="N11" i="36" s="1"/>
  <c r="M11" i="36"/>
  <c r="O10" i="36"/>
  <c r="N10" i="36" s="1"/>
  <c r="M10" i="36"/>
  <c r="O9" i="36"/>
  <c r="N9" i="36" s="1"/>
  <c r="M9" i="36"/>
  <c r="O8" i="36"/>
  <c r="N8" i="36" s="1"/>
  <c r="M8" i="36"/>
  <c r="N68" i="34"/>
  <c r="M68" i="34"/>
  <c r="N67" i="34"/>
  <c r="M67" i="34"/>
  <c r="N66" i="34"/>
  <c r="M66" i="34"/>
  <c r="N65" i="34"/>
  <c r="M65" i="34"/>
  <c r="N64" i="34"/>
  <c r="M64" i="34"/>
  <c r="N63" i="34"/>
  <c r="M63" i="34"/>
  <c r="N62" i="34"/>
  <c r="M62" i="34"/>
  <c r="N61" i="34"/>
  <c r="M61" i="34"/>
  <c r="N60" i="34"/>
  <c r="M60" i="34"/>
  <c r="N59" i="34"/>
  <c r="M59" i="34"/>
  <c r="N58" i="34"/>
  <c r="M58" i="34"/>
  <c r="N57" i="34"/>
  <c r="M57" i="34"/>
  <c r="N56" i="34"/>
  <c r="M56" i="34"/>
  <c r="N55" i="34"/>
  <c r="M55" i="34"/>
  <c r="N54" i="34"/>
  <c r="M54" i="34"/>
  <c r="N53" i="34"/>
  <c r="M53" i="34"/>
  <c r="N52" i="34"/>
  <c r="M52" i="34"/>
  <c r="N51" i="34"/>
  <c r="M51" i="34"/>
  <c r="N50" i="34"/>
  <c r="M50" i="34"/>
  <c r="N49" i="34"/>
  <c r="M49" i="34"/>
  <c r="N48" i="34"/>
  <c r="M48" i="34"/>
  <c r="N47" i="34"/>
  <c r="M47" i="34"/>
  <c r="N46" i="34"/>
  <c r="M46" i="34"/>
  <c r="N45" i="34"/>
  <c r="M45" i="34"/>
  <c r="N44" i="34"/>
  <c r="M44" i="34"/>
  <c r="N43" i="34"/>
  <c r="M43" i="34"/>
  <c r="N42" i="34"/>
  <c r="M42" i="34"/>
  <c r="N41" i="34"/>
  <c r="M41" i="34"/>
  <c r="N40" i="34"/>
  <c r="M40" i="34"/>
  <c r="N39" i="34"/>
  <c r="M39" i="34"/>
  <c r="N38" i="34"/>
  <c r="M38" i="34"/>
  <c r="N37" i="34"/>
  <c r="M37" i="34"/>
  <c r="N36" i="34"/>
  <c r="M36" i="34"/>
  <c r="N35" i="34"/>
  <c r="M35" i="34"/>
  <c r="N34" i="34"/>
  <c r="M34" i="34"/>
  <c r="N33" i="34"/>
  <c r="M33" i="34"/>
  <c r="N32" i="34"/>
  <c r="M32" i="34"/>
  <c r="N31" i="34"/>
  <c r="M31" i="34"/>
  <c r="N30" i="34"/>
  <c r="M30" i="34"/>
  <c r="N29" i="34"/>
  <c r="M29" i="34"/>
  <c r="N28" i="34"/>
  <c r="M28" i="34"/>
  <c r="N27" i="34"/>
  <c r="M27" i="34"/>
  <c r="N26" i="34"/>
  <c r="M26" i="34"/>
  <c r="N25" i="34"/>
  <c r="M25" i="34"/>
  <c r="N24" i="34"/>
  <c r="M24" i="34"/>
  <c r="N23" i="34"/>
  <c r="M23" i="34"/>
  <c r="N22" i="34"/>
  <c r="M22" i="34"/>
  <c r="N21" i="34"/>
  <c r="M21" i="34"/>
  <c r="N20" i="34"/>
  <c r="M20" i="34"/>
  <c r="N19" i="34"/>
  <c r="M19" i="34"/>
  <c r="N18" i="34"/>
  <c r="M18" i="34"/>
  <c r="N17" i="34"/>
  <c r="M17" i="34"/>
  <c r="N16" i="34"/>
  <c r="M16" i="34"/>
  <c r="N15" i="34"/>
  <c r="M15" i="34"/>
  <c r="N14" i="34"/>
  <c r="M14" i="34"/>
  <c r="N13" i="34"/>
  <c r="M13" i="34"/>
  <c r="N12" i="34"/>
  <c r="M12" i="34"/>
  <c r="N11" i="34"/>
  <c r="M11" i="34"/>
  <c r="N10" i="34"/>
  <c r="M10" i="34"/>
  <c r="N9" i="34"/>
  <c r="M9" i="34"/>
  <c r="N8" i="34"/>
  <c r="M8" i="34"/>
  <c r="N17" i="32"/>
  <c r="N15" i="32"/>
  <c r="M11" i="30"/>
  <c r="M18" i="30" s="1"/>
  <c r="M25" i="30" s="1"/>
  <c r="M10" i="30"/>
  <c r="M17" i="30" s="1"/>
  <c r="M9" i="30"/>
  <c r="M8" i="30"/>
  <c r="M15" i="29"/>
  <c r="M11" i="29"/>
  <c r="M18" i="29" s="1"/>
  <c r="M25" i="29" s="1"/>
  <c r="M32" i="29" s="1"/>
  <c r="M39" i="29" s="1"/>
  <c r="M9" i="29"/>
  <c r="M40" i="15"/>
  <c r="M41" i="15"/>
  <c r="M42" i="15"/>
  <c r="M43" i="15"/>
  <c r="N43" i="15"/>
  <c r="M44" i="15"/>
  <c r="M45" i="15"/>
  <c r="M46" i="15"/>
  <c r="M47" i="15"/>
  <c r="M48" i="15"/>
  <c r="M49" i="15"/>
  <c r="M50" i="15"/>
  <c r="M51" i="15"/>
  <c r="N51" i="15"/>
  <c r="M52" i="15"/>
  <c r="M53" i="15"/>
  <c r="M54" i="15"/>
  <c r="M55" i="15"/>
  <c r="M56" i="15"/>
  <c r="M57" i="15"/>
  <c r="M58" i="15"/>
  <c r="M59" i="15"/>
  <c r="N59" i="15"/>
  <c r="M60" i="15"/>
  <c r="M61" i="15"/>
  <c r="M62" i="15"/>
  <c r="M63" i="15"/>
  <c r="M64" i="15"/>
  <c r="M65" i="15"/>
  <c r="M66" i="15"/>
  <c r="M67" i="15"/>
  <c r="N67" i="15"/>
  <c r="M68" i="15"/>
  <c r="N68" i="15"/>
  <c r="M69" i="15"/>
  <c r="N69" i="15"/>
  <c r="M70" i="15"/>
  <c r="M71" i="15"/>
  <c r="M72" i="15"/>
  <c r="M73" i="15"/>
  <c r="M74" i="15"/>
  <c r="M75" i="15"/>
  <c r="N75" i="15"/>
  <c r="M76" i="15"/>
  <c r="M77" i="15"/>
  <c r="M78" i="15"/>
  <c r="M79" i="15"/>
  <c r="M80" i="15"/>
  <c r="M81" i="15"/>
  <c r="M82" i="15"/>
  <c r="M83" i="15"/>
  <c r="N83" i="15"/>
  <c r="M84" i="15"/>
  <c r="M85" i="15"/>
  <c r="M86" i="15"/>
  <c r="M87" i="15"/>
  <c r="M88" i="15"/>
  <c r="M89" i="15"/>
  <c r="M90" i="15"/>
  <c r="M91" i="15"/>
  <c r="N91" i="15"/>
  <c r="M92" i="15"/>
  <c r="M93" i="15"/>
  <c r="M94" i="15"/>
  <c r="M95" i="15"/>
  <c r="M96" i="15"/>
  <c r="M97" i="15"/>
  <c r="M98" i="15"/>
  <c r="M99" i="15"/>
  <c r="O9" i="14"/>
  <c r="N9" i="14" s="1"/>
  <c r="O10" i="14"/>
  <c r="N10" i="14" s="1"/>
  <c r="O11" i="14"/>
  <c r="N11" i="14" s="1"/>
  <c r="O12" i="14"/>
  <c r="N12" i="14" s="1"/>
  <c r="O14" i="14"/>
  <c r="O15" i="14"/>
  <c r="N15" i="14" s="1"/>
  <c r="O16" i="14"/>
  <c r="O17" i="14"/>
  <c r="N17" i="14" s="1"/>
  <c r="O18" i="14"/>
  <c r="N18" i="14" s="1"/>
  <c r="O19" i="14"/>
  <c r="N19" i="14" s="1"/>
  <c r="O20" i="14"/>
  <c r="N20" i="14" s="1"/>
  <c r="O21" i="14"/>
  <c r="N21" i="14" s="1"/>
  <c r="O22" i="14"/>
  <c r="N22" i="14" s="1"/>
  <c r="O23" i="14"/>
  <c r="N23" i="14" s="1"/>
  <c r="O24" i="14"/>
  <c r="N24" i="14" s="1"/>
  <c r="O25" i="14"/>
  <c r="N25" i="14" s="1"/>
  <c r="O26" i="14"/>
  <c r="N26" i="14" s="1"/>
  <c r="O27" i="14"/>
  <c r="N27" i="14" s="1"/>
  <c r="O28" i="14"/>
  <c r="N28" i="14" s="1"/>
  <c r="O29" i="14"/>
  <c r="N29" i="14" s="1"/>
  <c r="O30" i="14"/>
  <c r="O31" i="14"/>
  <c r="N31" i="14" s="1"/>
  <c r="O32" i="14"/>
  <c r="N32" i="14" s="1"/>
  <c r="O33" i="14"/>
  <c r="N33" i="14" s="1"/>
  <c r="O34" i="14"/>
  <c r="N34" i="14" s="1"/>
  <c r="O35" i="14"/>
  <c r="N35" i="14" s="1"/>
  <c r="O36" i="14"/>
  <c r="N36" i="14" s="1"/>
  <c r="O37" i="14"/>
  <c r="N37" i="14" s="1"/>
  <c r="O38" i="14"/>
  <c r="O39" i="14"/>
  <c r="N39" i="14" s="1"/>
  <c r="O40" i="14"/>
  <c r="N40" i="14" s="1"/>
  <c r="O41" i="14"/>
  <c r="N41" i="14" s="1"/>
  <c r="O42" i="14"/>
  <c r="N42" i="14" s="1"/>
  <c r="O43" i="14"/>
  <c r="N43" i="14" s="1"/>
  <c r="O44" i="14"/>
  <c r="N44" i="14" s="1"/>
  <c r="O45" i="14"/>
  <c r="N45" i="14" s="1"/>
  <c r="O46" i="14"/>
  <c r="N46" i="14" s="1"/>
  <c r="O47" i="14"/>
  <c r="N47" i="14" s="1"/>
  <c r="O48" i="14"/>
  <c r="N48" i="14" s="1"/>
  <c r="O49" i="14"/>
  <c r="N49" i="14" s="1"/>
  <c r="O50" i="14"/>
  <c r="N50" i="14" s="1"/>
  <c r="O51" i="14"/>
  <c r="N51" i="14" s="1"/>
  <c r="O52" i="14"/>
  <c r="N52" i="14" s="1"/>
  <c r="O53" i="14"/>
  <c r="N53" i="14" s="1"/>
  <c r="O54" i="14"/>
  <c r="N54" i="14" s="1"/>
  <c r="O55" i="14"/>
  <c r="N55" i="14" s="1"/>
  <c r="O56" i="14"/>
  <c r="N56" i="14" s="1"/>
  <c r="O57" i="14"/>
  <c r="N57" i="14" s="1"/>
  <c r="O58" i="14"/>
  <c r="N58" i="14" s="1"/>
  <c r="O59" i="14"/>
  <c r="N59" i="14" s="1"/>
  <c r="O60" i="14"/>
  <c r="N60" i="14" s="1"/>
  <c r="O61" i="14"/>
  <c r="N61" i="14" s="1"/>
  <c r="O62" i="14"/>
  <c r="N62" i="14" s="1"/>
  <c r="O63" i="14"/>
  <c r="N63" i="14" s="1"/>
  <c r="O64" i="14"/>
  <c r="N64" i="14" s="1"/>
  <c r="O65" i="14"/>
  <c r="N65" i="14" s="1"/>
  <c r="O66" i="14"/>
  <c r="N66" i="14" s="1"/>
  <c r="O67" i="14"/>
  <c r="N67" i="14" s="1"/>
  <c r="O68" i="14"/>
  <c r="N68" i="14" s="1"/>
  <c r="O69" i="14"/>
  <c r="O70" i="14"/>
  <c r="N70" i="14" s="1"/>
  <c r="O71" i="14"/>
  <c r="N71" i="14" s="1"/>
  <c r="O72" i="14"/>
  <c r="N72" i="14" s="1"/>
  <c r="O73" i="14"/>
  <c r="N73" i="14" s="1"/>
  <c r="O74" i="14"/>
  <c r="N74" i="14" s="1"/>
  <c r="O75" i="14"/>
  <c r="N75" i="14" s="1"/>
  <c r="O76" i="14"/>
  <c r="N76" i="14" s="1"/>
  <c r="O77" i="14"/>
  <c r="N77" i="14" s="1"/>
  <c r="O78" i="14"/>
  <c r="N78" i="14" s="1"/>
  <c r="O79" i="14"/>
  <c r="O80" i="14"/>
  <c r="O81" i="14"/>
  <c r="N81" i="14" s="1"/>
  <c r="O82" i="14"/>
  <c r="N82" i="14" s="1"/>
  <c r="O83" i="14"/>
  <c r="N83" i="14" s="1"/>
  <c r="O84" i="14"/>
  <c r="N84" i="14" s="1"/>
  <c r="O85" i="14"/>
  <c r="N85" i="14" s="1"/>
  <c r="O86" i="14"/>
  <c r="N86" i="14" s="1"/>
  <c r="O87" i="14"/>
  <c r="O88" i="14"/>
  <c r="N88" i="14" s="1"/>
  <c r="O89" i="14"/>
  <c r="N89" i="14" s="1"/>
  <c r="O90" i="14"/>
  <c r="N90" i="14" s="1"/>
  <c r="O91" i="14"/>
  <c r="N91" i="14" s="1"/>
  <c r="O92" i="14"/>
  <c r="N92" i="14" s="1"/>
  <c r="O93" i="14"/>
  <c r="N93" i="14" s="1"/>
  <c r="O94" i="14"/>
  <c r="N94" i="14" s="1"/>
  <c r="O95" i="14"/>
  <c r="O96" i="14"/>
  <c r="O97" i="14"/>
  <c r="N97" i="14" s="1"/>
  <c r="O98" i="14"/>
  <c r="N98" i="14" s="1"/>
  <c r="O99" i="14"/>
  <c r="N99" i="14" s="1"/>
  <c r="O8" i="14"/>
  <c r="N8" i="14" s="1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39" i="15"/>
  <c r="M38" i="15"/>
  <c r="M37" i="15"/>
  <c r="M36" i="15"/>
  <c r="N35" i="15"/>
  <c r="M35" i="15"/>
  <c r="M34" i="15"/>
  <c r="M33" i="15"/>
  <c r="M32" i="15"/>
  <c r="M31" i="15"/>
  <c r="M30" i="15"/>
  <c r="M29" i="15"/>
  <c r="M28" i="15"/>
  <c r="N27" i="15"/>
  <c r="M27" i="15"/>
  <c r="M26" i="15"/>
  <c r="M25" i="15"/>
  <c r="M24" i="15"/>
  <c r="M23" i="15"/>
  <c r="M22" i="15"/>
  <c r="M21" i="15"/>
  <c r="M20" i="15"/>
  <c r="N19" i="15"/>
  <c r="M19" i="15"/>
  <c r="M18" i="15"/>
  <c r="M17" i="15"/>
  <c r="M16" i="15"/>
  <c r="M15" i="15"/>
  <c r="M14" i="15"/>
  <c r="M13" i="15"/>
  <c r="M12" i="15"/>
  <c r="N11" i="15"/>
  <c r="M11" i="15"/>
  <c r="M10" i="15"/>
  <c r="M9" i="15"/>
  <c r="M8" i="15"/>
  <c r="N96" i="14"/>
  <c r="N95" i="14"/>
  <c r="N87" i="14"/>
  <c r="N80" i="14"/>
  <c r="N79" i="14"/>
  <c r="N69" i="14"/>
  <c r="M40" i="14"/>
  <c r="M39" i="14"/>
  <c r="N38" i="14"/>
  <c r="M38" i="14"/>
  <c r="M37" i="14"/>
  <c r="M36" i="14"/>
  <c r="M35" i="14"/>
  <c r="M34" i="14"/>
  <c r="M33" i="14"/>
  <c r="M32" i="14"/>
  <c r="M31" i="14"/>
  <c r="N30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N16" i="14"/>
  <c r="M16" i="14"/>
  <c r="M15" i="14"/>
  <c r="N14" i="14"/>
  <c r="M14" i="14"/>
  <c r="N13" i="14"/>
  <c r="M13" i="14"/>
  <c r="M12" i="14"/>
  <c r="M11" i="14"/>
  <c r="M10" i="14"/>
  <c r="M9" i="14"/>
  <c r="M8" i="14"/>
  <c r="O9" i="9"/>
  <c r="N9" i="9" s="1"/>
  <c r="O10" i="9"/>
  <c r="O11" i="9"/>
  <c r="N11" i="9" s="1"/>
  <c r="O12" i="9"/>
  <c r="N12" i="9" s="1"/>
  <c r="O13" i="9"/>
  <c r="N13" i="9" s="1"/>
  <c r="O14" i="9"/>
  <c r="N14" i="9" s="1"/>
  <c r="O15" i="9"/>
  <c r="N15" i="9" s="1"/>
  <c r="O16" i="9"/>
  <c r="N16" i="9" s="1"/>
  <c r="O17" i="9"/>
  <c r="N17" i="9" s="1"/>
  <c r="O18" i="9"/>
  <c r="N18" i="9" s="1"/>
  <c r="O19" i="9"/>
  <c r="N19" i="9" s="1"/>
  <c r="O20" i="9"/>
  <c r="N20" i="9" s="1"/>
  <c r="O21" i="9"/>
  <c r="N21" i="9" s="1"/>
  <c r="O22" i="9"/>
  <c r="N22" i="9" s="1"/>
  <c r="O23" i="9"/>
  <c r="N23" i="9" s="1"/>
  <c r="O24" i="9"/>
  <c r="N24" i="9" s="1"/>
  <c r="O25" i="9"/>
  <c r="N25" i="9" s="1"/>
  <c r="O26" i="9"/>
  <c r="N26" i="9" s="1"/>
  <c r="O27" i="9"/>
  <c r="N27" i="9" s="1"/>
  <c r="O28" i="9"/>
  <c r="N28" i="9" s="1"/>
  <c r="O29" i="9"/>
  <c r="N29" i="9" s="1"/>
  <c r="O30" i="9"/>
  <c r="N30" i="9" s="1"/>
  <c r="O31" i="9"/>
  <c r="N31" i="9" s="1"/>
  <c r="O32" i="9"/>
  <c r="N32" i="9" s="1"/>
  <c r="O33" i="9"/>
  <c r="N33" i="9" s="1"/>
  <c r="O34" i="9"/>
  <c r="N34" i="9" s="1"/>
  <c r="O35" i="9"/>
  <c r="N35" i="9" s="1"/>
  <c r="O36" i="9"/>
  <c r="N36" i="9" s="1"/>
  <c r="O37" i="9"/>
  <c r="N37" i="9" s="1"/>
  <c r="O38" i="9"/>
  <c r="N38" i="9" s="1"/>
  <c r="O39" i="9"/>
  <c r="N39" i="9" s="1"/>
  <c r="O40" i="9"/>
  <c r="N40" i="9" s="1"/>
  <c r="O41" i="9"/>
  <c r="N41" i="9" s="1"/>
  <c r="O42" i="9"/>
  <c r="N42" i="9" s="1"/>
  <c r="O43" i="9"/>
  <c r="N43" i="9" s="1"/>
  <c r="O44" i="9"/>
  <c r="N44" i="9" s="1"/>
  <c r="O45" i="9"/>
  <c r="N45" i="9" s="1"/>
  <c r="O46" i="9"/>
  <c r="N46" i="9" s="1"/>
  <c r="O47" i="9"/>
  <c r="N47" i="9" s="1"/>
  <c r="O48" i="9"/>
  <c r="N48" i="9" s="1"/>
  <c r="O49" i="9"/>
  <c r="N49" i="9" s="1"/>
  <c r="O50" i="9"/>
  <c r="N50" i="9" s="1"/>
  <c r="O51" i="9"/>
  <c r="N51" i="9" s="1"/>
  <c r="O52" i="9"/>
  <c r="N52" i="9" s="1"/>
  <c r="O53" i="9"/>
  <c r="N53" i="9" s="1"/>
  <c r="O54" i="9"/>
  <c r="N54" i="9" s="1"/>
  <c r="O55" i="9"/>
  <c r="N55" i="9" s="1"/>
  <c r="O56" i="9"/>
  <c r="N56" i="9" s="1"/>
  <c r="O57" i="9"/>
  <c r="N57" i="9" s="1"/>
  <c r="O58" i="9"/>
  <c r="N58" i="9" s="1"/>
  <c r="O59" i="9"/>
  <c r="N59" i="9" s="1"/>
  <c r="O60" i="9"/>
  <c r="N60" i="9" s="1"/>
  <c r="O61" i="9"/>
  <c r="N61" i="9" s="1"/>
  <c r="O62" i="9"/>
  <c r="N62" i="9" s="1"/>
  <c r="O63" i="9"/>
  <c r="N63" i="9" s="1"/>
  <c r="O64" i="9"/>
  <c r="N64" i="9" s="1"/>
  <c r="O65" i="9"/>
  <c r="N65" i="9" s="1"/>
  <c r="O66" i="9"/>
  <c r="N66" i="9" s="1"/>
  <c r="O67" i="9"/>
  <c r="N67" i="9" s="1"/>
  <c r="O68" i="9"/>
  <c r="N68" i="9" s="1"/>
  <c r="O69" i="9"/>
  <c r="N69" i="9" s="1"/>
  <c r="O70" i="9"/>
  <c r="N70" i="9" s="1"/>
  <c r="O71" i="9"/>
  <c r="N71" i="9" s="1"/>
  <c r="O72" i="9"/>
  <c r="N72" i="9" s="1"/>
  <c r="O73" i="9"/>
  <c r="N73" i="9" s="1"/>
  <c r="O74" i="9"/>
  <c r="N74" i="9" s="1"/>
  <c r="O75" i="9"/>
  <c r="N75" i="9" s="1"/>
  <c r="O76" i="9"/>
  <c r="N76" i="9" s="1"/>
  <c r="O77" i="9"/>
  <c r="N77" i="9" s="1"/>
  <c r="O78" i="9"/>
  <c r="N78" i="9" s="1"/>
  <c r="O79" i="9"/>
  <c r="N79" i="9" s="1"/>
  <c r="O80" i="9"/>
  <c r="N80" i="9" s="1"/>
  <c r="O81" i="9"/>
  <c r="N81" i="9" s="1"/>
  <c r="O82" i="9"/>
  <c r="N82" i="9" s="1"/>
  <c r="O83" i="9"/>
  <c r="N83" i="9" s="1"/>
  <c r="O84" i="9"/>
  <c r="N84" i="9" s="1"/>
  <c r="O85" i="9"/>
  <c r="N85" i="9" s="1"/>
  <c r="O86" i="9"/>
  <c r="N86" i="9" s="1"/>
  <c r="O87" i="9"/>
  <c r="N87" i="9" s="1"/>
  <c r="O88" i="9"/>
  <c r="N88" i="9" s="1"/>
  <c r="O89" i="9"/>
  <c r="N89" i="9" s="1"/>
  <c r="O90" i="9"/>
  <c r="N90" i="9" s="1"/>
  <c r="O91" i="9"/>
  <c r="N91" i="9" s="1"/>
  <c r="O92" i="9"/>
  <c r="N92" i="9" s="1"/>
  <c r="O93" i="9"/>
  <c r="N93" i="9" s="1"/>
  <c r="O94" i="9"/>
  <c r="N94" i="9" s="1"/>
  <c r="O95" i="9"/>
  <c r="N95" i="9" s="1"/>
  <c r="O96" i="9"/>
  <c r="N96" i="9" s="1"/>
  <c r="O97" i="9"/>
  <c r="N97" i="9" s="1"/>
  <c r="O98" i="9"/>
  <c r="N98" i="9" s="1"/>
  <c r="O99" i="9"/>
  <c r="N99" i="9" s="1"/>
  <c r="O8" i="9"/>
  <c r="N8" i="9" s="1"/>
  <c r="N10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8" i="9"/>
  <c r="M47" i="25"/>
  <c r="M48" i="25"/>
  <c r="M49" i="25"/>
  <c r="M50" i="25"/>
  <c r="M51" i="25"/>
  <c r="M52" i="25"/>
  <c r="M53" i="25"/>
  <c r="M54" i="25"/>
  <c r="M55" i="25"/>
  <c r="M56" i="25"/>
  <c r="M57" i="25"/>
  <c r="M58" i="25"/>
  <c r="M59" i="25"/>
  <c r="M60" i="25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75" i="25"/>
  <c r="M76" i="25"/>
  <c r="M77" i="25"/>
  <c r="M78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M98" i="12"/>
  <c r="M99" i="12"/>
  <c r="M100" i="12"/>
  <c r="M101" i="12"/>
  <c r="M102" i="12"/>
  <c r="A99" i="12"/>
  <c r="A100" i="12"/>
  <c r="A101" i="12"/>
  <c r="A102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A90" i="12"/>
  <c r="A91" i="12"/>
  <c r="A92" i="12"/>
  <c r="A93" i="12"/>
  <c r="A94" i="12"/>
  <c r="A95" i="12"/>
  <c r="A96" i="12"/>
  <c r="A97" i="12"/>
  <c r="A98" i="12"/>
  <c r="A79" i="12"/>
  <c r="A80" i="12"/>
  <c r="A81" i="12"/>
  <c r="A82" i="12"/>
  <c r="A83" i="12"/>
  <c r="A84" i="12"/>
  <c r="A85" i="12"/>
  <c r="A86" i="12"/>
  <c r="A87" i="12"/>
  <c r="A88" i="12"/>
  <c r="A89" i="12"/>
  <c r="A73" i="12"/>
  <c r="A74" i="12"/>
  <c r="A75" i="12"/>
  <c r="A76" i="12"/>
  <c r="A77" i="12"/>
  <c r="A78" i="12"/>
  <c r="A72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8" i="12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M23" i="25"/>
  <c r="M24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8" i="25"/>
  <c r="M21" i="30" l="1"/>
  <c r="M28" i="30" s="1"/>
  <c r="M35" i="30" s="1"/>
  <c r="M42" i="30" s="1"/>
  <c r="M49" i="30" s="1"/>
  <c r="M56" i="30" s="1"/>
  <c r="M63" i="30" s="1"/>
  <c r="M70" i="30" s="1"/>
  <c r="M77" i="30" s="1"/>
  <c r="M84" i="30" s="1"/>
  <c r="M23" i="30"/>
  <c r="M30" i="30" s="1"/>
  <c r="M37" i="30" s="1"/>
  <c r="M44" i="30" s="1"/>
  <c r="M51" i="30" s="1"/>
  <c r="M58" i="30" s="1"/>
  <c r="M65" i="30" s="1"/>
  <c r="M72" i="30" s="1"/>
  <c r="M79" i="30" s="1"/>
  <c r="M86" i="30" s="1"/>
  <c r="M22" i="30"/>
  <c r="M29" i="30" s="1"/>
  <c r="M36" i="30" s="1"/>
  <c r="M43" i="30" s="1"/>
  <c r="M50" i="30" s="1"/>
  <c r="M57" i="30" s="1"/>
  <c r="M64" i="30" s="1"/>
  <c r="M71" i="30" s="1"/>
  <c r="M78" i="30" s="1"/>
  <c r="M85" i="30" s="1"/>
  <c r="M26" i="30"/>
  <c r="M33" i="30" s="1"/>
  <c r="M40" i="30" s="1"/>
  <c r="M47" i="30" s="1"/>
  <c r="M54" i="30" s="1"/>
  <c r="M61" i="30" s="1"/>
  <c r="M68" i="30" s="1"/>
  <c r="M75" i="30" s="1"/>
  <c r="M82" i="30" s="1"/>
  <c r="M48" i="30"/>
  <c r="M55" i="30" s="1"/>
  <c r="M62" i="30" s="1"/>
  <c r="M69" i="30" s="1"/>
  <c r="M76" i="30" s="1"/>
  <c r="M83" i="30" s="1"/>
  <c r="M24" i="30"/>
  <c r="M31" i="30" s="1"/>
  <c r="M38" i="30" s="1"/>
  <c r="M45" i="30" s="1"/>
  <c r="M52" i="30" s="1"/>
  <c r="M59" i="30" s="1"/>
  <c r="M66" i="30" s="1"/>
  <c r="M73" i="30" s="1"/>
  <c r="M80" i="30" s="1"/>
  <c r="M87" i="30" s="1"/>
  <c r="M32" i="30"/>
  <c r="M39" i="30" s="1"/>
  <c r="M46" i="30" s="1"/>
  <c r="M53" i="30" s="1"/>
  <c r="M60" i="30" s="1"/>
  <c r="M67" i="30" s="1"/>
  <c r="M74" i="30" s="1"/>
  <c r="M81" i="30" s="1"/>
  <c r="M22" i="29"/>
  <c r="M29" i="29" s="1"/>
  <c r="M36" i="29" s="1"/>
  <c r="M43" i="29" s="1"/>
  <c r="M50" i="29" s="1"/>
  <c r="M57" i="29" s="1"/>
  <c r="M64" i="29" s="1"/>
  <c r="M71" i="29" s="1"/>
  <c r="M78" i="29" s="1"/>
  <c r="M85" i="29" s="1"/>
  <c r="M62" i="29"/>
  <c r="M69" i="29" s="1"/>
  <c r="M76" i="29" s="1"/>
  <c r="M83" i="29" s="1"/>
  <c r="M46" i="29"/>
  <c r="M53" i="29" s="1"/>
  <c r="M60" i="29" s="1"/>
  <c r="M67" i="29" s="1"/>
  <c r="M74" i="29" s="1"/>
  <c r="M81" i="29" s="1"/>
  <c r="M79" i="6" l="1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8" i="6"/>
</calcChain>
</file>

<file path=xl/comments1.xml><?xml version="1.0" encoding="utf-8"?>
<comments xmlns="http://schemas.openxmlformats.org/spreadsheetml/2006/main">
  <authors>
    <author>Lee, Brian</author>
  </authors>
  <commentList>
    <comment ref="J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See Fiscal Calendar on right, the last day will be one day before the quarter shown here.</t>
        </r>
      </text>
    </comment>
    <comment ref="O8" authorId="0">
      <text>
        <r>
          <rPr>
            <b/>
            <sz val="9"/>
            <color indexed="81"/>
            <rFont val="Tahoma"/>
            <charset val="1"/>
          </rPr>
          <t>Lee, Brian:
Created 2 new functions called:  
DateToNum and DateToLetter to convert between MMM DD YYYY tt:TT:pm  (see VBA code under modules)</t>
        </r>
      </text>
    </comment>
    <comment ref="W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Apr 21 2013 is one day less than the start of Q2, so the this result is correct for Quarter 1 end.</t>
        </r>
      </text>
    </comment>
  </commentList>
</comments>
</file>

<file path=xl/comments2.xml><?xml version="1.0" encoding="utf-8"?>
<comments xmlns="http://schemas.openxmlformats.org/spreadsheetml/2006/main">
  <authors>
    <author>Lee, Brian</author>
  </authors>
  <commentList>
    <comment ref="O9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=12/31/2000 - 12/30/2001
364 days</t>
        </r>
      </text>
    </comment>
  </commentList>
</comments>
</file>

<file path=xl/comments3.xml><?xml version="1.0" encoding="utf-8"?>
<comments xmlns="http://schemas.openxmlformats.org/spreadsheetml/2006/main">
  <authors>
    <author>Lee, Brian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How far into the week.  Calculation shows 3.8 weeks (which is within the 4th week).
The value is then 4 (meaning the 4th week).</t>
        </r>
      </text>
    </comment>
  </commentList>
</comments>
</file>

<file path=xl/comments4.xml><?xml version="1.0" encoding="utf-8"?>
<comments xmlns="http://schemas.openxmlformats.org/spreadsheetml/2006/main">
  <authors>
    <author>Lee, Brian</author>
  </authors>
  <commentList>
    <comment ref="O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Getting the period.  If PrevPeriod Start, getting the current last period.  
If PrevPeriod End, getting the current Period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Using the period that was calculated, the date is looked up at the table on the right.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If it is prevPeriod start, then getting selecting the date of the start of that previous period.  
If prevPerEnd, taking the day before the start of the current Period.</t>
        </r>
      </text>
    </comment>
  </commentList>
</comments>
</file>

<file path=xl/comments5.xml><?xml version="1.0" encoding="utf-8"?>
<comments xmlns="http://schemas.openxmlformats.org/spreadsheetml/2006/main">
  <authors>
    <author>Lee, Brian</author>
  </authors>
  <commentList>
    <comment ref="O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Getting the period.  If NextPeriod Start, getting the next period.  
If NextPeriod End, getting next +1  period minus 1 day.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Using the period that was calculated, the date is looked up at the table on the right.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If it is NextPeriod start, then getting selecting the start date of the next period.  
If NextPerEnd, taking the day before the start of the next period + 1.</t>
        </r>
      </text>
    </comment>
  </commentList>
</comments>
</file>

<file path=xl/sharedStrings.xml><?xml version="1.0" encoding="utf-8"?>
<sst xmlns="http://schemas.openxmlformats.org/spreadsheetml/2006/main" count="18335" uniqueCount="1288">
  <si>
    <t>Results from AccountingPeriod Table</t>
  </si>
  <si>
    <t>Query Parameters</t>
  </si>
  <si>
    <t>Date</t>
  </si>
  <si>
    <t>perStart</t>
  </si>
  <si>
    <t>BeginDate</t>
  </si>
  <si>
    <t>EndDate</t>
  </si>
  <si>
    <t>FiscalYear</t>
  </si>
  <si>
    <t>Period</t>
  </si>
  <si>
    <t>Quarter</t>
  </si>
  <si>
    <t>returnParam</t>
  </si>
  <si>
    <t>Results fromFiscalInfo Function</t>
  </si>
  <si>
    <t>Result</t>
  </si>
  <si>
    <t>04</t>
  </si>
  <si>
    <t>12</t>
  </si>
  <si>
    <t>13</t>
  </si>
  <si>
    <t>1</t>
  </si>
  <si>
    <t>2016</t>
  </si>
  <si>
    <t>01</t>
  </si>
  <si>
    <t>ReturnParam</t>
  </si>
  <si>
    <t>2</t>
  </si>
  <si>
    <t>Total Rows =</t>
  </si>
  <si>
    <t>5</t>
  </si>
  <si>
    <t>4</t>
  </si>
  <si>
    <t>3</t>
  </si>
  <si>
    <t>PERSTART - Get the Start of the period by date</t>
  </si>
  <si>
    <t>PEREND - Get the End of the period by date</t>
  </si>
  <si>
    <t>CURRPER - Get the Current Period by date</t>
  </si>
  <si>
    <t>PREVPER - Get the Previos Period by date</t>
  </si>
  <si>
    <t>NEXTPER - Get the Next Period by date</t>
  </si>
  <si>
    <t>DAYSINPRD - Get the # of Days in the Period by date</t>
  </si>
  <si>
    <t>WKSINPRD - Get the # of Weeks in the Period by date</t>
  </si>
  <si>
    <t>CURRQTR - Current Quarter</t>
  </si>
  <si>
    <t>QTRSTART - Current Quarter Strart</t>
  </si>
  <si>
    <t>QTREND - Current Quarter End</t>
  </si>
  <si>
    <t>YRSTART - Get the Start of the year by date</t>
  </si>
  <si>
    <t>YREND - Get the End of the year by date</t>
  </si>
  <si>
    <t>DAYSINTOYR - # of Days into Fiscal year by date</t>
  </si>
  <si>
    <t>WKINYR - # of Weeks into Fiscal year by date</t>
  </si>
  <si>
    <t>WKINPRD - # of Weeks into Fiscal period by date</t>
  </si>
  <si>
    <t>DAYSINQTR - Get the # of Days in the Quarter by date</t>
  </si>
  <si>
    <t>WKINQTR - # of Weeks into Fiscal quarter by date</t>
  </si>
  <si>
    <t>currper</t>
  </si>
  <si>
    <t>perstart</t>
  </si>
  <si>
    <t>perend</t>
  </si>
  <si>
    <t>prevper</t>
  </si>
  <si>
    <t>nextper</t>
  </si>
  <si>
    <t>daysinprd</t>
  </si>
  <si>
    <t>wksinprd</t>
  </si>
  <si>
    <t>28</t>
  </si>
  <si>
    <t>Pass/fail</t>
  </si>
  <si>
    <t>P</t>
  </si>
  <si>
    <t>misc / Calc</t>
  </si>
  <si>
    <t>p</t>
  </si>
  <si>
    <t>2012</t>
  </si>
  <si>
    <t>03</t>
  </si>
  <si>
    <t>2020</t>
  </si>
  <si>
    <t>2024</t>
  </si>
  <si>
    <t>Leap Year Days</t>
  </si>
  <si>
    <t>Prevper</t>
  </si>
  <si>
    <t>Feb 20 2012 12:00AM</t>
  </si>
  <si>
    <t>Feb 22 2016 12:00AM</t>
  </si>
  <si>
    <t>Feb 24 2020 12:00AM</t>
  </si>
  <si>
    <t>Feb 26 2024 12:00AM</t>
  </si>
  <si>
    <t>Mar 18 2012 12:00AM</t>
  </si>
  <si>
    <t>Mar 20 2016 12:00AM</t>
  </si>
  <si>
    <t>Mar 22 2020 12:00AM</t>
  </si>
  <si>
    <t>Mar 24 2024 12:00AM</t>
  </si>
  <si>
    <t>2013</t>
  </si>
  <si>
    <t>Nov 26 2012 12:00AM</t>
  </si>
  <si>
    <t>Dec 31 2012 12:00AM</t>
  </si>
  <si>
    <t>2017</t>
  </si>
  <si>
    <t>M</t>
  </si>
  <si>
    <t>2018</t>
  </si>
  <si>
    <t>2019</t>
  </si>
  <si>
    <t>2021</t>
  </si>
  <si>
    <t>35</t>
  </si>
  <si>
    <t>2000</t>
  </si>
  <si>
    <t>2001</t>
  </si>
  <si>
    <t>2002</t>
  </si>
  <si>
    <t>Dec  1 2003 12:00AM</t>
  </si>
  <si>
    <t>2003</t>
  </si>
  <si>
    <t>Nov 29 2004 12:00AM</t>
  </si>
  <si>
    <t>2004</t>
  </si>
  <si>
    <t>Nov 28 2005 12:00AM</t>
  </si>
  <si>
    <t>2005</t>
  </si>
  <si>
    <t>Nov 27 2006 12:00AM</t>
  </si>
  <si>
    <t>2006</t>
  </si>
  <si>
    <t>2007</t>
  </si>
  <si>
    <t>2008</t>
  </si>
  <si>
    <t>2009</t>
  </si>
  <si>
    <t>2010</t>
  </si>
  <si>
    <t>2011</t>
  </si>
  <si>
    <t>2014</t>
  </si>
  <si>
    <t>2015</t>
  </si>
  <si>
    <t>Nov 27 2017 12:00AM</t>
  </si>
  <si>
    <t>2022</t>
  </si>
  <si>
    <t>2023</t>
  </si>
  <si>
    <t>2025</t>
  </si>
  <si>
    <t>Nov 30 2026 12:00AM</t>
  </si>
  <si>
    <t>2026</t>
  </si>
  <si>
    <t>Nov 29 2027 12:00AM</t>
  </si>
  <si>
    <t>2027</t>
  </si>
  <si>
    <t>Nov 27 2028 12:00AM</t>
  </si>
  <si>
    <t>2028</t>
  </si>
  <si>
    <t>Dec  3 2029 12:00AM</t>
  </si>
  <si>
    <t>2029</t>
  </si>
  <si>
    <t>Dec  2 2030 12:00AM</t>
  </si>
  <si>
    <t>2030</t>
  </si>
  <si>
    <t>Last Sunday - period Start</t>
  </si>
  <si>
    <t>Last Sunday - period End</t>
  </si>
  <si>
    <t>Nov  3 2003 12:00AM</t>
  </si>
  <si>
    <t>5th week start</t>
  </si>
  <si>
    <t>5th week End</t>
  </si>
  <si>
    <t>perEnd</t>
  </si>
  <si>
    <t>Dec 30 2001 12:00AM</t>
  </si>
  <si>
    <t>Dec 29 2002 12:00AM</t>
  </si>
  <si>
    <t>Dec 28 2003 12:00AM</t>
  </si>
  <si>
    <t>Dec 26 2004 12:00AM</t>
  </si>
  <si>
    <t>Dec 25 2005 12:00AM</t>
  </si>
  <si>
    <t>Dec 31 2006 12:00AM</t>
  </si>
  <si>
    <t>Dec 30 2007 12:00AM</t>
  </si>
  <si>
    <t>Dec 28 2008 12:00AM</t>
  </si>
  <si>
    <t>Dec 27 2009 12:00AM</t>
  </si>
  <si>
    <t>Dec 26 2010 12:00AM</t>
  </si>
  <si>
    <t>Dec 25 2011 12:00AM</t>
  </si>
  <si>
    <t>Dec 30 2012 12:00AM</t>
  </si>
  <si>
    <t>Dec 29 2013 12:00AM</t>
  </si>
  <si>
    <t>Dec 28 2014 12:00AM</t>
  </si>
  <si>
    <t>Dec 27 2015 12:00AM</t>
  </si>
  <si>
    <t>Dec 25 2016 12:00AM</t>
  </si>
  <si>
    <t>Dec 31 2000 12:00AM</t>
  </si>
  <si>
    <t>Dec 31 2017 12:00AM</t>
  </si>
  <si>
    <t>Dec 31 2028 12:00AM</t>
  </si>
  <si>
    <t>CurrPer</t>
  </si>
  <si>
    <t>prevPer</t>
  </si>
  <si>
    <t>currPer</t>
  </si>
  <si>
    <t>NextPer</t>
  </si>
  <si>
    <t>Nextper</t>
  </si>
  <si>
    <t>Random Days</t>
  </si>
  <si>
    <t>Currper</t>
  </si>
  <si>
    <t>9</t>
  </si>
  <si>
    <t>09</t>
  </si>
  <si>
    <t>05</t>
  </si>
  <si>
    <t>02</t>
  </si>
  <si>
    <t>10</t>
  </si>
  <si>
    <t>6</t>
  </si>
  <si>
    <t>06</t>
  </si>
  <si>
    <t>7</t>
  </si>
  <si>
    <t>08</t>
  </si>
  <si>
    <t>8</t>
  </si>
  <si>
    <t>11</t>
  </si>
  <si>
    <t>07</t>
  </si>
  <si>
    <t>random days</t>
  </si>
  <si>
    <t>Apr 17 2028 12:00AM</t>
  </si>
  <si>
    <t>Mar 20 2017 12:00AM</t>
  </si>
  <si>
    <t>Mar 21 2011 12:00AM</t>
  </si>
  <si>
    <t>May 16 2005 12:00AM</t>
  </si>
  <si>
    <t>Feb 21 2028 12:00AM</t>
  </si>
  <si>
    <t>Apr 17 2006 12:00AM</t>
  </si>
  <si>
    <t>Mar 24 2008 12:00AM</t>
  </si>
  <si>
    <t>Jun 12 2017 12:00AM</t>
  </si>
  <si>
    <t>Dec 30 2019 12:00AM</t>
  </si>
  <si>
    <t>Apr 18 2022 12:00AM</t>
  </si>
  <si>
    <t>Jan 23 2012 12:00AM</t>
  </si>
  <si>
    <t>Jul 15 2019 12:00AM</t>
  </si>
  <si>
    <t>Feb 20 2023 12:00AM</t>
  </si>
  <si>
    <t>Apr 20 2020 12:00AM</t>
  </si>
  <si>
    <t>Aug 10 2020 12:00AM</t>
  </si>
  <si>
    <t>Jun 15 2008 12:00AM</t>
  </si>
  <si>
    <t>Oct  7 2029 12:00AM</t>
  </si>
  <si>
    <t>Feb 19 2023 12:00AM</t>
  </si>
  <si>
    <t>Oct 31 2021 12:00AM</t>
  </si>
  <si>
    <t>Nov 27 2016 12:00AM</t>
  </si>
  <si>
    <t>Jun 10 2012 12:00AM</t>
  </si>
  <si>
    <t>Sep 30 2012 12:00AM</t>
  </si>
  <si>
    <t>Feb 23 2003 12:00AM</t>
  </si>
  <si>
    <t>Jul 15 2007 12:00AM</t>
  </si>
  <si>
    <t>May 19 2002 12:00AM</t>
  </si>
  <si>
    <t>May 17 2015 12:00AM</t>
  </si>
  <si>
    <t>Dec 25 2022 12:00AM</t>
  </si>
  <si>
    <t>Nov  4 2029 12:00AM</t>
  </si>
  <si>
    <t>Jul  9 2017 12:00AM</t>
  </si>
  <si>
    <t>Sep  7 2008 12:00AM</t>
  </si>
  <si>
    <t>DaysInPrd</t>
  </si>
  <si>
    <t>WksInPrd</t>
  </si>
  <si>
    <t>CurrQtr</t>
  </si>
  <si>
    <t>QtrStart</t>
  </si>
  <si>
    <t>TestParam</t>
  </si>
  <si>
    <t>Oct  6 2003 12:00AM</t>
  </si>
  <si>
    <t>Oct  4 2004 12:00AM</t>
  </si>
  <si>
    <t>Oct  3 2005 12:00AM</t>
  </si>
  <si>
    <t>Oct  5 2026 12:00AM</t>
  </si>
  <si>
    <t>Oct  4 2027 12:00AM</t>
  </si>
  <si>
    <t>Oct  2 2028 12:00AM</t>
  </si>
  <si>
    <t>Oct  8 2029 12:00AM</t>
  </si>
  <si>
    <t>Oct  7 2030 12:00AM</t>
  </si>
  <si>
    <t>Oct  8 2001 12:00AM</t>
  </si>
  <si>
    <t>Oct  7 2002 12:00AM</t>
  </si>
  <si>
    <t>Oct  2 2006 12:00AM</t>
  </si>
  <si>
    <t>Oct  8 2007 12:00AM</t>
  </si>
  <si>
    <t>Oct  6 2008 12:00AM</t>
  </si>
  <si>
    <t>Oct  4 2010 12:00AM</t>
  </si>
  <si>
    <t>Oct  3 2011 12:00AM</t>
  </si>
  <si>
    <t>Oct  3 2016 12:00AM</t>
  </si>
  <si>
    <t>Oct  2 2017 12:00AM</t>
  </si>
  <si>
    <t>Jul 14 2003 12:00AM</t>
  </si>
  <si>
    <t>Dec 28 2009 12:00AM</t>
  </si>
  <si>
    <t>Dec 29 2003 12:00AM</t>
  </si>
  <si>
    <t>Result Month</t>
  </si>
  <si>
    <t>yrstart</t>
  </si>
  <si>
    <t>Dec 30 2002 12:00AM</t>
  </si>
  <si>
    <t>Dec 27 2027 12:00AM</t>
  </si>
  <si>
    <t>Jan  1 2029 12:00AM</t>
  </si>
  <si>
    <t>Dec 27 2010 12:00AM</t>
  </si>
  <si>
    <t>Dec 30 2013 12:00AM</t>
  </si>
  <si>
    <t>Dec 29 2014 12:00AM</t>
  </si>
  <si>
    <t>yrEnd</t>
  </si>
  <si>
    <t>Dec 30 2029 12:00AM</t>
  </si>
  <si>
    <t>DaysInToYr</t>
  </si>
  <si>
    <t>364</t>
  </si>
  <si>
    <t>371</t>
  </si>
  <si>
    <t>yr ends</t>
  </si>
  <si>
    <t>Yr Starts</t>
  </si>
  <si>
    <t>Last Sunday - Yr Start</t>
  </si>
  <si>
    <t>Last Sunday - Yr End</t>
  </si>
  <si>
    <t>n/a</t>
  </si>
  <si>
    <t>Last Sunday - Last Day of Year</t>
  </si>
  <si>
    <t>Last Sunday -First Day of Year</t>
  </si>
  <si>
    <t>Last Day of Year</t>
  </si>
  <si>
    <t>First Day of Year</t>
  </si>
  <si>
    <t>WkInYr</t>
  </si>
  <si>
    <t>52</t>
  </si>
  <si>
    <t>53</t>
  </si>
  <si>
    <t>WkInPrd</t>
  </si>
  <si>
    <t>days</t>
  </si>
  <si>
    <t>Apr 17 2016 12:00AM</t>
  </si>
  <si>
    <t>Jul 10 2016 12:00AM</t>
  </si>
  <si>
    <t>DaysInQtr</t>
  </si>
  <si>
    <t>54</t>
  </si>
  <si>
    <t>55</t>
  </si>
  <si>
    <t>56</t>
  </si>
  <si>
    <t>57</t>
  </si>
  <si>
    <t>PREVPERSTART - Get the Start of the previous period by date</t>
  </si>
  <si>
    <t>PREVPEREND - Get the End of the previous period by date</t>
  </si>
  <si>
    <t>NEXTPERSTART - Get the Start of the next period by date</t>
  </si>
  <si>
    <t>NEXTPEREND - Get the End of the next period by date</t>
  </si>
  <si>
    <t>FISCALYEAR - Fiscal Year by date</t>
  </si>
  <si>
    <t>new ones</t>
  </si>
  <si>
    <t>yrend</t>
  </si>
  <si>
    <t>Dec 28 2015|Jan 25 2016|Feb 22 2016|Mar 21 2016|Apr 18 2016|May 16 2016|Jun 13 2016|Jul 11 2016|Aug  8 2016|Sep  5 2016|Oct  3 2016|Oct 31 2016|Nov 28 2016</t>
  </si>
  <si>
    <t>PeriodsInYr</t>
  </si>
  <si>
    <t>Dec 31 2012|Jan 28 2013|Feb 25 2013|Mar 25 2013|Apr 22 2013|May 20 2013|Jun 17 2013|Jul 15 2013|Aug 12 2013|Sep  9 2013|Oct  7 2013|Nov  4 2013|Dec  2 2013</t>
  </si>
  <si>
    <t>Dec 30 2013|Jan 27 2014|Feb 24 2014|Mar 24 2014|Apr 21 2014|May 19 2014|Jun 16 2014|Jul 14 2014|Aug 11 2014|Sep  8 2014|Oct  6 2014|Nov  3 2014|Dec  1 2014</t>
  </si>
  <si>
    <t>Dec 26 2016|Jan 23 2017|Feb 20 2017|Mar 20 2017|Apr 17 2017|May 15 2017|Jun 12 2017|Jul 10 2017|Aug  7 2017|Sep  4 2017|Oct  2 2017|Oct 30 2017|Nov 27 2017</t>
  </si>
  <si>
    <t>Jan  1 2018|Jan 29 2018|Feb 26 2018|Mar 26 2018|Apr 23 2018|May 21 2018|Jun 18 2018|Jul 16 2018|Aug 13 2018|Sep 10 2018|Oct  8 2018|Nov  5 2018|Dec  3 2018</t>
  </si>
  <si>
    <t>random date generated</t>
  </si>
  <si>
    <t>Dec 27 2010|Jan 24 2011|Feb 21 2011|Mar 21 2011|Apr 18 2011|May 16 2011|Jun 13 2011|Jul 11 2011|Aug  8 2011|Sep  5 2011|Oct  3 2011|Oct 31 2011|Nov 28 2011</t>
  </si>
  <si>
    <t>Dec 29 2003|Jan 26 2004|Feb 23 2004|Mar 22 2004|Apr 19 2004|May 17 2004|Jun 14 2004|Jul 12 2004|Aug  9 2004|Sep  6 2004|Oct  4 2004|Nov  1 2004|Nov 29 2004</t>
  </si>
  <si>
    <t>Dec 31 2007|Jan 28 2008|Feb 25 2008|Mar 24 2008|Apr 21 2008|May 19 2008|Jun 16 2008|Jul 14 2008|Aug 11 2008|Sep  8 2008|Oct  6 2008|Nov  3 2008|Dec  1 2008</t>
  </si>
  <si>
    <t>Jan  1 2029|Jan 29 2029|Feb 26 2029|Mar 26 2029|Apr 23 2029|May 21 2029|Jun 18 2029|Jul 16 2029|Aug 13 2029|Sep 10 2029|Oct  8 2029|Nov  5 2029|Dec  3 2029</t>
  </si>
  <si>
    <t>Dec 26 2022|Jan 23 2023|Feb 20 2023|Mar 20 2023|Apr 17 2023|May 15 2023|Jun 12 2023|Jul 10 2023|Aug  7 2023|Sep  4 2023|Oct  2 2023|Oct 30 2023|Nov 27 2023</t>
  </si>
  <si>
    <t>Dec 27 2004|Jan 24 2005|Feb 21 2005|Mar 21 2005|Apr 18 2005|May 16 2005|Jun 13 2005|Jul 11 2005|Aug  8 2005|Sep  5 2005|Oct  3 2005|Oct 31 2005|Nov 28 2005</t>
  </si>
  <si>
    <t>Dec 30 2002|Jan 27 2003|Feb 24 2003|Mar 24 2003|Apr 21 2003|May 19 2003|Jun 16 2003|Jul 14 2003|Aug 11 2003|Sep  8 2003|Oct  6 2003|Nov  3 2003|Dec  1 2003</t>
  </si>
  <si>
    <t>Dec 31 2001|Jan 28 2002|Feb 25 2002|Mar 25 2002|Apr 22 2002|May 20 2002|Jun 17 2002|Jul 15 2002|Aug 12 2002|Sep  9 2002|Oct  7 2002|Nov  4 2002|Dec  2 2002</t>
  </si>
  <si>
    <t>Dec 29 2008|Jan 26 2009|Feb 23 2009|Mar 23 2009|Apr 20 2009|May 18 2009|Jun 15 2009|Jul 13 2009|Aug 10 2009|Sep  7 2009|Oct  5 2009|Nov  2 2009|Nov 30 2009</t>
  </si>
  <si>
    <t>Jan  1 2007|Jan 29 2007|Feb 26 2007|Mar 26 2007|Apr 23 2007|May 21 2007|Jun 18 2007|Jul 16 2007|Aug 13 2007|Sep 10 2007|Oct  8 2007|Nov  5 2007|Dec  3 2007</t>
  </si>
  <si>
    <t>Jan  1 2001|Jan 29 2001|Feb 26 2001|Mar 26 2001|Apr 23 2001|May 21 2001|Jun 18 2001|Jul 16 2001|Aug 13 2001|Sep 10 2001|Oct  8 2001|Nov  5 2001|Dec  3 2001</t>
  </si>
  <si>
    <t>Dec 27 2021|Jan 24 2022|Feb 21 2022|Mar 21 2022|Apr 18 2022|May 16 2022|Jun 13 2022|Jul 11 2022|Aug  8 2022|Sep  5 2022|Oct  3 2022|Oct 31 2022|Nov 28 2022</t>
  </si>
  <si>
    <t>Jan  1 2024|Jan 29 2024|Feb 26 2024|Mar 25 2024|Apr 22 2024|May 20 2024|Jun 17 2024|Jul 15 2024|Aug 12 2024|Sep  9 2024|Oct  7 2024|Nov  4 2024|Dec  2 2024</t>
  </si>
  <si>
    <t>Dec 30 2019|Jan 27 2020|Feb 24 2020|Mar 23 2020|Apr 20 2020|May 18 2020|Jun 15 2020|Jul 13 2020|Aug 10 2020|Sep  7 2020|Oct  5 2020|Nov  2 2020|Nov 30 2020</t>
  </si>
  <si>
    <t>Dec 29 2025|Jan 26 2026|Feb 23 2026|Mar 23 2026|Apr 20 2026|May 18 2026|Jun 15 2026|Jul 13 2026|Aug 10 2026|Sep  7 2026|Oct  5 2026|Nov  2 2026|Nov 30 2026</t>
  </si>
  <si>
    <t>Dec 28 2009|Jan 25 2010|Feb 22 2010|Mar 22 2010|Apr 19 2010|May 17 2010|Jun 14 2010|Jul 12 2010|Aug  9 2010|Sep  6 2010|Oct  4 2010|Nov  1 2010|Nov 29 2010</t>
  </si>
  <si>
    <t>Dec 30 2024|Jan 27 2025|Feb 24 2025|Mar 24 2025|Apr 21 2025|May 19 2025|Jun 16 2025|Jul 14 2025|Aug 11 2025|Sep  8 2025|Oct  6 2025|Nov  3 2025|Dec  1 2025</t>
  </si>
  <si>
    <t>Dec 29 2014|Jan 26 2015|Feb 23 2015|Mar 23 2015|Apr 20 2015|May 18 2015|Jun 15 2015|Jul 13 2015|Aug 10 2015|Sep  7 2015|Oct  5 2015|Nov  2 2015|Nov 30 2015</t>
  </si>
  <si>
    <t>Result (verified with actual calendars)    - Periods</t>
  </si>
  <si>
    <t>Dec 31 2012</t>
  </si>
  <si>
    <t>Jan 28 2013</t>
  </si>
  <si>
    <t>Feb 25 2013</t>
  </si>
  <si>
    <t>Mar 25 2013</t>
  </si>
  <si>
    <t>Apr 22 2013</t>
  </si>
  <si>
    <t>May 20 2013</t>
  </si>
  <si>
    <t>Jun 17 2013</t>
  </si>
  <si>
    <t>Jul 15 2013</t>
  </si>
  <si>
    <t>Aug 12 2013</t>
  </si>
  <si>
    <t>Sep  9 2013</t>
  </si>
  <si>
    <t>Oct  7 2013</t>
  </si>
  <si>
    <t>Nov  4 2013</t>
  </si>
  <si>
    <t>Dec  2 2013</t>
  </si>
  <si>
    <t>Dec 30 2013</t>
  </si>
  <si>
    <t>Jan 27 2014</t>
  </si>
  <si>
    <t>Feb 24 2014</t>
  </si>
  <si>
    <t>Mar 24 2014</t>
  </si>
  <si>
    <t>Apr 21 2014</t>
  </si>
  <si>
    <t>May 19 2014</t>
  </si>
  <si>
    <t>Jun 16 2014</t>
  </si>
  <si>
    <t>Jul 14 2014</t>
  </si>
  <si>
    <t>Aug 11 2014</t>
  </si>
  <si>
    <t>Sep  8 2014</t>
  </si>
  <si>
    <t>Oct  6 2014</t>
  </si>
  <si>
    <t>Nov  3 2014</t>
  </si>
  <si>
    <t>Dec  1 2014</t>
  </si>
  <si>
    <t>Dec 28 2015</t>
  </si>
  <si>
    <t>Jan 25 2016</t>
  </si>
  <si>
    <t>Feb 22 2016</t>
  </si>
  <si>
    <t>Mar 21 2016</t>
  </si>
  <si>
    <t>Apr 18 2016</t>
  </si>
  <si>
    <t>May 16 2016</t>
  </si>
  <si>
    <t>Jun 13 2016</t>
  </si>
  <si>
    <t>Jul 11 2016</t>
  </si>
  <si>
    <t>Aug  8 2016</t>
  </si>
  <si>
    <t>Sep  5 2016</t>
  </si>
  <si>
    <t>Oct  3 2016</t>
  </si>
  <si>
    <t>Oct 31 2016</t>
  </si>
  <si>
    <t>Nov 28 2016</t>
  </si>
  <si>
    <t>Dec 26 2016</t>
  </si>
  <si>
    <t>Jan 23 2017</t>
  </si>
  <si>
    <t>Feb 20 2017</t>
  </si>
  <si>
    <t>Mar 20 2017</t>
  </si>
  <si>
    <t>Apr 17 2017</t>
  </si>
  <si>
    <t>May 15 2017</t>
  </si>
  <si>
    <t>Jun 12 2017</t>
  </si>
  <si>
    <t>Jul 10 2017</t>
  </si>
  <si>
    <t>Aug  7 2017</t>
  </si>
  <si>
    <t>Sep  4 2017</t>
  </si>
  <si>
    <t>Oct  2 2017</t>
  </si>
  <si>
    <t>Oct 30 2017</t>
  </si>
  <si>
    <t>Nov 27 2017</t>
  </si>
  <si>
    <t>Jan  1 2018</t>
  </si>
  <si>
    <t>Jan 29 2018</t>
  </si>
  <si>
    <t>Feb 26 2018</t>
  </si>
  <si>
    <t>Mar 26 2018</t>
  </si>
  <si>
    <t>Apr 23 2018</t>
  </si>
  <si>
    <t>May 21 2018</t>
  </si>
  <si>
    <t>Jun 18 2018</t>
  </si>
  <si>
    <t>Jul 16 2018</t>
  </si>
  <si>
    <t>Aug 13 2018</t>
  </si>
  <si>
    <t>Sep 10 2018</t>
  </si>
  <si>
    <t>Oct  8 2018</t>
  </si>
  <si>
    <t>Nov  5 2018</t>
  </si>
  <si>
    <t>Dec  3 2018</t>
  </si>
  <si>
    <t>Dec 27 2010</t>
  </si>
  <si>
    <t>Jan 24 2011</t>
  </si>
  <si>
    <t>Feb 21 2011</t>
  </si>
  <si>
    <t>Mar 21 2011</t>
  </si>
  <si>
    <t>Apr 18 2011</t>
  </si>
  <si>
    <t>May 16 2011</t>
  </si>
  <si>
    <t>Jun 13 2011</t>
  </si>
  <si>
    <t>Jul 11 2011</t>
  </si>
  <si>
    <t>Aug  8 2011</t>
  </si>
  <si>
    <t>Sep  5 2011</t>
  </si>
  <si>
    <t>Oct  3 2011</t>
  </si>
  <si>
    <t>Oct 31 2011</t>
  </si>
  <si>
    <t>Nov 28 2011</t>
  </si>
  <si>
    <t>Dec 30 2002</t>
  </si>
  <si>
    <t>Jan 27 2003</t>
  </si>
  <si>
    <t>Feb 24 2003</t>
  </si>
  <si>
    <t>Mar 24 2003</t>
  </si>
  <si>
    <t>Apr 21 2003</t>
  </si>
  <si>
    <t>May 19 2003</t>
  </si>
  <si>
    <t>Jun 16 2003</t>
  </si>
  <si>
    <t>Jul 14 2003</t>
  </si>
  <si>
    <t>Aug 11 2003</t>
  </si>
  <si>
    <t>Sep  8 2003</t>
  </si>
  <si>
    <t>Oct  6 2003</t>
  </si>
  <si>
    <t>Nov  3 2003</t>
  </si>
  <si>
    <t>Dec  1 2003</t>
  </si>
  <si>
    <t>Dec 27 2004</t>
  </si>
  <si>
    <t>Jan 24 2005</t>
  </si>
  <si>
    <t>Feb 21 2005</t>
  </si>
  <si>
    <t>Mar 21 2005</t>
  </si>
  <si>
    <t>Apr 18 2005</t>
  </si>
  <si>
    <t>May 16 2005</t>
  </si>
  <si>
    <t>Jun 13 2005</t>
  </si>
  <si>
    <t>Jul 11 2005</t>
  </si>
  <si>
    <t>Aug  8 2005</t>
  </si>
  <si>
    <t>Sep  5 2005</t>
  </si>
  <si>
    <t>Oct  3 2005</t>
  </si>
  <si>
    <t>Oct 31 2005</t>
  </si>
  <si>
    <t>Nov 28 2005</t>
  </si>
  <si>
    <t>Dec 30 2019</t>
  </si>
  <si>
    <t>Jan 27 2020</t>
  </si>
  <si>
    <t>Feb 24 2020</t>
  </si>
  <si>
    <t>Mar 23 2020</t>
  </si>
  <si>
    <t>Apr 20 2020</t>
  </si>
  <si>
    <t>May 18 2020</t>
  </si>
  <si>
    <t>Jun 15 2020</t>
  </si>
  <si>
    <t>Jul 13 2020</t>
  </si>
  <si>
    <t>Aug 10 2020</t>
  </si>
  <si>
    <t>Sep  7 2020</t>
  </si>
  <si>
    <t>Oct  5 2020</t>
  </si>
  <si>
    <t>Nov  2 2020</t>
  </si>
  <si>
    <t>Nov 30 2020</t>
  </si>
  <si>
    <t>Jan  1 2024</t>
  </si>
  <si>
    <t>Jan 29 2024</t>
  </si>
  <si>
    <t>Feb 26 2024</t>
  </si>
  <si>
    <t>Mar 25 2024</t>
  </si>
  <si>
    <t>Apr 22 2024</t>
  </si>
  <si>
    <t>May 20 2024</t>
  </si>
  <si>
    <t>Jun 17 2024</t>
  </si>
  <si>
    <t>Jul 15 2024</t>
  </si>
  <si>
    <t>Aug 12 2024</t>
  </si>
  <si>
    <t>Sep  9 2024</t>
  </si>
  <si>
    <t>Oct  7 2024</t>
  </si>
  <si>
    <t>Nov  4 2024</t>
  </si>
  <si>
    <t>Dec  2 2024</t>
  </si>
  <si>
    <t>Dec 29 2014</t>
  </si>
  <si>
    <t>Jan 26 2015</t>
  </si>
  <si>
    <t>Feb 23 2015</t>
  </si>
  <si>
    <t>Mar 23 2015</t>
  </si>
  <si>
    <t>Apr 20 2015</t>
  </si>
  <si>
    <t>May 18 2015</t>
  </si>
  <si>
    <t>Jun 15 2015</t>
  </si>
  <si>
    <t>Jul 13 2015</t>
  </si>
  <si>
    <t>Aug 10 2015</t>
  </si>
  <si>
    <t>Sep  7 2015</t>
  </si>
  <si>
    <t>Oct  5 2015</t>
  </si>
  <si>
    <t>Nov  2 2015</t>
  </si>
  <si>
    <t>Nov 30 2015</t>
  </si>
  <si>
    <t>Dec 27 2021</t>
  </si>
  <si>
    <t>Jan 24 2022</t>
  </si>
  <si>
    <t>Feb 21 2022</t>
  </si>
  <si>
    <t>Mar 21 2022</t>
  </si>
  <si>
    <t>Apr 18 2022</t>
  </si>
  <si>
    <t>May 16 2022</t>
  </si>
  <si>
    <t>Jun 13 2022</t>
  </si>
  <si>
    <t>Jul 11 2022</t>
  </si>
  <si>
    <t>Aug  8 2022</t>
  </si>
  <si>
    <t>Sep  5 2022</t>
  </si>
  <si>
    <t>Oct  3 2022</t>
  </si>
  <si>
    <t>Oct 31 2022</t>
  </si>
  <si>
    <t>Nov 28 2022</t>
  </si>
  <si>
    <t>Jan  1 2007</t>
  </si>
  <si>
    <t>Jan 29 2007</t>
  </si>
  <si>
    <t>Feb 26 2007</t>
  </si>
  <si>
    <t>Mar 26 2007</t>
  </si>
  <si>
    <t>Apr 23 2007</t>
  </si>
  <si>
    <t>May 21 2007</t>
  </si>
  <si>
    <t>Jun 18 2007</t>
  </si>
  <si>
    <t>Jul 16 2007</t>
  </si>
  <si>
    <t>Aug 13 2007</t>
  </si>
  <si>
    <t>Sep 10 2007</t>
  </si>
  <si>
    <t>Oct  8 2007</t>
  </si>
  <si>
    <t>Nov  5 2007</t>
  </si>
  <si>
    <t>Dec  3 2007</t>
  </si>
  <si>
    <t>Dec 31 2001</t>
  </si>
  <si>
    <t>Jan 28 2002</t>
  </si>
  <si>
    <t>Feb 25 2002</t>
  </si>
  <si>
    <t>Mar 25 2002</t>
  </si>
  <si>
    <t>Apr 22 2002</t>
  </si>
  <si>
    <t>May 20 2002</t>
  </si>
  <si>
    <t>Jun 17 2002</t>
  </si>
  <si>
    <t>Jul 15 2002</t>
  </si>
  <si>
    <t>Aug 12 2002</t>
  </si>
  <si>
    <t>Sep  9 2002</t>
  </si>
  <si>
    <t>Oct  7 2002</t>
  </si>
  <si>
    <t>Nov  4 2002</t>
  </si>
  <si>
    <t>Dec  2 2002</t>
  </si>
  <si>
    <t>Dec 29 2008</t>
  </si>
  <si>
    <t>Jan 26 2009</t>
  </si>
  <si>
    <t>Feb 23 2009</t>
  </si>
  <si>
    <t>Mar 23 2009</t>
  </si>
  <si>
    <t>Apr 20 2009</t>
  </si>
  <si>
    <t>May 18 2009</t>
  </si>
  <si>
    <t>Jun 15 2009</t>
  </si>
  <si>
    <t>Jul 13 2009</t>
  </si>
  <si>
    <t>Aug 10 2009</t>
  </si>
  <si>
    <t>Sep  7 2009</t>
  </si>
  <si>
    <t>Oct  5 2009</t>
  </si>
  <si>
    <t>Nov  2 2009</t>
  </si>
  <si>
    <t>Nov 30 2009</t>
  </si>
  <si>
    <t>Dec 31 2007</t>
  </si>
  <si>
    <t>Jan 28 2008</t>
  </si>
  <si>
    <t>Feb 25 2008</t>
  </si>
  <si>
    <t>Mar 24 2008</t>
  </si>
  <si>
    <t>Apr 21 2008</t>
  </si>
  <si>
    <t>May 19 2008</t>
  </si>
  <si>
    <t>Jun 16 2008</t>
  </si>
  <si>
    <t>Jul 14 2008</t>
  </si>
  <si>
    <t>Aug 11 2008</t>
  </si>
  <si>
    <t>Sep  8 2008</t>
  </si>
  <si>
    <t>Oct  6 2008</t>
  </si>
  <si>
    <t>Nov  3 2008</t>
  </si>
  <si>
    <t>Dec  1 2008</t>
  </si>
  <si>
    <t>Jan  1 2029</t>
  </si>
  <si>
    <t>Jan 29 2029</t>
  </si>
  <si>
    <t>Feb 26 2029</t>
  </si>
  <si>
    <t>Mar 26 2029</t>
  </si>
  <si>
    <t>Apr 23 2029</t>
  </si>
  <si>
    <t>May 21 2029</t>
  </si>
  <si>
    <t>Jun 18 2029</t>
  </si>
  <si>
    <t>Jul 16 2029</t>
  </si>
  <si>
    <t>Aug 13 2029</t>
  </si>
  <si>
    <t>Sep 10 2029</t>
  </si>
  <si>
    <t>Oct  8 2029</t>
  </si>
  <si>
    <t>Nov  5 2029</t>
  </si>
  <si>
    <t>Dec  3 2029</t>
  </si>
  <si>
    <t>Jan  1 2001</t>
  </si>
  <si>
    <t>Jan 29 2001</t>
  </si>
  <si>
    <t>Feb 26 2001</t>
  </si>
  <si>
    <t>Mar 26 2001</t>
  </si>
  <si>
    <t>Apr 23 2001</t>
  </si>
  <si>
    <t>May 21 2001</t>
  </si>
  <si>
    <t>Jun 18 2001</t>
  </si>
  <si>
    <t>Jul 16 2001</t>
  </si>
  <si>
    <t>Aug 13 2001</t>
  </si>
  <si>
    <t>Sep 10 2001</t>
  </si>
  <si>
    <t>Oct  8 2001</t>
  </si>
  <si>
    <t>Nov  5 2001</t>
  </si>
  <si>
    <t>Dec  3 2001</t>
  </si>
  <si>
    <t>Dec 28 2009</t>
  </si>
  <si>
    <t>Jan 25 2010</t>
  </si>
  <si>
    <t>Feb 22 2010</t>
  </si>
  <si>
    <t>Mar 22 2010</t>
  </si>
  <si>
    <t>Apr 19 2010</t>
  </si>
  <si>
    <t>May 17 2010</t>
  </si>
  <si>
    <t>Jun 14 2010</t>
  </si>
  <si>
    <t>Jul 12 2010</t>
  </si>
  <si>
    <t>Aug  9 2010</t>
  </si>
  <si>
    <t>Sep  6 2010</t>
  </si>
  <si>
    <t>Oct  4 2010</t>
  </si>
  <si>
    <t>Nov  1 2010</t>
  </si>
  <si>
    <t>Nov 29 2010</t>
  </si>
  <si>
    <t>Dec 30 2024</t>
  </si>
  <si>
    <t>Jan 27 2025</t>
  </si>
  <si>
    <t>Feb 24 2025</t>
  </si>
  <si>
    <t>Mar 24 2025</t>
  </si>
  <si>
    <t>Apr 21 2025</t>
  </si>
  <si>
    <t>May 19 2025</t>
  </si>
  <si>
    <t>Jun 16 2025</t>
  </si>
  <si>
    <t>Jul 14 2025</t>
  </si>
  <si>
    <t>Aug 11 2025</t>
  </si>
  <si>
    <t>Sep  8 2025</t>
  </si>
  <si>
    <t>Oct  6 2025</t>
  </si>
  <si>
    <t>Nov  3 2025</t>
  </si>
  <si>
    <t>Dec  1 2025</t>
  </si>
  <si>
    <t>Dec 29 2025</t>
  </si>
  <si>
    <t>Jan 26 2026</t>
  </si>
  <si>
    <t>Feb 23 2026</t>
  </si>
  <si>
    <t>Mar 23 2026</t>
  </si>
  <si>
    <t>Apr 20 2026</t>
  </si>
  <si>
    <t>May 18 2026</t>
  </si>
  <si>
    <t>Jun 15 2026</t>
  </si>
  <si>
    <t>Jul 13 2026</t>
  </si>
  <si>
    <t>Aug 10 2026</t>
  </si>
  <si>
    <t>Sep  7 2026</t>
  </si>
  <si>
    <t>Oct  5 2026</t>
  </si>
  <si>
    <t>Nov  2 2026</t>
  </si>
  <si>
    <t>Nov 30 2026</t>
  </si>
  <si>
    <t>Dec 29 2003</t>
  </si>
  <si>
    <t>Jan 26 2004</t>
  </si>
  <si>
    <t>Feb 23 2004</t>
  </si>
  <si>
    <t>Mar 22 2004</t>
  </si>
  <si>
    <t>Apr 19 2004</t>
  </si>
  <si>
    <t>May 17 2004</t>
  </si>
  <si>
    <t>Jun 14 2004</t>
  </si>
  <si>
    <t>Jul 12 2004</t>
  </si>
  <si>
    <t>Aug  9 2004</t>
  </si>
  <si>
    <t>Sep  6 2004</t>
  </si>
  <si>
    <t>Oct  4 2004</t>
  </si>
  <si>
    <t>Nov  1 2004</t>
  </si>
  <si>
    <t>Nov 29 2004</t>
  </si>
  <si>
    <t>Dec 26 2022</t>
  </si>
  <si>
    <t>Jan 23 2023</t>
  </si>
  <si>
    <t>Feb 20 2023</t>
  </si>
  <si>
    <t>Mar 20 2023</t>
  </si>
  <si>
    <t>Apr 17 2023</t>
  </si>
  <si>
    <t>May 15 2023</t>
  </si>
  <si>
    <t>Jun 12 2023</t>
  </si>
  <si>
    <t>Jul 10 2023</t>
  </si>
  <si>
    <t>Aug  7 2023</t>
  </si>
  <si>
    <t>Sep  4 2023</t>
  </si>
  <si>
    <t>Oct  2 2023</t>
  </si>
  <si>
    <t>Oct 30 2023</t>
  </si>
  <si>
    <t>Nov 27 2023</t>
  </si>
  <si>
    <t>Periods</t>
  </si>
  <si>
    <t>P2</t>
  </si>
  <si>
    <t>P3</t>
  </si>
  <si>
    <t>P4</t>
  </si>
  <si>
    <t>P6</t>
  </si>
  <si>
    <t>P7</t>
  </si>
  <si>
    <t>P9</t>
  </si>
  <si>
    <t>P10</t>
  </si>
  <si>
    <t>P12</t>
  </si>
  <si>
    <t>P13</t>
  </si>
  <si>
    <r>
      <t xml:space="preserve">P1 /  </t>
    </r>
    <r>
      <rPr>
        <sz val="11"/>
        <color rgb="FFFF0000"/>
        <rFont val="Calibri"/>
        <family val="2"/>
        <scheme val="minor"/>
      </rPr>
      <t>Q1</t>
    </r>
  </si>
  <si>
    <r>
      <t>P5 /</t>
    </r>
    <r>
      <rPr>
        <sz val="11"/>
        <color rgb="FFFF0000"/>
        <rFont val="Calibri"/>
        <family val="2"/>
        <scheme val="minor"/>
      </rPr>
      <t xml:space="preserve"> Q2</t>
    </r>
  </si>
  <si>
    <r>
      <t>P11 /</t>
    </r>
    <r>
      <rPr>
        <sz val="11"/>
        <color rgb="FFFF0000"/>
        <rFont val="Calibri"/>
        <family val="2"/>
        <scheme val="minor"/>
      </rPr>
      <t xml:space="preserve"> Q4</t>
    </r>
  </si>
  <si>
    <r>
      <t xml:space="preserve">P8/ </t>
    </r>
    <r>
      <rPr>
        <sz val="11"/>
        <color rgb="FFFF0000"/>
        <rFont val="Calibri"/>
        <family val="2"/>
        <scheme val="minor"/>
      </rPr>
      <t>Q3</t>
    </r>
  </si>
  <si>
    <t>Dec 28 2015 12:00AM</t>
  </si>
  <si>
    <t>Apr 18 2016 12:00AM</t>
  </si>
  <si>
    <t>Apr 17 2017 12:00AM</t>
  </si>
  <si>
    <t>Dec 26 2016 12:00AM</t>
  </si>
  <si>
    <t>Apr 21 2003 12:00AM</t>
  </si>
  <si>
    <t>Jul 11 2005 12:00AM</t>
  </si>
  <si>
    <t>Oct  7 2024 12:00AM</t>
  </si>
  <si>
    <t>Jul 11 2022 12:00AM</t>
  </si>
  <si>
    <t>Apr 23 2007 12:00AM</t>
  </si>
  <si>
    <t>Dec 29 2008 12:00AM</t>
  </si>
  <si>
    <t>Jul 14 2008 12:00AM</t>
  </si>
  <si>
    <t>Apr 21 2008 12:00AM</t>
  </si>
  <si>
    <t>Jul 16 2018 12:00AM</t>
  </si>
  <si>
    <t>Jul 16 2001 12:00AM</t>
  </si>
  <si>
    <t>Jan  1 2007 12:00AM</t>
  </si>
  <si>
    <t>Dec 31 2001 12:00AM</t>
  </si>
  <si>
    <t>Dec 30 2024 12:00AM</t>
  </si>
  <si>
    <t>Jul 13 2026 12:00AM</t>
  </si>
  <si>
    <t>Jul 11 2011 12:00AM</t>
  </si>
  <si>
    <t>Apr 22 2013 12:00AM</t>
  </si>
  <si>
    <t>Jul 10 2017 12:00AM</t>
  </si>
  <si>
    <t>Jul 10 2023 12:00AM</t>
  </si>
  <si>
    <t>Dec 28 2026</t>
  </si>
  <si>
    <t>Jan 25 2027</t>
  </si>
  <si>
    <t>Feb 22 2027</t>
  </si>
  <si>
    <t>Mar 22 2027</t>
  </si>
  <si>
    <t>Apr 19 2027</t>
  </si>
  <si>
    <t>May 17 2027</t>
  </si>
  <si>
    <t>Jun 14 2027</t>
  </si>
  <si>
    <t>Jul 12 2027</t>
  </si>
  <si>
    <t>Aug  9 2027</t>
  </si>
  <si>
    <t>Sep  6 2027</t>
  </si>
  <si>
    <t>Oct  4 2027</t>
  </si>
  <si>
    <t>Nov  1 2027</t>
  </si>
  <si>
    <t>Nov 29 2027</t>
  </si>
  <si>
    <t>Dec 27 2027</t>
  </si>
  <si>
    <t>Jan 24 2028</t>
  </si>
  <si>
    <t>Feb 21 2028</t>
  </si>
  <si>
    <t>Mar 20 2028</t>
  </si>
  <si>
    <t>Apr 17 2028</t>
  </si>
  <si>
    <t>May 15 2028</t>
  </si>
  <si>
    <t>Jun 12 2028</t>
  </si>
  <si>
    <t>Jul 10 2028</t>
  </si>
  <si>
    <t>Aug  7 2028</t>
  </si>
  <si>
    <t>Sep  4 2028</t>
  </si>
  <si>
    <t>Oct  2 2028</t>
  </si>
  <si>
    <t>Oct 30 2028</t>
  </si>
  <si>
    <t>Nov 27 2028</t>
  </si>
  <si>
    <t>Dec 31 2029</t>
  </si>
  <si>
    <t>Jan 28 2030</t>
  </si>
  <si>
    <t>Feb 25 2030</t>
  </si>
  <si>
    <t>Mar 25 2030</t>
  </si>
  <si>
    <t>Apr 22 2030</t>
  </si>
  <si>
    <t>May 20 2030</t>
  </si>
  <si>
    <t>Jun 17 2030</t>
  </si>
  <si>
    <t>Jul 15 2030</t>
  </si>
  <si>
    <t>Aug 12 2030</t>
  </si>
  <si>
    <t>Sep  9 2030</t>
  </si>
  <si>
    <t>Oct  7 2030</t>
  </si>
  <si>
    <t>Nov  4 2030</t>
  </si>
  <si>
    <t>Dec  2 2030</t>
  </si>
  <si>
    <t>Dec 26 2005</t>
  </si>
  <si>
    <t>Jan 23 2006</t>
  </si>
  <si>
    <t>Feb 20 2006</t>
  </si>
  <si>
    <t>Mar 20 2006</t>
  </si>
  <si>
    <t>Apr 17 2006</t>
  </si>
  <si>
    <t>May 15 2006</t>
  </si>
  <si>
    <t>Jun 12 2006</t>
  </si>
  <si>
    <t>Jul 10 2006</t>
  </si>
  <si>
    <t>Aug  7 2006</t>
  </si>
  <si>
    <t>Sep  4 2006</t>
  </si>
  <si>
    <t>Oct  2 2006</t>
  </si>
  <si>
    <t>Oct 30 2006</t>
  </si>
  <si>
    <t>Nov 27 2006</t>
  </si>
  <si>
    <t>Qtrend</t>
  </si>
  <si>
    <t>Apr 21 2013 12:00AM</t>
  </si>
  <si>
    <t>Apr 20 2014 12:00AM</t>
  </si>
  <si>
    <t>Dec 27 2026 12:00AM</t>
  </si>
  <si>
    <t>Dec 26 2027 12:00AM</t>
  </si>
  <si>
    <t>Dec 29 2030 12:00AM</t>
  </si>
  <si>
    <t>Apr 16 2017 12:00AM</t>
  </si>
  <si>
    <t>Jul 13 2003 12:00AM</t>
  </si>
  <si>
    <t>Apr 19 2020 12:00AM</t>
  </si>
  <si>
    <t>Dec 29 2024 12:00AM</t>
  </si>
  <si>
    <t>Apr 19 2015 12:00AM</t>
  </si>
  <si>
    <t>Oct  2 2022 12:00AM</t>
  </si>
  <si>
    <t>Apr 19 2009 12:00AM</t>
  </si>
  <si>
    <t>Oct  5 2008 12:00AM</t>
  </si>
  <si>
    <t>Jul 13 2008 12:00AM</t>
  </si>
  <si>
    <t>Oct  7 2018 12:00AM</t>
  </si>
  <si>
    <t>Apr 22 2007 12:00AM</t>
  </si>
  <si>
    <t>Apr 18 2010 12:00AM</t>
  </si>
  <si>
    <t>Apr 21 2002 12:00AM</t>
  </si>
  <si>
    <t>Apr 22 2029 12:00AM</t>
  </si>
  <si>
    <t>Apr 20 2025 12:00AM</t>
  </si>
  <si>
    <t>Oct  4 2026 12:00AM</t>
  </si>
  <si>
    <t>Oct  2 2011 12:00AM</t>
  </si>
  <si>
    <t>Jul 14 2013 12:00AM</t>
  </si>
  <si>
    <t>Apr 18 2004 12:00AM</t>
  </si>
  <si>
    <t>Oct  1 2017 12:00AM</t>
  </si>
  <si>
    <t>Oct  1 2023 12:00AM</t>
  </si>
  <si>
    <t>Nov 30 2003 12:00AM</t>
  </si>
  <si>
    <t>Nov 27 2011 12:00AM</t>
  </si>
  <si>
    <t>Dec  1 2002 12:00AM</t>
  </si>
  <si>
    <t>Nov 28 2010 12:00AM</t>
  </si>
  <si>
    <r>
      <rPr>
        <sz val="11"/>
        <color rgb="FF00B050"/>
        <rFont val="Calibri"/>
        <family val="2"/>
        <scheme val="minor"/>
      </rPr>
      <t>P13 End</t>
    </r>
    <r>
      <rPr>
        <sz val="11"/>
        <color theme="1"/>
        <rFont val="Calibri"/>
        <family val="2"/>
        <scheme val="minor"/>
      </rPr>
      <t xml:space="preserve"> / </t>
    </r>
    <r>
      <rPr>
        <sz val="11"/>
        <color rgb="FFFF0000"/>
        <rFont val="Calibri"/>
        <family val="2"/>
        <scheme val="minor"/>
      </rPr>
      <t>Q4 End</t>
    </r>
  </si>
  <si>
    <t>Dec 28 2003</t>
  </si>
  <si>
    <t>Dec 26 2004</t>
  </si>
  <si>
    <t>Dec 25 2005</t>
  </si>
  <si>
    <t>Dec 27 2026</t>
  </si>
  <si>
    <t>Dec 26 2027</t>
  </si>
  <si>
    <t>Dec 31 2028</t>
  </si>
  <si>
    <t>Dec 30 2029</t>
  </si>
  <si>
    <t>Dec 29 2030</t>
  </si>
  <si>
    <t>Dec 30 2001</t>
  </si>
  <si>
    <t>Dec 29 2002</t>
  </si>
  <si>
    <t>Dec 31 2006</t>
  </si>
  <si>
    <t>Dec 30 2007</t>
  </si>
  <si>
    <t>Dec 28 2008</t>
  </si>
  <si>
    <t>Dec 31 2017</t>
  </si>
  <si>
    <t>Dec 27 2020 12:00AM</t>
  </si>
  <si>
    <t>Dec 30 2018 12:00AM</t>
  </si>
  <si>
    <t>Dec 28 2025 12:00AM</t>
  </si>
  <si>
    <t>Dec 31 2023 12:00AM</t>
  </si>
  <si>
    <t>Dec 29 2013</t>
  </si>
  <si>
    <t>Dec 28 2014</t>
  </si>
  <si>
    <t>Dec 25 2016</t>
  </si>
  <si>
    <t>Dec 25 2011</t>
  </si>
  <si>
    <t>Dec 27 2020</t>
  </si>
  <si>
    <t>Dec 29 2024</t>
  </si>
  <si>
    <t>Dec 27 2015</t>
  </si>
  <si>
    <t>Dec 25 2022</t>
  </si>
  <si>
    <t>Dec 27 2009</t>
  </si>
  <si>
    <t>Dec 30 2018</t>
  </si>
  <si>
    <t>Dec 26 2010</t>
  </si>
  <si>
    <t>Dec 28 2025</t>
  </si>
  <si>
    <t>Dec 31 2023</t>
  </si>
  <si>
    <t>End Q4</t>
  </si>
  <si>
    <t>q1</t>
  </si>
  <si>
    <t>q2</t>
  </si>
  <si>
    <t>q3</t>
  </si>
  <si>
    <t>q4</t>
  </si>
  <si>
    <t>12/31/2012</t>
  </si>
  <si>
    <t>1/28/2013</t>
  </si>
  <si>
    <t>2/25/2013</t>
  </si>
  <si>
    <t>3/25/2013</t>
  </si>
  <si>
    <t>4/22/2013</t>
  </si>
  <si>
    <t>5/20/2013</t>
  </si>
  <si>
    <t>6/17/2013</t>
  </si>
  <si>
    <t>7/15/2013</t>
  </si>
  <si>
    <t>8/12/2013</t>
  </si>
  <si>
    <t>9/ 9/2013</t>
  </si>
  <si>
    <t>10/ 7/2013</t>
  </si>
  <si>
    <t>11/ 4/2013</t>
  </si>
  <si>
    <t>12/ 2/2013</t>
  </si>
  <si>
    <t>12/29/2013</t>
  </si>
  <si>
    <t>12/30/2013</t>
  </si>
  <si>
    <t>1/27/2014</t>
  </si>
  <si>
    <t>2/24/2014</t>
  </si>
  <si>
    <t>3/24/2014</t>
  </si>
  <si>
    <t>4/21/2014</t>
  </si>
  <si>
    <t>5/19/2014</t>
  </si>
  <si>
    <t>6/16/2014</t>
  </si>
  <si>
    <t>7/14/2014</t>
  </si>
  <si>
    <t>8/11/2014</t>
  </si>
  <si>
    <t>9/ 8/2014</t>
  </si>
  <si>
    <t>10/ 6/2014</t>
  </si>
  <si>
    <t>11/ 3/2014</t>
  </si>
  <si>
    <t>12/ 1/2014</t>
  </si>
  <si>
    <t>12/28/2014</t>
  </si>
  <si>
    <t>12/28/2015</t>
  </si>
  <si>
    <t>1/25/2016</t>
  </si>
  <si>
    <t>2/22/2016</t>
  </si>
  <si>
    <t>3/21/2016</t>
  </si>
  <si>
    <t>4/18/2016</t>
  </si>
  <si>
    <t>5/16/2016</t>
  </si>
  <si>
    <t>6/13/2016</t>
  </si>
  <si>
    <t>7/11/2016</t>
  </si>
  <si>
    <t>8/ 8/2016</t>
  </si>
  <si>
    <t>9/ 5/2016</t>
  </si>
  <si>
    <t>10/ 3/2016</t>
  </si>
  <si>
    <t>10/31/2016</t>
  </si>
  <si>
    <t>11/28/2016</t>
  </si>
  <si>
    <t>12/25/2016</t>
  </si>
  <si>
    <t>12/26/2016</t>
  </si>
  <si>
    <t>1/23/2017</t>
  </si>
  <si>
    <t>2/20/2017</t>
  </si>
  <si>
    <t>3/20/2017</t>
  </si>
  <si>
    <t>4/17/2017</t>
  </si>
  <si>
    <t>5/15/2017</t>
  </si>
  <si>
    <t>6/12/2017</t>
  </si>
  <si>
    <t>7/10/2017</t>
  </si>
  <si>
    <t>8/ 7/2017</t>
  </si>
  <si>
    <t>9/ 4/2017</t>
  </si>
  <si>
    <t>10/ 2/2017</t>
  </si>
  <si>
    <t>10/30/2017</t>
  </si>
  <si>
    <t>11/27/2017</t>
  </si>
  <si>
    <t>12/31/2017</t>
  </si>
  <si>
    <t>12/30/2002</t>
  </si>
  <si>
    <t>1/27/2003</t>
  </si>
  <si>
    <t>2/24/2003</t>
  </si>
  <si>
    <t>3/24/2003</t>
  </si>
  <si>
    <t>4/21/2003</t>
  </si>
  <si>
    <t>5/19/2003</t>
  </si>
  <si>
    <t>6/16/2003</t>
  </si>
  <si>
    <t>7/14/2003</t>
  </si>
  <si>
    <t>8/11/2003</t>
  </si>
  <si>
    <t>9/ 8/2003</t>
  </si>
  <si>
    <t>10/ 6/2003</t>
  </si>
  <si>
    <t>11/ 3/2003</t>
  </si>
  <si>
    <t>12/ 1/2003</t>
  </si>
  <si>
    <t>12/28/2003</t>
  </si>
  <si>
    <t>12/29/2003</t>
  </si>
  <si>
    <t>1/26/2004</t>
  </si>
  <si>
    <t>2/23/2004</t>
  </si>
  <si>
    <t>3/22/2004</t>
  </si>
  <si>
    <t>4/19/2004</t>
  </si>
  <si>
    <t>5/17/2004</t>
  </si>
  <si>
    <t>6/14/2004</t>
  </si>
  <si>
    <t>7/12/2004</t>
  </si>
  <si>
    <t>8/ 9/2004</t>
  </si>
  <si>
    <t>9/ 6/2004</t>
  </si>
  <si>
    <t>10/ 4/2004</t>
  </si>
  <si>
    <t>11/ 1/2004</t>
  </si>
  <si>
    <t>11/29/2004</t>
  </si>
  <si>
    <t>12/26/2004</t>
  </si>
  <si>
    <t>12/27/2004</t>
  </si>
  <si>
    <t>1/24/2005</t>
  </si>
  <si>
    <t>2/21/2005</t>
  </si>
  <si>
    <t>3/21/2005</t>
  </si>
  <si>
    <t>4/18/2005</t>
  </si>
  <si>
    <t>5/16/2005</t>
  </si>
  <si>
    <t>6/13/2005</t>
  </si>
  <si>
    <t>7/11/2005</t>
  </si>
  <si>
    <t>8/ 8/2005</t>
  </si>
  <si>
    <t>9/ 5/2005</t>
  </si>
  <si>
    <t>10/ 3/2005</t>
  </si>
  <si>
    <t>10/31/2005</t>
  </si>
  <si>
    <t>11/28/2005</t>
  </si>
  <si>
    <t>12/25/2005</t>
  </si>
  <si>
    <t>12/29/2025</t>
  </si>
  <si>
    <t>1/26/2026</t>
  </si>
  <si>
    <t>2/23/2026</t>
  </si>
  <si>
    <t>3/23/2026</t>
  </si>
  <si>
    <t>4/20/2026</t>
  </si>
  <si>
    <t>5/18/2026</t>
  </si>
  <si>
    <t>6/15/2026</t>
  </si>
  <si>
    <t>7/13/2026</t>
  </si>
  <si>
    <t>8/10/2026</t>
  </si>
  <si>
    <t>9/ 7/2026</t>
  </si>
  <si>
    <t>10/ 5/2026</t>
  </si>
  <si>
    <t>11/ 2/2026</t>
  </si>
  <si>
    <t>11/30/2026</t>
  </si>
  <si>
    <t>12/27/2026</t>
  </si>
  <si>
    <t>12/28/2026</t>
  </si>
  <si>
    <t>1/25/2027</t>
  </si>
  <si>
    <t>2/22/2027</t>
  </si>
  <si>
    <t>3/22/2027</t>
  </si>
  <si>
    <t>4/19/2027</t>
  </si>
  <si>
    <t>5/17/2027</t>
  </si>
  <si>
    <t>6/14/2027</t>
  </si>
  <si>
    <t>7/12/2027</t>
  </si>
  <si>
    <t>8/ 9/2027</t>
  </si>
  <si>
    <t>9/ 6/2027</t>
  </si>
  <si>
    <t>10/ 4/2027</t>
  </si>
  <si>
    <t>11/ 1/2027</t>
  </si>
  <si>
    <t>11/29/2027</t>
  </si>
  <si>
    <t>12/26/2027</t>
  </si>
  <si>
    <t>12/27/2027</t>
  </si>
  <si>
    <t>1/24/2028</t>
  </si>
  <si>
    <t>2/21/2028</t>
  </si>
  <si>
    <t>3/20/2028</t>
  </si>
  <si>
    <t>4/17/2028</t>
  </si>
  <si>
    <t>5/15/2028</t>
  </si>
  <si>
    <t>6/12/2028</t>
  </si>
  <si>
    <t>7/10/2028</t>
  </si>
  <si>
    <t>8/ 7/2028</t>
  </si>
  <si>
    <t>9/ 4/2028</t>
  </si>
  <si>
    <t>10/ 2/2028</t>
  </si>
  <si>
    <t>10/30/2028</t>
  </si>
  <si>
    <t>11/27/2028</t>
  </si>
  <si>
    <t>12/31/2028</t>
  </si>
  <si>
    <t>1/ 1/2029</t>
  </si>
  <si>
    <t>1/29/2029</t>
  </si>
  <si>
    <t>2/26/2029</t>
  </si>
  <si>
    <t>3/26/2029</t>
  </si>
  <si>
    <t>4/23/2029</t>
  </si>
  <si>
    <t>5/21/2029</t>
  </si>
  <si>
    <t>6/18/2029</t>
  </si>
  <si>
    <t>7/16/2029</t>
  </si>
  <si>
    <t>8/13/2029</t>
  </si>
  <si>
    <t>9/10/2029</t>
  </si>
  <si>
    <t>10/ 8/2029</t>
  </si>
  <si>
    <t>11/ 5/2029</t>
  </si>
  <si>
    <t>12/ 3/2029</t>
  </si>
  <si>
    <t>12/30/2029</t>
  </si>
  <si>
    <t>12/31/2029</t>
  </si>
  <si>
    <t>1/28/2030</t>
  </si>
  <si>
    <t>2/25/2030</t>
  </si>
  <si>
    <t>3/25/2030</t>
  </si>
  <si>
    <t>4/22/2030</t>
  </si>
  <si>
    <t>5/20/2030</t>
  </si>
  <si>
    <t>6/17/2030</t>
  </si>
  <si>
    <t>7/15/2030</t>
  </si>
  <si>
    <t>8/12/2030</t>
  </si>
  <si>
    <t>9/ 9/2030</t>
  </si>
  <si>
    <t>10/ 7/2030</t>
  </si>
  <si>
    <t>11/ 4/2030</t>
  </si>
  <si>
    <t>12/ 2/2030</t>
  </si>
  <si>
    <t>12/29/2030</t>
  </si>
  <si>
    <t>1/ 1/2001</t>
  </si>
  <si>
    <t>1/29/2001</t>
  </si>
  <si>
    <t>2/26/2001</t>
  </si>
  <si>
    <t>3/26/2001</t>
  </si>
  <si>
    <t>4/23/2001</t>
  </si>
  <si>
    <t>5/21/2001</t>
  </si>
  <si>
    <t>6/18/2001</t>
  </si>
  <si>
    <t>7/16/2001</t>
  </si>
  <si>
    <t>8/13/2001</t>
  </si>
  <si>
    <t>9/10/2001</t>
  </si>
  <si>
    <t>10/ 8/2001</t>
  </si>
  <si>
    <t>11/ 5/2001</t>
  </si>
  <si>
    <t>12/ 3/2001</t>
  </si>
  <si>
    <t>12/30/2001</t>
  </si>
  <si>
    <t>12/31/2001</t>
  </si>
  <si>
    <t>1/28/2002</t>
  </si>
  <si>
    <t>2/25/2002</t>
  </si>
  <si>
    <t>3/25/2002</t>
  </si>
  <si>
    <t>4/22/2002</t>
  </si>
  <si>
    <t>5/20/2002</t>
  </si>
  <si>
    <t>6/17/2002</t>
  </si>
  <si>
    <t>7/15/2002</t>
  </si>
  <si>
    <t>8/12/2002</t>
  </si>
  <si>
    <t>9/ 9/2002</t>
  </si>
  <si>
    <t>10/ 7/2002</t>
  </si>
  <si>
    <t>11/ 4/2002</t>
  </si>
  <si>
    <t>12/ 2/2002</t>
  </si>
  <si>
    <t>12/29/2002</t>
  </si>
  <si>
    <t>12/26/2005</t>
  </si>
  <si>
    <t>1/23/2006</t>
  </si>
  <si>
    <t>2/20/2006</t>
  </si>
  <si>
    <t>3/20/2006</t>
  </si>
  <si>
    <t>4/17/2006</t>
  </si>
  <si>
    <t>5/15/2006</t>
  </si>
  <si>
    <t>6/12/2006</t>
  </si>
  <si>
    <t>7/10/2006</t>
  </si>
  <si>
    <t>8/ 7/2006</t>
  </si>
  <si>
    <t>9/ 4/2006</t>
  </si>
  <si>
    <t>10/ 2/2006</t>
  </si>
  <si>
    <t>10/30/2006</t>
  </si>
  <si>
    <t>11/27/2006</t>
  </si>
  <si>
    <t>12/31/2006</t>
  </si>
  <si>
    <t>1/ 1/2007</t>
  </si>
  <si>
    <t>1/29/2007</t>
  </si>
  <si>
    <t>2/26/2007</t>
  </si>
  <si>
    <t>3/26/2007</t>
  </si>
  <si>
    <t>4/23/2007</t>
  </si>
  <si>
    <t>5/21/2007</t>
  </si>
  <si>
    <t>6/18/2007</t>
  </si>
  <si>
    <t>7/16/2007</t>
  </si>
  <si>
    <t>8/13/2007</t>
  </si>
  <si>
    <t>9/10/2007</t>
  </si>
  <si>
    <t>10/ 8/2007</t>
  </si>
  <si>
    <t>11/ 5/2007</t>
  </si>
  <si>
    <t>12/ 3/2007</t>
  </si>
  <si>
    <t>12/30/2007</t>
  </si>
  <si>
    <t>12/31/2007</t>
  </si>
  <si>
    <t>1/28/2008</t>
  </si>
  <si>
    <t>2/25/2008</t>
  </si>
  <si>
    <t>3/24/2008</t>
  </si>
  <si>
    <t>4/21/2008</t>
  </si>
  <si>
    <t>5/19/2008</t>
  </si>
  <si>
    <t>6/16/2008</t>
  </si>
  <si>
    <t>7/14/2008</t>
  </si>
  <si>
    <t>8/11/2008</t>
  </si>
  <si>
    <t>9/ 8/2008</t>
  </si>
  <si>
    <t>10/ 6/2008</t>
  </si>
  <si>
    <t>11/ 3/2008</t>
  </si>
  <si>
    <t>12/ 1/2008</t>
  </si>
  <si>
    <t>12/28/2008</t>
  </si>
  <si>
    <t>12/27/2010</t>
  </si>
  <si>
    <t>1/24/2011</t>
  </si>
  <si>
    <t>2/21/2011</t>
  </si>
  <si>
    <t>3/21/2011</t>
  </si>
  <si>
    <t>4/18/2011</t>
  </si>
  <si>
    <t>5/16/2011</t>
  </si>
  <si>
    <t>6/13/2011</t>
  </si>
  <si>
    <t>7/11/2011</t>
  </si>
  <si>
    <t>8/ 8/2011</t>
  </si>
  <si>
    <t>9/ 5/2011</t>
  </si>
  <si>
    <t>10/ 3/2011</t>
  </si>
  <si>
    <t>10/31/2011</t>
  </si>
  <si>
    <t>11/28/2011</t>
  </si>
  <si>
    <t>12/25/2011</t>
  </si>
  <si>
    <t>12/30/2019</t>
  </si>
  <si>
    <t>1/27/2020</t>
  </si>
  <si>
    <t>2/24/2020</t>
  </si>
  <si>
    <t>3/23/2020</t>
  </si>
  <si>
    <t>4/20/2020</t>
  </si>
  <si>
    <t>5/18/2020</t>
  </si>
  <si>
    <t>6/15/2020</t>
  </si>
  <si>
    <t>7/13/2020</t>
  </si>
  <si>
    <t>8/10/2020</t>
  </si>
  <si>
    <t>9/ 7/2020</t>
  </si>
  <si>
    <t>10/ 5/2020</t>
  </si>
  <si>
    <t>11/ 2/2020</t>
  </si>
  <si>
    <t>11/30/2020</t>
  </si>
  <si>
    <t>12/27/2020</t>
  </si>
  <si>
    <t>1/ 1/2024</t>
  </si>
  <si>
    <t>1/29/2024</t>
  </si>
  <si>
    <t>2/26/2024</t>
  </si>
  <si>
    <t>3/25/2024</t>
  </si>
  <si>
    <t>4/22/2024</t>
  </si>
  <si>
    <t>5/20/2024</t>
  </si>
  <si>
    <t>6/17/2024</t>
  </si>
  <si>
    <t>7/15/2024</t>
  </si>
  <si>
    <t>8/12/2024</t>
  </si>
  <si>
    <t>9/ 9/2024</t>
  </si>
  <si>
    <t>10/ 7/2024</t>
  </si>
  <si>
    <t>11/ 4/2024</t>
  </si>
  <si>
    <t>12/ 2/2024</t>
  </si>
  <si>
    <t>12/29/2024</t>
  </si>
  <si>
    <t>12/29/2014</t>
  </si>
  <si>
    <t>1/26/2015</t>
  </si>
  <si>
    <t>2/23/2015</t>
  </si>
  <si>
    <t>3/23/2015</t>
  </si>
  <si>
    <t>4/20/2015</t>
  </si>
  <si>
    <t>5/18/2015</t>
  </si>
  <si>
    <t>6/15/2015</t>
  </si>
  <si>
    <t>7/13/2015</t>
  </si>
  <si>
    <t>8/10/2015</t>
  </si>
  <si>
    <t>9/ 7/2015</t>
  </si>
  <si>
    <t>10/ 5/2015</t>
  </si>
  <si>
    <t>11/ 2/2015</t>
  </si>
  <si>
    <t>11/30/2015</t>
  </si>
  <si>
    <t>12/27/2015</t>
  </si>
  <si>
    <t>12/27/2021</t>
  </si>
  <si>
    <t>1/24/2022</t>
  </si>
  <si>
    <t>2/21/2022</t>
  </si>
  <si>
    <t>3/21/2022</t>
  </si>
  <si>
    <t>4/18/2022</t>
  </si>
  <si>
    <t>5/16/2022</t>
  </si>
  <si>
    <t>6/13/2022</t>
  </si>
  <si>
    <t>7/11/2022</t>
  </si>
  <si>
    <t>8/ 8/2022</t>
  </si>
  <si>
    <t>9/ 5/2022</t>
  </si>
  <si>
    <t>10/ 3/2022</t>
  </si>
  <si>
    <t>10/31/2022</t>
  </si>
  <si>
    <t>11/28/2022</t>
  </si>
  <si>
    <t>12/25/2022</t>
  </si>
  <si>
    <t>12/29/2008</t>
  </si>
  <si>
    <t>1/26/2009</t>
  </si>
  <si>
    <t>2/23/2009</t>
  </si>
  <si>
    <t>3/23/2009</t>
  </si>
  <si>
    <t>4/20/2009</t>
  </si>
  <si>
    <t>5/18/2009</t>
  </si>
  <si>
    <t>6/15/2009</t>
  </si>
  <si>
    <t>7/13/2009</t>
  </si>
  <si>
    <t>8/10/2009</t>
  </si>
  <si>
    <t>9/ 7/2009</t>
  </si>
  <si>
    <t>10/ 5/2009</t>
  </si>
  <si>
    <t>11/ 2/2009</t>
  </si>
  <si>
    <t>11/30/2009</t>
  </si>
  <si>
    <t>12/27/2009</t>
  </si>
  <si>
    <t>1/ 1/2018</t>
  </si>
  <si>
    <t>1/29/2018</t>
  </si>
  <si>
    <t>2/26/2018</t>
  </si>
  <si>
    <t>3/26/2018</t>
  </si>
  <si>
    <t>4/23/2018</t>
  </si>
  <si>
    <t>5/21/2018</t>
  </si>
  <si>
    <t>6/18/2018</t>
  </si>
  <si>
    <t>7/16/2018</t>
  </si>
  <si>
    <t>8/13/2018</t>
  </si>
  <si>
    <t>9/10/2018</t>
  </si>
  <si>
    <t>10/ 8/2018</t>
  </si>
  <si>
    <t>11/ 5/2018</t>
  </si>
  <si>
    <t>12/ 3/2018</t>
  </si>
  <si>
    <t>12/30/2018</t>
  </si>
  <si>
    <t>12/28/2009</t>
  </si>
  <si>
    <t>1/25/2010</t>
  </si>
  <si>
    <t>2/22/2010</t>
  </si>
  <si>
    <t>3/22/2010</t>
  </si>
  <si>
    <t>4/19/2010</t>
  </si>
  <si>
    <t>5/17/2010</t>
  </si>
  <si>
    <t>6/14/2010</t>
  </si>
  <si>
    <t>7/12/2010</t>
  </si>
  <si>
    <t>8/ 9/2010</t>
  </si>
  <si>
    <t>9/ 6/2010</t>
  </si>
  <si>
    <t>10/ 4/2010</t>
  </si>
  <si>
    <t>11/ 1/2010</t>
  </si>
  <si>
    <t>11/29/2010</t>
  </si>
  <si>
    <t>12/26/2010</t>
  </si>
  <si>
    <t>12/30/2024</t>
  </si>
  <si>
    <t>1/27/2025</t>
  </si>
  <si>
    <t>2/24/2025</t>
  </si>
  <si>
    <t>3/24/2025</t>
  </si>
  <si>
    <t>4/21/2025</t>
  </si>
  <si>
    <t>5/19/2025</t>
  </si>
  <si>
    <t>6/16/2025</t>
  </si>
  <si>
    <t>7/14/2025</t>
  </si>
  <si>
    <t>8/11/2025</t>
  </si>
  <si>
    <t>9/ 8/2025</t>
  </si>
  <si>
    <t>10/ 6/2025</t>
  </si>
  <si>
    <t>11/ 3/2025</t>
  </si>
  <si>
    <t>12/ 1/2025</t>
  </si>
  <si>
    <t>12/28/2025</t>
  </si>
  <si>
    <t>12/26/2022</t>
  </si>
  <si>
    <t>1/23/2023</t>
  </si>
  <si>
    <t>2/20/2023</t>
  </si>
  <si>
    <t>3/20/2023</t>
  </si>
  <si>
    <t>4/17/2023</t>
  </si>
  <si>
    <t>5/15/2023</t>
  </si>
  <si>
    <t>6/12/2023</t>
  </si>
  <si>
    <t>7/10/2023</t>
  </si>
  <si>
    <t>8/ 7/2023</t>
  </si>
  <si>
    <t>9/ 4/2023</t>
  </si>
  <si>
    <t>10/ 2/2023</t>
  </si>
  <si>
    <t>10/30/2023</t>
  </si>
  <si>
    <t>11/27/2023</t>
  </si>
  <si>
    <t>12/31/2023</t>
  </si>
  <si>
    <t>14</t>
  </si>
  <si>
    <t>19</t>
  </si>
  <si>
    <t>84</t>
  </si>
  <si>
    <t>91</t>
  </si>
  <si>
    <t>88</t>
  </si>
  <si>
    <t>37</t>
  </si>
  <si>
    <t>31</t>
  </si>
  <si>
    <t>62</t>
  </si>
  <si>
    <t>101</t>
  </si>
  <si>
    <t>22</t>
  </si>
  <si>
    <t>34</t>
  </si>
  <si>
    <t>67</t>
  </si>
  <si>
    <t>43</t>
  </si>
  <si>
    <t>49</t>
  </si>
  <si>
    <t>44</t>
  </si>
  <si>
    <t>48</t>
  </si>
  <si>
    <t>94</t>
  </si>
  <si>
    <t>63</t>
  </si>
  <si>
    <t>25</t>
  </si>
  <si>
    <t>75</t>
  </si>
  <si>
    <t>29</t>
  </si>
  <si>
    <t>109</t>
  </si>
  <si>
    <t>15</t>
  </si>
  <si>
    <t>36</t>
  </si>
  <si>
    <t>104</t>
  </si>
  <si>
    <t>42</t>
  </si>
  <si>
    <t>83</t>
  </si>
  <si>
    <t>17</t>
  </si>
  <si>
    <t>97</t>
  </si>
  <si>
    <t>110</t>
  </si>
  <si>
    <t>40</t>
  </si>
  <si>
    <t>33</t>
  </si>
  <si>
    <t>CALC</t>
  </si>
  <si>
    <t>PrevPerStart</t>
  </si>
  <si>
    <t>prevPerEnd</t>
  </si>
  <si>
    <t>prevperEnd</t>
  </si>
  <si>
    <t>Nov  1 2004 12:00AM</t>
  </si>
  <si>
    <t>Oct 31 2005 12:00AM</t>
  </si>
  <si>
    <t>Nov  2 2026 12:00AM</t>
  </si>
  <si>
    <t>Nov  1 2027 12:00AM</t>
  </si>
  <si>
    <t>Oct 30 2028 12:00AM</t>
  </si>
  <si>
    <t>Nov  5 2029 12:00AM</t>
  </si>
  <si>
    <t>Nov  4 2030 12:00AM</t>
  </si>
  <si>
    <t>Dec  2 2001 12:00AM</t>
  </si>
  <si>
    <t>Nov 28 2004 12:00AM</t>
  </si>
  <si>
    <t>Nov 27 2005 12:00AM</t>
  </si>
  <si>
    <t>Nov 26 2006 12:00AM</t>
  </si>
  <si>
    <t>Dec  2 2007 12:00AM</t>
  </si>
  <si>
    <t>Nov 30 2008 12:00AM</t>
  </si>
  <si>
    <t>Nov 29 2009 12:00AM</t>
  </si>
  <si>
    <t>Nov 25 2012 12:00AM</t>
  </si>
  <si>
    <t>Dec  1 2013 12:00AM</t>
  </si>
  <si>
    <t>Nov 30 2014 12:00AM</t>
  </si>
  <si>
    <t>Nov 29 2015 12:00AM</t>
  </si>
  <si>
    <t>Oct 30 2000 12:00AM</t>
  </si>
  <si>
    <t>Oct 30 2006 12:00AM</t>
  </si>
  <si>
    <t>Oct 30 2017 12:00AM</t>
  </si>
  <si>
    <t>Nov 26 2017 12:00AM</t>
  </si>
  <si>
    <t>Nov 26 2028 12:00AM</t>
  </si>
  <si>
    <t>Sep  5 2016 12:00AM</t>
  </si>
  <si>
    <t>Mar 24 2003 12:00AM</t>
  </si>
  <si>
    <t>Oct 31 2011 12:00AM</t>
  </si>
  <si>
    <t>Mar 22 2027 12:00AM</t>
  </si>
  <si>
    <t>May 17 2027 12:00AM</t>
  </si>
  <si>
    <t>Jul 14 2025 12:00AM</t>
  </si>
  <si>
    <t>Apr 22 2019 12:00AM</t>
  </si>
  <si>
    <t>Jul 15 2024 12:00AM</t>
  </si>
  <si>
    <t>May 16 2011 12:00AM</t>
  </si>
  <si>
    <t>Dec  2 2018 12:00AM</t>
  </si>
  <si>
    <t>Mar 21 2021 12:00AM</t>
  </si>
  <si>
    <t>Feb 25 2024 12:00AM</t>
  </si>
  <si>
    <t>Dec 26 2011</t>
  </si>
  <si>
    <t>Jan 23 2012</t>
  </si>
  <si>
    <t>Feb 20 2012</t>
  </si>
  <si>
    <t>Mar 19 2012</t>
  </si>
  <si>
    <t>Apr 16 2012</t>
  </si>
  <si>
    <t>May 14 2012</t>
  </si>
  <si>
    <t>Jun 11 2012</t>
  </si>
  <si>
    <t>Jul  9 2012</t>
  </si>
  <si>
    <t>Aug  6 2012</t>
  </si>
  <si>
    <t>Sep  3 2012</t>
  </si>
  <si>
    <t>Oct  1 2012</t>
  </si>
  <si>
    <t>Oct 29 2012</t>
  </si>
  <si>
    <t>Nov 26 2012</t>
  </si>
  <si>
    <t>Dec 27 1999</t>
  </si>
  <si>
    <t>Jan 24 2000</t>
  </si>
  <si>
    <t>Feb 21 2000</t>
  </si>
  <si>
    <t>Mar 20 2000</t>
  </si>
  <si>
    <t>Apr 17 2000</t>
  </si>
  <si>
    <t>May 15 2000</t>
  </si>
  <si>
    <t>Jun 12 2000</t>
  </si>
  <si>
    <t>Jul 10 2000</t>
  </si>
  <si>
    <t>Aug  7 2000</t>
  </si>
  <si>
    <t>Sep  4 2000</t>
  </si>
  <si>
    <t>Oct  2 2000</t>
  </si>
  <si>
    <t>Oct 30 2000</t>
  </si>
  <si>
    <t>Nov 27 2000</t>
  </si>
  <si>
    <t>Dec 31 2018</t>
  </si>
  <si>
    <t>Jan 28 2019</t>
  </si>
  <si>
    <t>Feb 25 2019</t>
  </si>
  <si>
    <t>Mar 25 2019</t>
  </si>
  <si>
    <t>Apr 22 2019</t>
  </si>
  <si>
    <t>May 20 2019</t>
  </si>
  <si>
    <t>Jun 17 2019</t>
  </si>
  <si>
    <t>Jul 15 2019</t>
  </si>
  <si>
    <t>Aug 12 2019</t>
  </si>
  <si>
    <t>Sep  9 2019</t>
  </si>
  <si>
    <t>Oct  7 2019</t>
  </si>
  <si>
    <t>Nov  4 2019</t>
  </si>
  <si>
    <t>Dec  2 2019</t>
  </si>
  <si>
    <t>Dec 28 2020</t>
  </si>
  <si>
    <t>Jan 25 2021</t>
  </si>
  <si>
    <t>Feb 22 2021</t>
  </si>
  <si>
    <t>Mar 22 2021</t>
  </si>
  <si>
    <t>Apr 19 2021</t>
  </si>
  <si>
    <t>May 17 2021</t>
  </si>
  <si>
    <t>Jun 14 2021</t>
  </si>
  <si>
    <t>Jul 12 2021</t>
  </si>
  <si>
    <t>Aug  9 2021</t>
  </si>
  <si>
    <t>Sep  6 2021</t>
  </si>
  <si>
    <t>Oct  4 2021</t>
  </si>
  <si>
    <t>Nov  1 2021</t>
  </si>
  <si>
    <t>Nov 29 2021</t>
  </si>
  <si>
    <t>Period from Table</t>
  </si>
  <si>
    <t>Prev or End</t>
  </si>
  <si>
    <t>convert month from table</t>
  </si>
  <si>
    <t xml:space="preserve">period </t>
  </si>
  <si>
    <t>nextPerStart</t>
  </si>
  <si>
    <t>nextPerEnd</t>
  </si>
  <si>
    <t>nextperEnd</t>
  </si>
  <si>
    <t>Dec 27 2004 12:00AM</t>
  </si>
  <si>
    <t>Dec 26 2005 12:00AM</t>
  </si>
  <si>
    <t>Dec 28 2026 12:00AM</t>
  </si>
  <si>
    <t>Dec 31 2029 12:00AM</t>
  </si>
  <si>
    <t>Dec 30 2030 12:00AM</t>
  </si>
  <si>
    <t>Jan 27 2002 12:00AM</t>
  </si>
  <si>
    <t>Jan 26 2003 12:00AM</t>
  </si>
  <si>
    <t>Jan 25 2004 12:00AM</t>
  </si>
  <si>
    <t>Jan 23 2005 12:00AM</t>
  </si>
  <si>
    <t>Jan 22 2006 12:00AM</t>
  </si>
  <si>
    <t>Jan 28 2007 12:00AM</t>
  </si>
  <si>
    <t>Jan 27 2008 12:00AM</t>
  </si>
  <si>
    <t>Jan 25 2009 12:00AM</t>
  </si>
  <si>
    <t>Jan 24 2010 12:00AM</t>
  </si>
  <si>
    <t>Jan 23 2011 12:00AM</t>
  </si>
  <si>
    <t>Jan 22 2012 12:00AM</t>
  </si>
  <si>
    <t>Jan 27 2013 12:00AM</t>
  </si>
  <si>
    <t>Jan 26 2014 12:00AM</t>
  </si>
  <si>
    <t>Jan 25 2015 12:00AM</t>
  </si>
  <si>
    <t>Jan 24 2016 12:00AM</t>
  </si>
  <si>
    <t>Jan 22 2017 12:00AM</t>
  </si>
  <si>
    <t>Jan  1 2018 12:00AM</t>
  </si>
  <si>
    <t>Jan  1 2001 12:00AM</t>
  </si>
  <si>
    <t>Jan 28 2018 12:00AM</t>
  </si>
  <si>
    <t>Jan 28 2029 12:00AM</t>
  </si>
  <si>
    <t>Oct 31 2016 12:00AM</t>
  </si>
  <si>
    <t>Jun 12 2028 12:00AM</t>
  </si>
  <si>
    <t>May 19 2003 12:00AM</t>
  </si>
  <si>
    <t>Dec 26 2011 12:00AM</t>
  </si>
  <si>
    <t>Jul 12 2027 12:00AM</t>
  </si>
  <si>
    <t>Sep  8 2025 12:00AM</t>
  </si>
  <si>
    <t>Jun 17 2019 12:00AM</t>
  </si>
  <si>
    <t>Sep  9 2024 12:00AM</t>
  </si>
  <si>
    <t>Nov 26 2023 12:00AM</t>
  </si>
  <si>
    <t>Jun 17 2029 12:00AM</t>
  </si>
  <si>
    <t>Jun 14 2009 12:00AM</t>
  </si>
  <si>
    <t>Jan 27 2019 12:00AM</t>
  </si>
  <si>
    <t>May 16 2021 12:00AM</t>
  </si>
  <si>
    <t>Apr 21 2024 12:00AM</t>
  </si>
  <si>
    <t>Jun 13 2010 12:00AM</t>
  </si>
  <si>
    <t>MP = Manual Pass</t>
  </si>
  <si>
    <t>MF = Manual Fail</t>
  </si>
  <si>
    <t>MP</t>
  </si>
  <si>
    <t>m</t>
  </si>
  <si>
    <t>FISCALYEAR</t>
  </si>
  <si>
    <t>q1 End</t>
  </si>
  <si>
    <t>q2 end</t>
  </si>
  <si>
    <t>q3 end</t>
  </si>
  <si>
    <t>result converted</t>
  </si>
  <si>
    <t>resultTrimmed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</si>
</sst>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charset val="1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3" borderId="0" xfId="0" applyFill="1"/>
    <xf numFmtId="14" fontId="0" fillId="2" borderId="0" xfId="0" applyNumberFormat="1" applyFill="1"/>
    <xf numFmtId="0" fontId="0" fillId="7" borderId="4" xfId="0" applyFill="1" applyBorder="1"/>
    <xf numFmtId="0" fontId="0" fillId="6" borderId="4" xfId="0" applyFill="1" applyBorder="1"/>
    <xf numFmtId="0" fontId="0" fillId="4" borderId="4" xfId="0" applyFill="1" applyBorder="1"/>
    <xf numFmtId="0" fontId="0" fillId="3" borderId="4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2" borderId="12" xfId="0" applyFill="1" applyBorder="1"/>
    <xf numFmtId="0" fontId="0" fillId="2" borderId="13" xfId="0" applyFill="1" applyBorder="1"/>
    <xf numFmtId="14" fontId="0" fillId="0" borderId="12" xfId="0" applyNumberFormat="1" applyBorder="1"/>
    <xf numFmtId="14" fontId="1" fillId="0" borderId="13" xfId="0" applyNumberFormat="1" applyFont="1" applyBorder="1"/>
    <xf numFmtId="0" fontId="1" fillId="0" borderId="13" xfId="0" applyFont="1" applyBorder="1"/>
    <xf numFmtId="14" fontId="0" fillId="0" borderId="0" xfId="0" applyNumberFormat="1" applyFont="1"/>
    <xf numFmtId="0" fontId="0" fillId="8" borderId="0" xfId="0" applyFill="1"/>
    <xf numFmtId="14" fontId="0" fillId="8" borderId="12" xfId="0" applyNumberFormat="1" applyFill="1" applyBorder="1"/>
    <xf numFmtId="0" fontId="1" fillId="8" borderId="13" xfId="0" applyFont="1" applyFill="1" applyBorder="1"/>
    <xf numFmtId="0" fontId="0" fillId="9" borderId="0" xfId="0" applyFill="1"/>
    <xf numFmtId="14" fontId="0" fillId="9" borderId="12" xfId="0" applyNumberFormat="1" applyFill="1" applyBorder="1"/>
    <xf numFmtId="0" fontId="1" fillId="9" borderId="13" xfId="0" applyFont="1" applyFill="1" applyBorder="1"/>
    <xf numFmtId="0" fontId="0" fillId="10" borderId="0" xfId="0" applyFill="1"/>
    <xf numFmtId="14" fontId="0" fillId="8" borderId="0" xfId="0" applyNumberFormat="1" applyFill="1"/>
    <xf numFmtId="0" fontId="0" fillId="8" borderId="0" xfId="0" applyFill="1" applyAlignment="1">
      <alignment horizontal="center"/>
    </xf>
    <xf numFmtId="14" fontId="0" fillId="0" borderId="0" xfId="0" applyNumberFormat="1" applyFill="1"/>
    <xf numFmtId="0" fontId="0" fillId="0" borderId="0" xfId="0" applyFill="1" applyAlignment="1">
      <alignment horizontal="center"/>
    </xf>
    <xf numFmtId="14" fontId="0" fillId="0" borderId="12" xfId="0" applyNumberFormat="1" applyFill="1" applyBorder="1"/>
    <xf numFmtId="0" fontId="1" fillId="0" borderId="13" xfId="0" applyFont="1" applyFill="1" applyBorder="1"/>
    <xf numFmtId="0" fontId="0" fillId="11" borderId="0" xfId="0" applyFill="1"/>
    <xf numFmtId="0" fontId="0" fillId="12" borderId="0" xfId="0" applyFill="1"/>
    <xf numFmtId="14" fontId="0" fillId="10" borderId="0" xfId="0" applyNumberFormat="1" applyFill="1"/>
    <xf numFmtId="0" fontId="0" fillId="10" borderId="0" xfId="0" applyFill="1" applyAlignment="1">
      <alignment horizontal="center"/>
    </xf>
    <xf numFmtId="14" fontId="0" fillId="13" borderId="0" xfId="0" applyNumberFormat="1" applyFill="1"/>
    <xf numFmtId="14" fontId="0" fillId="9" borderId="0" xfId="0" applyNumberFormat="1" applyFill="1"/>
    <xf numFmtId="0" fontId="0" fillId="9" borderId="0" xfId="0" applyFill="1" applyAlignment="1">
      <alignment horizontal="center"/>
    </xf>
    <xf numFmtId="14" fontId="0" fillId="12" borderId="0" xfId="0" applyNumberFormat="1" applyFill="1"/>
    <xf numFmtId="0" fontId="0" fillId="12" borderId="0" xfId="0" applyFill="1" applyAlignment="1">
      <alignment horizontal="center"/>
    </xf>
    <xf numFmtId="14" fontId="0" fillId="12" borderId="12" xfId="0" applyNumberFormat="1" applyFill="1" applyBorder="1"/>
    <xf numFmtId="0" fontId="1" fillId="12" borderId="13" xfId="0" applyFont="1" applyFill="1" applyBorder="1"/>
    <xf numFmtId="14" fontId="0" fillId="10" borderId="0" xfId="0" applyNumberFormat="1" applyFont="1" applyFill="1"/>
    <xf numFmtId="0" fontId="0" fillId="10" borderId="0" xfId="0" applyFont="1" applyFill="1"/>
    <xf numFmtId="0" fontId="0" fillId="10" borderId="0" xfId="0" applyFont="1" applyFill="1" applyAlignment="1">
      <alignment horizontal="center"/>
    </xf>
    <xf numFmtId="14" fontId="0" fillId="11" borderId="0" xfId="0" applyNumberFormat="1" applyFill="1"/>
    <xf numFmtId="0" fontId="0" fillId="11" borderId="0" xfId="0" applyFill="1" applyAlignment="1">
      <alignment horizontal="center"/>
    </xf>
    <xf numFmtId="14" fontId="0" fillId="3" borderId="0" xfId="0" applyNumberFormat="1" applyFill="1"/>
    <xf numFmtId="14" fontId="0" fillId="14" borderId="0" xfId="0" applyNumberFormat="1" applyFill="1"/>
    <xf numFmtId="0" fontId="0" fillId="14" borderId="0" xfId="0" applyFill="1"/>
    <xf numFmtId="0" fontId="0" fillId="3" borderId="0" xfId="0" applyFill="1" applyAlignment="1">
      <alignment horizontal="center"/>
    </xf>
    <xf numFmtId="14" fontId="0" fillId="15" borderId="0" xfId="0" applyNumberFormat="1" applyFill="1"/>
    <xf numFmtId="14" fontId="0" fillId="0" borderId="14" xfId="0" applyNumberFormat="1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3" borderId="0" xfId="0" applyFill="1" applyBorder="1"/>
    <xf numFmtId="0" fontId="0" fillId="15" borderId="15" xfId="0" applyFont="1" applyFill="1" applyBorder="1" applyAlignment="1">
      <alignment horizontal="center"/>
    </xf>
    <xf numFmtId="0" fontId="0" fillId="15" borderId="0" xfId="0" applyFill="1"/>
    <xf numFmtId="14" fontId="0" fillId="15" borderId="12" xfId="0" applyNumberFormat="1" applyFill="1" applyBorder="1"/>
    <xf numFmtId="0" fontId="1" fillId="15" borderId="13" xfId="0" applyFont="1" applyFill="1" applyBorder="1"/>
    <xf numFmtId="0" fontId="0" fillId="15" borderId="0" xfId="0" applyFill="1" applyAlignment="1">
      <alignment horizontal="center"/>
    </xf>
    <xf numFmtId="14" fontId="0" fillId="12" borderId="14" xfId="0" applyNumberFormat="1" applyFont="1" applyFill="1" applyBorder="1" applyAlignment="1">
      <alignment horizontal="center"/>
    </xf>
    <xf numFmtId="0" fontId="0" fillId="12" borderId="15" xfId="0" applyFont="1" applyFill="1" applyBorder="1" applyAlignment="1">
      <alignment horizontal="center"/>
    </xf>
    <xf numFmtId="14" fontId="0" fillId="9" borderId="14" xfId="0" applyNumberFormat="1" applyFont="1" applyFill="1" applyBorder="1" applyAlignment="1">
      <alignment horizontal="center"/>
    </xf>
    <xf numFmtId="0" fontId="0" fillId="9" borderId="15" xfId="0" applyFont="1" applyFill="1" applyBorder="1" applyAlignment="1">
      <alignment horizontal="center"/>
    </xf>
    <xf numFmtId="14" fontId="0" fillId="16" borderId="14" xfId="0" applyNumberFormat="1" applyFont="1" applyFill="1" applyBorder="1" applyAlignment="1">
      <alignment horizontal="center"/>
    </xf>
    <xf numFmtId="0" fontId="0" fillId="16" borderId="15" xfId="0" applyFont="1" applyFill="1" applyBorder="1" applyAlignment="1">
      <alignment horizontal="center"/>
    </xf>
    <xf numFmtId="0" fontId="0" fillId="16" borderId="0" xfId="0" applyFill="1"/>
    <xf numFmtId="14" fontId="0" fillId="16" borderId="0" xfId="0" applyNumberFormat="1" applyFill="1"/>
    <xf numFmtId="14" fontId="0" fillId="16" borderId="12" xfId="0" applyNumberFormat="1" applyFill="1" applyBorder="1"/>
    <xf numFmtId="14" fontId="1" fillId="16" borderId="13" xfId="0" applyNumberFormat="1" applyFont="1" applyFill="1" applyBorder="1"/>
    <xf numFmtId="0" fontId="0" fillId="16" borderId="0" xfId="0" applyFill="1" applyAlignment="1">
      <alignment horizontal="center"/>
    </xf>
    <xf numFmtId="0" fontId="1" fillId="16" borderId="13" xfId="0" applyFont="1" applyFill="1" applyBorder="1"/>
    <xf numFmtId="14" fontId="0" fillId="14" borderId="14" xfId="0" applyNumberFormat="1" applyFont="1" applyFill="1" applyBorder="1" applyAlignment="1">
      <alignment horizontal="center"/>
    </xf>
    <xf numFmtId="0" fontId="0" fillId="14" borderId="15" xfId="0" applyFont="1" applyFill="1" applyBorder="1" applyAlignment="1">
      <alignment horizontal="center"/>
    </xf>
    <xf numFmtId="14" fontId="0" fillId="14" borderId="12" xfId="0" applyNumberFormat="1" applyFill="1" applyBorder="1"/>
    <xf numFmtId="0" fontId="1" fillId="14" borderId="13" xfId="0" applyFont="1" applyFill="1" applyBorder="1"/>
    <xf numFmtId="0" fontId="0" fillId="14" borderId="0" xfId="0" applyFill="1" applyAlignment="1">
      <alignment horizontal="center"/>
    </xf>
    <xf numFmtId="0" fontId="0" fillId="17" borderId="0" xfId="0" applyFill="1"/>
    <xf numFmtId="0" fontId="0" fillId="9" borderId="0" xfId="0" applyFont="1" applyFill="1" applyBorder="1" applyAlignment="1">
      <alignment horizontal="center"/>
    </xf>
    <xf numFmtId="0" fontId="0" fillId="12" borderId="0" xfId="0" applyFont="1" applyFill="1" applyBorder="1" applyAlignment="1">
      <alignment horizontal="center"/>
    </xf>
    <xf numFmtId="0" fontId="0" fillId="14" borderId="0" xfId="0" applyFont="1" applyFill="1" applyBorder="1" applyAlignment="1">
      <alignment horizontal="center"/>
    </xf>
    <xf numFmtId="14" fontId="1" fillId="0" borderId="13" xfId="0" applyNumberFormat="1" applyFont="1" applyFill="1" applyBorder="1"/>
    <xf numFmtId="14" fontId="0" fillId="3" borderId="14" xfId="0" applyNumberFormat="1" applyFont="1" applyFill="1" applyBorder="1" applyAlignment="1">
      <alignment horizontal="center"/>
    </xf>
    <xf numFmtId="0" fontId="0" fillId="3" borderId="15" xfId="0" applyFont="1" applyFill="1" applyBorder="1" applyAlignment="1">
      <alignment horizontal="center"/>
    </xf>
    <xf numFmtId="14" fontId="0" fillId="3" borderId="12" xfId="0" applyNumberFormat="1" applyFill="1" applyBorder="1"/>
    <xf numFmtId="0" fontId="1" fillId="3" borderId="13" xfId="0" applyFont="1" applyFill="1" applyBorder="1"/>
    <xf numFmtId="0" fontId="0" fillId="15" borderId="0" xfId="0" applyFont="1" applyFill="1" applyBorder="1" applyAlignment="1">
      <alignment horizontal="center"/>
    </xf>
    <xf numFmtId="14" fontId="0" fillId="0" borderId="0" xfId="0" applyNumberFormat="1" applyBorder="1"/>
    <xf numFmtId="0" fontId="0" fillId="5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0" fontId="0" fillId="3" borderId="4" xfId="0" applyFont="1" applyFill="1" applyBorder="1"/>
    <xf numFmtId="14" fontId="0" fillId="0" borderId="4" xfId="0" applyNumberFormat="1" applyFont="1" applyBorder="1"/>
    <xf numFmtId="14" fontId="5" fillId="0" borderId="4" xfId="0" applyNumberFormat="1" applyFont="1" applyBorder="1"/>
    <xf numFmtId="0" fontId="0" fillId="0" borderId="4" xfId="0" applyFont="1" applyBorder="1" applyAlignment="1">
      <alignment horizontal="center"/>
    </xf>
    <xf numFmtId="0" fontId="0" fillId="0" borderId="4" xfId="0" applyFont="1" applyBorder="1"/>
    <xf numFmtId="0" fontId="5" fillId="0" borderId="4" xfId="0" applyFont="1" applyBorder="1"/>
    <xf numFmtId="14" fontId="0" fillId="3" borderId="4" xfId="0" applyNumberFormat="1" applyFont="1" applyFill="1" applyBorder="1"/>
    <xf numFmtId="14" fontId="5" fillId="3" borderId="4" xfId="0" applyNumberFormat="1" applyFont="1" applyFill="1" applyBorder="1"/>
    <xf numFmtId="0" fontId="0" fillId="3" borderId="4" xfId="0" applyFont="1" applyFill="1" applyBorder="1" applyAlignment="1">
      <alignment horizontal="center"/>
    </xf>
    <xf numFmtId="0" fontId="6" fillId="2" borderId="0" xfId="0" applyFont="1" applyFill="1" applyBorder="1"/>
    <xf numFmtId="0" fontId="0" fillId="7" borderId="4" xfId="0" applyFont="1" applyFill="1" applyBorder="1"/>
    <xf numFmtId="0" fontId="0" fillId="0" borderId="4" xfId="0" applyFont="1" applyFill="1" applyBorder="1"/>
    <xf numFmtId="0" fontId="0" fillId="0" borderId="4" xfId="0" applyBorder="1"/>
    <xf numFmtId="14" fontId="0" fillId="0" borderId="0" xfId="0" applyNumberFormat="1" applyFill="1" applyBorder="1"/>
    <xf numFmtId="0" fontId="0" fillId="0" borderId="0" xfId="0" applyFill="1" applyBorder="1"/>
    <xf numFmtId="14" fontId="0" fillId="0" borderId="0" xfId="0" applyNumberFormat="1" applyFont="1" applyFill="1" applyBorder="1" applyAlignment="1">
      <alignment horizontal="center"/>
    </xf>
    <xf numFmtId="0" fontId="0" fillId="3" borderId="4" xfId="0" applyFill="1" applyBorder="1" applyAlignment="1"/>
    <xf numFmtId="0" fontId="4" fillId="2" borderId="0" xfId="0" applyFont="1" applyFill="1"/>
    <xf numFmtId="0" fontId="0" fillId="0" borderId="0" xfId="0" applyFont="1" applyFill="1" applyBorder="1" applyAlignment="1"/>
    <xf numFmtId="0" fontId="0" fillId="0" borderId="0" xfId="0" applyFill="1" applyBorder="1" applyAlignment="1"/>
    <xf numFmtId="0" fontId="0" fillId="3" borderId="17" xfId="0" applyFill="1" applyBorder="1"/>
    <xf numFmtId="0" fontId="0" fillId="2" borderId="0" xfId="0" applyFill="1" applyBorder="1"/>
    <xf numFmtId="0" fontId="1" fillId="0" borderId="0" xfId="0" applyNumberFormat="1" applyFont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3" borderId="18" xfId="0" applyFill="1" applyBorder="1"/>
    <xf numFmtId="0" fontId="0" fillId="0" borderId="12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4" borderId="0" xfId="0" applyFill="1" applyBorder="1"/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4" xfId="0" applyFill="1" applyBorder="1"/>
    <xf numFmtId="0" fontId="0" fillId="3" borderId="8" xfId="0" applyFill="1" applyBorder="1"/>
    <xf numFmtId="14" fontId="0" fillId="0" borderId="12" xfId="0" applyNumberFormat="1" applyBorder="1"/>
    <xf numFmtId="14" fontId="1" fillId="0" borderId="13" xfId="0" applyNumberFormat="1" applyFont="1" applyBorder="1"/>
    <xf numFmtId="0" fontId="0" fillId="3" borderId="0" xfId="0" applyFont="1" applyFill="1" applyBorder="1" applyAlignment="1">
      <alignment horizontal="center"/>
    </xf>
    <xf numFmtId="0" fontId="0" fillId="3" borderId="0" xfId="0" applyFill="1" applyBorder="1"/>
    <xf numFmtId="0" fontId="6" fillId="2" borderId="0" xfId="0" applyFont="1" applyFill="1" applyBorder="1"/>
    <xf numFmtId="0" fontId="4" fillId="2" borderId="0" xfId="0" applyFont="1" applyFill="1"/>
    <xf numFmtId="0" fontId="0" fillId="3" borderId="19" xfId="0" applyFont="1" applyFill="1" applyBorder="1" applyAlignment="1"/>
    <xf numFmtId="0" fontId="0" fillId="3" borderId="20" xfId="0" applyFont="1" applyFill="1" applyBorder="1" applyAlignment="1"/>
    <xf numFmtId="0" fontId="0" fillId="0" borderId="0" xfId="0" applyNumberFormat="1" applyAlignment="1">
      <alignment horizontal="center"/>
    </xf>
    <xf numFmtId="0" fontId="0" fillId="18" borderId="5" xfId="0" applyFill="1" applyBorder="1"/>
    <xf numFmtId="14" fontId="0" fillId="18" borderId="7" xfId="0" applyNumberFormat="1" applyFill="1" applyBorder="1"/>
    <xf numFmtId="0" fontId="0" fillId="18" borderId="12" xfId="0" applyFill="1" applyBorder="1"/>
    <xf numFmtId="14" fontId="0" fillId="18" borderId="13" xfId="0" applyNumberFormat="1" applyFill="1" applyBorder="1"/>
    <xf numFmtId="0" fontId="0" fillId="18" borderId="21" xfId="0" applyFill="1" applyBorder="1"/>
    <xf numFmtId="14" fontId="0" fillId="18" borderId="22" xfId="0" applyNumberFormat="1" applyFill="1" applyBorder="1"/>
    <xf numFmtId="14" fontId="7" fillId="3" borderId="9" xfId="0" applyNumberFormat="1" applyFont="1" applyFill="1" applyBorder="1" applyAlignment="1">
      <alignment horizontal="center"/>
    </xf>
    <xf numFmtId="14" fontId="0" fillId="19" borderId="0" xfId="0" applyNumberForma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0" fillId="3" borderId="23" xfId="0" applyFill="1" applyBorder="1"/>
    <xf numFmtId="14" fontId="1" fillId="0" borderId="0" xfId="0" applyNumberFormat="1" applyFont="1" applyBorder="1"/>
    <xf numFmtId="14" fontId="0" fillId="3" borderId="0" xfId="0" applyNumberFormat="1" applyFill="1" applyBorder="1"/>
    <xf numFmtId="14" fontId="0" fillId="3" borderId="4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0" fillId="3" borderId="16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95250</xdr:rowOff>
        </xdr:from>
        <xdr:to>
          <xdr:col>2</xdr:col>
          <xdr:colOff>381000</xdr:colOff>
          <xdr:row>2</xdr:row>
          <xdr:rowOff>85725</xdr:rowOff>
        </xdr:to>
        <xdr:sp macro="" textlink="">
          <xdr:nvSpPr>
            <xdr:cNvPr id="44033" name="ExecuteQueries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0</xdr:row>
          <xdr:rowOff>114300</xdr:rowOff>
        </xdr:from>
        <xdr:to>
          <xdr:col>4</xdr:col>
          <xdr:colOff>171450</xdr:colOff>
          <xdr:row>2</xdr:row>
          <xdr:rowOff>104775</xdr:rowOff>
        </xdr:to>
        <xdr:sp macro="" textlink="">
          <xdr:nvSpPr>
            <xdr:cNvPr id="44034" name="ClearBtn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104775</xdr:rowOff>
        </xdr:from>
        <xdr:to>
          <xdr:col>2</xdr:col>
          <xdr:colOff>219075</xdr:colOff>
          <xdr:row>2</xdr:row>
          <xdr:rowOff>95250</xdr:rowOff>
        </xdr:to>
        <xdr:sp macro="" textlink="">
          <xdr:nvSpPr>
            <xdr:cNvPr id="13313" name="ExecuteQueries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0</xdr:row>
          <xdr:rowOff>104775</xdr:rowOff>
        </xdr:from>
        <xdr:to>
          <xdr:col>3</xdr:col>
          <xdr:colOff>238125</xdr:colOff>
          <xdr:row>2</xdr:row>
          <xdr:rowOff>95250</xdr:rowOff>
        </xdr:to>
        <xdr:sp macro="" textlink="">
          <xdr:nvSpPr>
            <xdr:cNvPr id="13314" name="ClearBtn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1</xdr:col>
          <xdr:colOff>1362075</xdr:colOff>
          <xdr:row>2</xdr:row>
          <xdr:rowOff>104775</xdr:rowOff>
        </xdr:to>
        <xdr:sp macro="" textlink="">
          <xdr:nvSpPr>
            <xdr:cNvPr id="10241" name="ExecuteQueries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485775</xdr:colOff>
          <xdr:row>2</xdr:row>
          <xdr:rowOff>104775</xdr:rowOff>
        </xdr:to>
        <xdr:sp macro="" textlink="">
          <xdr:nvSpPr>
            <xdr:cNvPr id="10242" name="ClearBt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15361" name="ExecuteQueries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400050</xdr:colOff>
          <xdr:row>2</xdr:row>
          <xdr:rowOff>104775</xdr:rowOff>
        </xdr:to>
        <xdr:sp macro="" textlink="">
          <xdr:nvSpPr>
            <xdr:cNvPr id="15362" name="ClearBtn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27649" name="ExecuteQuerie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314325</xdr:colOff>
          <xdr:row>2</xdr:row>
          <xdr:rowOff>104775</xdr:rowOff>
        </xdr:to>
        <xdr:sp macro="" textlink="">
          <xdr:nvSpPr>
            <xdr:cNvPr id="27650" name="ClearBtn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48129" name="ExecuteQueries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400050</xdr:colOff>
          <xdr:row>2</xdr:row>
          <xdr:rowOff>104775</xdr:rowOff>
        </xdr:to>
        <xdr:sp macro="" textlink="">
          <xdr:nvSpPr>
            <xdr:cNvPr id="48130" name="ClearBtn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45057" name="ExecuteQueries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4</xdr:col>
          <xdr:colOff>247650</xdr:colOff>
          <xdr:row>2</xdr:row>
          <xdr:rowOff>104775</xdr:rowOff>
        </xdr:to>
        <xdr:sp macro="" textlink="">
          <xdr:nvSpPr>
            <xdr:cNvPr id="45058" name="ClearBtn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5297" name="ExecuteQueries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400050</xdr:colOff>
          <xdr:row>2</xdr:row>
          <xdr:rowOff>104775</xdr:rowOff>
        </xdr:to>
        <xdr:sp macro="" textlink="">
          <xdr:nvSpPr>
            <xdr:cNvPr id="55298" name="ClearBtn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54273" name="ExecuteQueries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4</xdr:col>
          <xdr:colOff>9525</xdr:colOff>
          <xdr:row>2</xdr:row>
          <xdr:rowOff>104775</xdr:rowOff>
        </xdr:to>
        <xdr:sp macro="" textlink="">
          <xdr:nvSpPr>
            <xdr:cNvPr id="54274" name="ClearBt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1</xdr:col>
          <xdr:colOff>1362075</xdr:colOff>
          <xdr:row>2</xdr:row>
          <xdr:rowOff>104775</xdr:rowOff>
        </xdr:to>
        <xdr:sp macro="" textlink="">
          <xdr:nvSpPr>
            <xdr:cNvPr id="57345" name="ExecuteQueries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419100</xdr:colOff>
          <xdr:row>2</xdr:row>
          <xdr:rowOff>104775</xdr:rowOff>
        </xdr:to>
        <xdr:sp macro="" textlink="">
          <xdr:nvSpPr>
            <xdr:cNvPr id="57346" name="ClearBt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1</xdr:col>
          <xdr:colOff>1362075</xdr:colOff>
          <xdr:row>2</xdr:row>
          <xdr:rowOff>104775</xdr:rowOff>
        </xdr:to>
        <xdr:sp macro="" textlink="">
          <xdr:nvSpPr>
            <xdr:cNvPr id="66561" name="ExecuteQueries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419100</xdr:colOff>
          <xdr:row>2</xdr:row>
          <xdr:rowOff>104775</xdr:rowOff>
        </xdr:to>
        <xdr:sp macro="" textlink="">
          <xdr:nvSpPr>
            <xdr:cNvPr id="66562" name="ClearBtn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49153" name="ExecuteQueries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400050</xdr:colOff>
          <xdr:row>2</xdr:row>
          <xdr:rowOff>104775</xdr:rowOff>
        </xdr:to>
        <xdr:sp macro="" textlink="">
          <xdr:nvSpPr>
            <xdr:cNvPr id="49154" name="ClearBtn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2225" name="ExecuteQueries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52226" name="ClearBtn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1201" name="ExecuteQueries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400050</xdr:colOff>
          <xdr:row>2</xdr:row>
          <xdr:rowOff>104775</xdr:rowOff>
        </xdr:to>
        <xdr:sp macro="" textlink="">
          <xdr:nvSpPr>
            <xdr:cNvPr id="51202" name="ClearBtn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0177" name="ExecuteQueries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50178" name="ClearBtn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3249" name="ExecuteQueries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400050</xdr:colOff>
          <xdr:row>2</xdr:row>
          <xdr:rowOff>104775</xdr:rowOff>
        </xdr:to>
        <xdr:sp macro="" textlink="">
          <xdr:nvSpPr>
            <xdr:cNvPr id="53250" name="ClearBtn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6145" name="ExecuteQuerie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6146" name="ClearBt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8193" name="ExecuteQueries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8194" name="ClearBt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0</xdr:row>
          <xdr:rowOff>409575</xdr:rowOff>
        </xdr:from>
        <xdr:to>
          <xdr:col>1</xdr:col>
          <xdr:colOff>1352550</xdr:colOff>
          <xdr:row>2</xdr:row>
          <xdr:rowOff>38100</xdr:rowOff>
        </xdr:to>
        <xdr:sp macro="" textlink="">
          <xdr:nvSpPr>
            <xdr:cNvPr id="75777" name="ExecuteQueries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0</xdr:row>
          <xdr:rowOff>381000</xdr:rowOff>
        </xdr:from>
        <xdr:to>
          <xdr:col>5</xdr:col>
          <xdr:colOff>28575</xdr:colOff>
          <xdr:row>2</xdr:row>
          <xdr:rowOff>9525</xdr:rowOff>
        </xdr:to>
        <xdr:sp macro="" textlink="">
          <xdr:nvSpPr>
            <xdr:cNvPr id="75778" name="ClearBtn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0</xdr:row>
          <xdr:rowOff>485775</xdr:rowOff>
        </xdr:to>
        <xdr:sp macro="" textlink="">
          <xdr:nvSpPr>
            <xdr:cNvPr id="78849" name="ExecuteQueries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0</xdr:row>
          <xdr:rowOff>485775</xdr:rowOff>
        </xdr:to>
        <xdr:sp macro="" textlink="">
          <xdr:nvSpPr>
            <xdr:cNvPr id="78850" name="ClearBtn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1</xdr:col>
          <xdr:colOff>1362075</xdr:colOff>
          <xdr:row>2</xdr:row>
          <xdr:rowOff>104775</xdr:rowOff>
        </xdr:to>
        <xdr:sp macro="" textlink="">
          <xdr:nvSpPr>
            <xdr:cNvPr id="80897" name="ExecuteQueries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419100</xdr:colOff>
          <xdr:row>2</xdr:row>
          <xdr:rowOff>104775</xdr:rowOff>
        </xdr:to>
        <xdr:sp macro="" textlink="">
          <xdr:nvSpPr>
            <xdr:cNvPr id="80898" name="ClearBtn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79873" name="ExecuteQueries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3</xdr:col>
          <xdr:colOff>485775</xdr:colOff>
          <xdr:row>2</xdr:row>
          <xdr:rowOff>104775</xdr:rowOff>
        </xdr:to>
        <xdr:sp macro="" textlink="">
          <xdr:nvSpPr>
            <xdr:cNvPr id="79874" name="ClearBtn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6321" name="ExecuteQueries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56322" name="ClearBt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2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4.xml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2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2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3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30.xml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3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3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34.xml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3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3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4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4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openxmlformats.org/officeDocument/2006/relationships/image" Target="../media/image44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46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2D050"/>
  </sheetPr>
  <dimension ref="A1:S390"/>
  <sheetViews>
    <sheetView topLeftCell="B13" workbookViewId="0">
      <selection activeCell="N8" sqref="N8:P8"/>
    </sheetView>
  </sheetViews>
  <sheetFormatPr defaultRowHeight="15" x14ac:dyDescent="0.25"/>
  <cols>
    <col min="1" max="1" width="10.7109375" bestFit="1" customWidth="1"/>
    <col min="2" max="2" width="12.140625" bestFit="1" customWidth="1"/>
    <col min="3" max="3" width="23.71093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6" max="16" width="14.28515625" bestFit="1" customWidth="1"/>
    <col min="18" max="18" width="49" bestFit="1" customWidth="1"/>
  </cols>
  <sheetData>
    <row r="1" spans="1:19" x14ac:dyDescent="0.25">
      <c r="E1"/>
      <c r="K1"/>
    </row>
    <row r="2" spans="1:19" x14ac:dyDescent="0.25">
      <c r="E2"/>
      <c r="H2" t="s">
        <v>20</v>
      </c>
      <c r="I2" s="5">
        <v>93</v>
      </c>
      <c r="K2"/>
    </row>
    <row r="3" spans="1:19" x14ac:dyDescent="0.25">
      <c r="E3"/>
      <c r="K3"/>
    </row>
    <row r="4" spans="1:19" s="2" customFormat="1" ht="15.75" thickBot="1" x14ac:dyDescent="0.3"/>
    <row r="5" spans="1:19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9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 t="s">
        <v>1287</v>
      </c>
    </row>
    <row r="7" spans="1:19" s="2" customFormat="1" x14ac:dyDescent="0.25">
      <c r="F7" s="6"/>
      <c r="G7" s="6"/>
      <c r="M7" s="15"/>
      <c r="N7" s="16"/>
    </row>
    <row r="8" spans="1:19" ht="15.75" x14ac:dyDescent="0.25">
      <c r="A8" s="55">
        <v>37953</v>
      </c>
      <c r="B8" s="56" t="s">
        <v>42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110</v>
      </c>
      <c r="M8" s="17" t="str">
        <f>B8</f>
        <v>perstart</v>
      </c>
      <c r="N8" s="18" t="str">
        <f>IF(VALUE(O8)=VALUE(P8), "P", "F")</f>
        <v>P</v>
      </c>
      <c r="O8" s="169">
        <f>IF(M8="perstart",F8,IF(M8="perEnd",G8,"Failed"))</f>
        <v>37928</v>
      </c>
      <c r="P8" s="1" t="str">
        <f>DateToNum(L8)</f>
        <v>11/3/2003</v>
      </c>
      <c r="R8" t="s">
        <v>24</v>
      </c>
      <c r="S8" t="s">
        <v>33</v>
      </c>
    </row>
    <row r="9" spans="1:19" ht="15.75" x14ac:dyDescent="0.25">
      <c r="A9" s="55">
        <v>37954</v>
      </c>
      <c r="B9" s="56" t="s">
        <v>42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110</v>
      </c>
      <c r="M9" s="17" t="str">
        <f t="shared" ref="M9:M46" si="0">B9</f>
        <v>perstart</v>
      </c>
      <c r="N9" s="133" t="str">
        <f t="shared" ref="N9:N72" si="1">IF(VALUE(O9)=VALUE(P9), "P", "F")</f>
        <v>P</v>
      </c>
      <c r="O9" s="169">
        <f t="shared" ref="O9:O72" si="2">IF(M9="perstart",F9,IF(M9="perEnd",G9,"Failed"))</f>
        <v>37928</v>
      </c>
      <c r="P9" s="1" t="str">
        <f t="shared" ref="P9:P72" si="3">DateToNum(L9)</f>
        <v>11/3/2003</v>
      </c>
      <c r="R9" t="s">
        <v>25</v>
      </c>
      <c r="S9" t="s">
        <v>34</v>
      </c>
    </row>
    <row r="10" spans="1:19" ht="15.75" x14ac:dyDescent="0.25">
      <c r="A10" s="55">
        <v>37955</v>
      </c>
      <c r="B10" s="56" t="s">
        <v>42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110</v>
      </c>
      <c r="M10" s="17" t="str">
        <f t="shared" si="0"/>
        <v>perstart</v>
      </c>
      <c r="N10" s="133" t="str">
        <f t="shared" si="1"/>
        <v>P</v>
      </c>
      <c r="O10" s="169">
        <f t="shared" si="2"/>
        <v>37928</v>
      </c>
      <c r="P10" s="1" t="str">
        <f t="shared" si="3"/>
        <v>11/3/2003</v>
      </c>
      <c r="R10" t="s">
        <v>26</v>
      </c>
      <c r="S10" t="s">
        <v>36</v>
      </c>
    </row>
    <row r="11" spans="1:19" ht="15.75" x14ac:dyDescent="0.25">
      <c r="A11" s="55">
        <v>37956</v>
      </c>
      <c r="B11" s="56" t="s">
        <v>42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79</v>
      </c>
      <c r="M11" s="17" t="str">
        <f t="shared" si="0"/>
        <v>perstart</v>
      </c>
      <c r="N11" s="133" t="str">
        <f t="shared" si="1"/>
        <v>P</v>
      </c>
      <c r="O11" s="169">
        <f t="shared" si="2"/>
        <v>37956</v>
      </c>
      <c r="P11" s="1" t="str">
        <f t="shared" si="3"/>
        <v>12/1/2003</v>
      </c>
      <c r="R11" t="s">
        <v>27</v>
      </c>
      <c r="S11" t="s">
        <v>37</v>
      </c>
    </row>
    <row r="12" spans="1:19" ht="15.75" x14ac:dyDescent="0.25">
      <c r="A12" s="55">
        <v>38320</v>
      </c>
      <c r="B12" s="56" t="s">
        <v>42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81</v>
      </c>
      <c r="M12" s="17" t="str">
        <f t="shared" si="0"/>
        <v>perstart</v>
      </c>
      <c r="N12" s="133" t="str">
        <f t="shared" si="1"/>
        <v>P</v>
      </c>
      <c r="O12" s="169">
        <f t="shared" si="2"/>
        <v>38320</v>
      </c>
      <c r="P12" s="1" t="str">
        <f t="shared" si="3"/>
        <v>11/29/2004</v>
      </c>
      <c r="R12" t="s">
        <v>28</v>
      </c>
      <c r="S12" t="s">
        <v>38</v>
      </c>
    </row>
    <row r="13" spans="1:19" ht="15.75" x14ac:dyDescent="0.25">
      <c r="A13" s="55">
        <v>38684</v>
      </c>
      <c r="B13" s="56" t="s">
        <v>42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83</v>
      </c>
      <c r="M13" s="17" t="str">
        <f t="shared" si="0"/>
        <v>perstart</v>
      </c>
      <c r="N13" s="133" t="str">
        <f t="shared" si="1"/>
        <v>P</v>
      </c>
      <c r="O13" s="169">
        <f t="shared" si="2"/>
        <v>38684</v>
      </c>
      <c r="P13" s="1" t="str">
        <f t="shared" si="3"/>
        <v>11/28/2005</v>
      </c>
      <c r="R13" t="s">
        <v>29</v>
      </c>
      <c r="S13" t="s">
        <v>39</v>
      </c>
    </row>
    <row r="14" spans="1:19" ht="15.75" x14ac:dyDescent="0.25">
      <c r="A14" s="55">
        <v>46356</v>
      </c>
      <c r="B14" s="56" t="s">
        <v>42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98</v>
      </c>
      <c r="M14" s="17" t="str">
        <f t="shared" si="0"/>
        <v>perstart</v>
      </c>
      <c r="N14" s="133" t="str">
        <f t="shared" si="1"/>
        <v>P</v>
      </c>
      <c r="O14" s="169">
        <f t="shared" si="2"/>
        <v>46356</v>
      </c>
      <c r="P14" s="1" t="str">
        <f t="shared" si="3"/>
        <v>11/30/2026</v>
      </c>
      <c r="R14" t="s">
        <v>30</v>
      </c>
      <c r="S14" t="s">
        <v>40</v>
      </c>
    </row>
    <row r="15" spans="1:19" ht="15.75" x14ac:dyDescent="0.25">
      <c r="A15" s="55">
        <v>46720</v>
      </c>
      <c r="B15" s="56" t="s">
        <v>42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100</v>
      </c>
      <c r="M15" s="17" t="str">
        <f t="shared" si="0"/>
        <v>perstart</v>
      </c>
      <c r="N15" s="133" t="str">
        <f t="shared" si="1"/>
        <v>P</v>
      </c>
      <c r="O15" s="169">
        <f t="shared" si="2"/>
        <v>46720</v>
      </c>
      <c r="P15" s="1" t="str">
        <f t="shared" si="3"/>
        <v>11/29/2027</v>
      </c>
      <c r="R15" t="s">
        <v>31</v>
      </c>
    </row>
    <row r="16" spans="1:19" ht="15.75" x14ac:dyDescent="0.25">
      <c r="A16" s="55">
        <v>47084</v>
      </c>
      <c r="B16" s="56" t="s">
        <v>42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102</v>
      </c>
      <c r="M16" s="17" t="str">
        <f t="shared" si="0"/>
        <v>perstart</v>
      </c>
      <c r="N16" s="133" t="str">
        <f t="shared" si="1"/>
        <v>P</v>
      </c>
      <c r="O16" s="169">
        <f t="shared" si="2"/>
        <v>47084</v>
      </c>
      <c r="P16" s="1" t="str">
        <f t="shared" si="3"/>
        <v>11/27/2028</v>
      </c>
      <c r="R16" t="s">
        <v>32</v>
      </c>
      <c r="S16" t="s">
        <v>247</v>
      </c>
    </row>
    <row r="17" spans="1:19" ht="15.75" x14ac:dyDescent="0.25">
      <c r="A17" s="55">
        <v>47455</v>
      </c>
      <c r="B17" s="56" t="s">
        <v>42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104</v>
      </c>
      <c r="M17" s="17" t="str">
        <f t="shared" si="0"/>
        <v>perstart</v>
      </c>
      <c r="N17" s="133" t="str">
        <f t="shared" si="1"/>
        <v>P</v>
      </c>
      <c r="O17" s="169">
        <f t="shared" si="2"/>
        <v>47455</v>
      </c>
      <c r="P17" s="1" t="str">
        <f t="shared" si="3"/>
        <v>12/3/2029</v>
      </c>
      <c r="S17" t="s">
        <v>242</v>
      </c>
    </row>
    <row r="18" spans="1:19" ht="15.75" x14ac:dyDescent="0.25">
      <c r="A18" s="55">
        <v>47819</v>
      </c>
      <c r="B18" s="56" t="s">
        <v>42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106</v>
      </c>
      <c r="M18" s="17" t="str">
        <f t="shared" si="0"/>
        <v>perstart</v>
      </c>
      <c r="N18" s="133" t="str">
        <f t="shared" si="1"/>
        <v>P</v>
      </c>
      <c r="O18" s="169">
        <f t="shared" si="2"/>
        <v>47819</v>
      </c>
      <c r="P18" s="1" t="str">
        <f t="shared" si="3"/>
        <v>12/2/2030</v>
      </c>
      <c r="S18" t="s">
        <v>243</v>
      </c>
    </row>
    <row r="19" spans="1:19" ht="15.75" x14ac:dyDescent="0.25">
      <c r="A19" s="55">
        <v>37255</v>
      </c>
      <c r="B19" s="56" t="s">
        <v>113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114</v>
      </c>
      <c r="M19" s="17" t="str">
        <f t="shared" si="0"/>
        <v>perEnd</v>
      </c>
      <c r="N19" s="133" t="str">
        <f t="shared" si="1"/>
        <v>P</v>
      </c>
      <c r="O19" s="169">
        <f t="shared" si="2"/>
        <v>37255</v>
      </c>
      <c r="P19" s="1" t="str">
        <f t="shared" si="3"/>
        <v>12/30/2001</v>
      </c>
      <c r="S19" t="s">
        <v>244</v>
      </c>
    </row>
    <row r="20" spans="1:19" ht="15.75" x14ac:dyDescent="0.25">
      <c r="A20" s="55">
        <v>37619</v>
      </c>
      <c r="B20" s="56" t="s">
        <v>113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115</v>
      </c>
      <c r="M20" s="17" t="str">
        <f t="shared" si="0"/>
        <v>perEnd</v>
      </c>
      <c r="N20" s="133" t="str">
        <f t="shared" si="1"/>
        <v>P</v>
      </c>
      <c r="O20" s="169">
        <f t="shared" si="2"/>
        <v>37619</v>
      </c>
      <c r="P20" s="1" t="str">
        <f t="shared" si="3"/>
        <v>12/29/2002</v>
      </c>
      <c r="S20" t="s">
        <v>245</v>
      </c>
    </row>
    <row r="21" spans="1:19" ht="15.75" x14ac:dyDescent="0.25">
      <c r="A21" s="55">
        <v>37983</v>
      </c>
      <c r="B21" s="56" t="s">
        <v>113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116</v>
      </c>
      <c r="M21" s="17" t="str">
        <f t="shared" si="0"/>
        <v>perEnd</v>
      </c>
      <c r="N21" s="133" t="str">
        <f t="shared" si="1"/>
        <v>P</v>
      </c>
      <c r="O21" s="169">
        <f t="shared" si="2"/>
        <v>37983</v>
      </c>
      <c r="P21" s="1" t="str">
        <f t="shared" si="3"/>
        <v>12/28/2003</v>
      </c>
      <c r="S21" t="s">
        <v>246</v>
      </c>
    </row>
    <row r="22" spans="1:19" ht="15.75" x14ac:dyDescent="0.25">
      <c r="A22" s="55">
        <v>38347</v>
      </c>
      <c r="B22" s="56" t="s">
        <v>113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117</v>
      </c>
      <c r="M22" s="17" t="str">
        <f t="shared" si="0"/>
        <v>perEnd</v>
      </c>
      <c r="N22" s="133" t="str">
        <f t="shared" si="1"/>
        <v>P</v>
      </c>
      <c r="O22" s="169">
        <f t="shared" si="2"/>
        <v>38347</v>
      </c>
      <c r="P22" s="1" t="str">
        <f t="shared" si="3"/>
        <v>12/26/2004</v>
      </c>
    </row>
    <row r="23" spans="1:19" ht="15.75" x14ac:dyDescent="0.25">
      <c r="A23" s="55">
        <v>38711</v>
      </c>
      <c r="B23" s="56" t="s">
        <v>113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118</v>
      </c>
      <c r="M23" s="17" t="str">
        <f t="shared" si="0"/>
        <v>perEnd</v>
      </c>
      <c r="N23" s="133" t="str">
        <f t="shared" si="1"/>
        <v>P</v>
      </c>
      <c r="O23" s="169">
        <f t="shared" si="2"/>
        <v>38711</v>
      </c>
      <c r="P23" s="1" t="str">
        <f t="shared" si="3"/>
        <v>12/25/2005</v>
      </c>
    </row>
    <row r="24" spans="1:19" ht="15.75" x14ac:dyDescent="0.25">
      <c r="A24" s="55">
        <v>39082</v>
      </c>
      <c r="B24" s="56" t="s">
        <v>113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119</v>
      </c>
      <c r="M24" s="17" t="str">
        <f t="shared" si="0"/>
        <v>perEnd</v>
      </c>
      <c r="N24" s="133" t="str">
        <f t="shared" si="1"/>
        <v>P</v>
      </c>
      <c r="O24" s="169">
        <f t="shared" si="2"/>
        <v>39082</v>
      </c>
      <c r="P24" s="1" t="str">
        <f t="shared" si="3"/>
        <v>12/31/2006</v>
      </c>
    </row>
    <row r="25" spans="1:19" ht="15.75" x14ac:dyDescent="0.25">
      <c r="A25" s="55">
        <v>39446</v>
      </c>
      <c r="B25" s="56" t="s">
        <v>113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120</v>
      </c>
      <c r="M25" s="17" t="str">
        <f t="shared" si="0"/>
        <v>perEnd</v>
      </c>
      <c r="N25" s="133" t="str">
        <f t="shared" si="1"/>
        <v>P</v>
      </c>
      <c r="O25" s="169">
        <f t="shared" si="2"/>
        <v>39446</v>
      </c>
      <c r="P25" s="1" t="str">
        <f t="shared" si="3"/>
        <v>12/30/2007</v>
      </c>
    </row>
    <row r="26" spans="1:19" ht="15.75" x14ac:dyDescent="0.25">
      <c r="A26" s="55">
        <v>39810</v>
      </c>
      <c r="B26" s="56" t="s">
        <v>113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121</v>
      </c>
      <c r="M26" s="17" t="str">
        <f t="shared" si="0"/>
        <v>perEnd</v>
      </c>
      <c r="N26" s="133" t="str">
        <f t="shared" si="1"/>
        <v>P</v>
      </c>
      <c r="O26" s="169">
        <f t="shared" si="2"/>
        <v>39810</v>
      </c>
      <c r="P26" s="1" t="str">
        <f t="shared" si="3"/>
        <v>12/28/2008</v>
      </c>
    </row>
    <row r="27" spans="1:19" ht="15.75" x14ac:dyDescent="0.25">
      <c r="A27" s="55">
        <v>40174</v>
      </c>
      <c r="B27" s="56" t="s">
        <v>113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122</v>
      </c>
      <c r="M27" s="17" t="str">
        <f t="shared" si="0"/>
        <v>perEnd</v>
      </c>
      <c r="N27" s="133" t="str">
        <f t="shared" si="1"/>
        <v>P</v>
      </c>
      <c r="O27" s="169">
        <f t="shared" si="2"/>
        <v>40174</v>
      </c>
      <c r="P27" s="1" t="str">
        <f t="shared" si="3"/>
        <v>12/27/2009</v>
      </c>
    </row>
    <row r="28" spans="1:19" ht="15.75" x14ac:dyDescent="0.25">
      <c r="A28" s="55">
        <v>40538</v>
      </c>
      <c r="B28" s="56" t="s">
        <v>113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123</v>
      </c>
      <c r="M28" s="17" t="str">
        <f t="shared" si="0"/>
        <v>perEnd</v>
      </c>
      <c r="N28" s="133" t="str">
        <f t="shared" si="1"/>
        <v>P</v>
      </c>
      <c r="O28" s="169">
        <f t="shared" si="2"/>
        <v>40538</v>
      </c>
      <c r="P28" s="1" t="str">
        <f t="shared" si="3"/>
        <v>12/26/2010</v>
      </c>
    </row>
    <row r="29" spans="1:19" ht="15.75" x14ac:dyDescent="0.25">
      <c r="A29" s="55">
        <v>40902</v>
      </c>
      <c r="B29" s="56" t="s">
        <v>113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124</v>
      </c>
      <c r="M29" s="17" t="str">
        <f t="shared" si="0"/>
        <v>perEnd</v>
      </c>
      <c r="N29" s="133" t="str">
        <f t="shared" si="1"/>
        <v>P</v>
      </c>
      <c r="O29" s="169">
        <f t="shared" si="2"/>
        <v>40902</v>
      </c>
      <c r="P29" s="1" t="str">
        <f t="shared" si="3"/>
        <v>12/25/2011</v>
      </c>
    </row>
    <row r="30" spans="1:19" ht="15.75" x14ac:dyDescent="0.25">
      <c r="A30" s="55">
        <v>41273</v>
      </c>
      <c r="B30" s="56" t="s">
        <v>113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125</v>
      </c>
      <c r="M30" s="17" t="str">
        <f t="shared" si="0"/>
        <v>perEnd</v>
      </c>
      <c r="N30" s="133" t="str">
        <f t="shared" si="1"/>
        <v>P</v>
      </c>
      <c r="O30" s="169">
        <f t="shared" si="2"/>
        <v>41273</v>
      </c>
      <c r="P30" s="1" t="str">
        <f t="shared" si="3"/>
        <v>12/30/2012</v>
      </c>
    </row>
    <row r="31" spans="1:19" ht="15.75" x14ac:dyDescent="0.25">
      <c r="A31" s="55">
        <v>41637</v>
      </c>
      <c r="B31" s="56" t="s">
        <v>113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126</v>
      </c>
      <c r="M31" s="17" t="str">
        <f t="shared" si="0"/>
        <v>perEnd</v>
      </c>
      <c r="N31" s="133" t="str">
        <f t="shared" si="1"/>
        <v>P</v>
      </c>
      <c r="O31" s="169">
        <f t="shared" si="2"/>
        <v>41637</v>
      </c>
      <c r="P31" s="1" t="str">
        <f t="shared" si="3"/>
        <v>12/29/2013</v>
      </c>
    </row>
    <row r="32" spans="1:19" ht="15.75" x14ac:dyDescent="0.25">
      <c r="A32" s="55">
        <v>42001</v>
      </c>
      <c r="B32" s="56" t="s">
        <v>113</v>
      </c>
      <c r="C32" s="56" t="s">
        <v>109</v>
      </c>
      <c r="E32" s="2" t="s">
        <v>71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127</v>
      </c>
      <c r="M32" s="17" t="str">
        <f t="shared" si="0"/>
        <v>perEnd</v>
      </c>
      <c r="N32" s="133" t="str">
        <f t="shared" si="1"/>
        <v>P</v>
      </c>
      <c r="O32" s="169">
        <f t="shared" si="2"/>
        <v>42001</v>
      </c>
      <c r="P32" s="1" t="str">
        <f t="shared" si="3"/>
        <v>12/28/2014</v>
      </c>
    </row>
    <row r="33" spans="1:16" ht="15.75" x14ac:dyDescent="0.25">
      <c r="A33" s="55">
        <v>42365</v>
      </c>
      <c r="B33" s="56" t="s">
        <v>113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128</v>
      </c>
      <c r="M33" s="17" t="str">
        <f t="shared" si="0"/>
        <v>perEnd</v>
      </c>
      <c r="N33" s="133" t="str">
        <f t="shared" si="1"/>
        <v>P</v>
      </c>
      <c r="O33" s="169">
        <f t="shared" si="2"/>
        <v>42365</v>
      </c>
      <c r="P33" s="1" t="str">
        <f t="shared" si="3"/>
        <v>12/27/2015</v>
      </c>
    </row>
    <row r="34" spans="1:16" ht="15.75" x14ac:dyDescent="0.25">
      <c r="A34" s="55">
        <v>42729</v>
      </c>
      <c r="B34" s="56" t="s">
        <v>113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129</v>
      </c>
      <c r="M34" s="17" t="str">
        <f t="shared" si="0"/>
        <v>perEnd</v>
      </c>
      <c r="N34" s="133" t="str">
        <f t="shared" si="1"/>
        <v>P</v>
      </c>
      <c r="O34" s="169">
        <f t="shared" si="2"/>
        <v>42729</v>
      </c>
      <c r="P34" s="1" t="str">
        <f t="shared" si="3"/>
        <v>12/25/2016</v>
      </c>
    </row>
    <row r="35" spans="1:16" ht="15.75" x14ac:dyDescent="0.25">
      <c r="A35" s="55">
        <v>39048</v>
      </c>
      <c r="B35" s="56" t="s">
        <v>42</v>
      </c>
      <c r="C35" s="56" t="s">
        <v>111</v>
      </c>
      <c r="F35" s="1">
        <v>39048</v>
      </c>
      <c r="G35" s="1">
        <v>39082</v>
      </c>
      <c r="H35" t="s">
        <v>86</v>
      </c>
      <c r="I35" t="s">
        <v>14</v>
      </c>
      <c r="J35" t="s">
        <v>12</v>
      </c>
      <c r="L35" t="s">
        <v>85</v>
      </c>
      <c r="M35" s="17" t="str">
        <f t="shared" si="0"/>
        <v>perstart</v>
      </c>
      <c r="N35" s="133" t="str">
        <f t="shared" si="1"/>
        <v>P</v>
      </c>
      <c r="O35" s="169">
        <f t="shared" si="2"/>
        <v>39048</v>
      </c>
      <c r="P35" s="1" t="str">
        <f t="shared" si="3"/>
        <v>11/27/2006</v>
      </c>
    </row>
    <row r="36" spans="1:16" ht="15.75" x14ac:dyDescent="0.25">
      <c r="A36" s="55">
        <v>43066</v>
      </c>
      <c r="B36" s="56" t="s">
        <v>42</v>
      </c>
      <c r="C36" s="56" t="s">
        <v>111</v>
      </c>
      <c r="F36" s="1">
        <v>43066</v>
      </c>
      <c r="G36" s="1">
        <v>43100</v>
      </c>
      <c r="H36" t="s">
        <v>70</v>
      </c>
      <c r="I36" t="s">
        <v>14</v>
      </c>
      <c r="J36" t="s">
        <v>12</v>
      </c>
      <c r="L36" t="s">
        <v>94</v>
      </c>
      <c r="M36" s="17" t="str">
        <f t="shared" si="0"/>
        <v>perstart</v>
      </c>
      <c r="N36" s="133" t="str">
        <f t="shared" si="1"/>
        <v>P</v>
      </c>
      <c r="O36" s="169">
        <f t="shared" si="2"/>
        <v>43066</v>
      </c>
      <c r="P36" s="1" t="str">
        <f t="shared" si="3"/>
        <v>11/27/2017</v>
      </c>
    </row>
    <row r="37" spans="1:16" ht="15.75" x14ac:dyDescent="0.25">
      <c r="A37" s="55">
        <v>47084</v>
      </c>
      <c r="B37" s="56" t="s">
        <v>42</v>
      </c>
      <c r="C37" s="56" t="s">
        <v>111</v>
      </c>
      <c r="F37" s="1">
        <v>47084</v>
      </c>
      <c r="G37" s="1">
        <v>47118</v>
      </c>
      <c r="H37" t="s">
        <v>103</v>
      </c>
      <c r="I37" t="s">
        <v>14</v>
      </c>
      <c r="J37" t="s">
        <v>12</v>
      </c>
      <c r="L37" t="s">
        <v>102</v>
      </c>
      <c r="M37" s="17" t="str">
        <f t="shared" si="0"/>
        <v>perstart</v>
      </c>
      <c r="N37" s="133" t="str">
        <f t="shared" si="1"/>
        <v>P</v>
      </c>
      <c r="O37" s="169">
        <f t="shared" si="2"/>
        <v>47084</v>
      </c>
      <c r="P37" s="1" t="str">
        <f t="shared" si="3"/>
        <v>11/27/2028</v>
      </c>
    </row>
    <row r="38" spans="1:16" ht="15.75" x14ac:dyDescent="0.25">
      <c r="A38" s="55">
        <v>39082</v>
      </c>
      <c r="B38" s="56" t="s">
        <v>42</v>
      </c>
      <c r="C38" s="56" t="s">
        <v>112</v>
      </c>
      <c r="F38" s="1">
        <v>39048</v>
      </c>
      <c r="G38" s="1">
        <v>39082</v>
      </c>
      <c r="H38" t="s">
        <v>86</v>
      </c>
      <c r="I38" t="s">
        <v>14</v>
      </c>
      <c r="J38" t="s">
        <v>12</v>
      </c>
      <c r="L38" t="s">
        <v>85</v>
      </c>
      <c r="M38" s="17" t="str">
        <f t="shared" si="0"/>
        <v>perstart</v>
      </c>
      <c r="N38" s="133" t="str">
        <f t="shared" si="1"/>
        <v>P</v>
      </c>
      <c r="O38" s="169">
        <f t="shared" si="2"/>
        <v>39048</v>
      </c>
      <c r="P38" s="1" t="str">
        <f t="shared" si="3"/>
        <v>11/27/2006</v>
      </c>
    </row>
    <row r="39" spans="1:16" ht="15.75" x14ac:dyDescent="0.25">
      <c r="A39" s="55">
        <v>43100</v>
      </c>
      <c r="B39" s="56" t="s">
        <v>42</v>
      </c>
      <c r="C39" s="56" t="s">
        <v>112</v>
      </c>
      <c r="F39" s="1">
        <v>43066</v>
      </c>
      <c r="G39" s="1">
        <v>43100</v>
      </c>
      <c r="H39" t="s">
        <v>70</v>
      </c>
      <c r="I39" t="s">
        <v>14</v>
      </c>
      <c r="J39" t="s">
        <v>12</v>
      </c>
      <c r="L39" t="s">
        <v>94</v>
      </c>
      <c r="M39" s="17" t="str">
        <f t="shared" si="0"/>
        <v>perstart</v>
      </c>
      <c r="N39" s="133" t="str">
        <f t="shared" si="1"/>
        <v>P</v>
      </c>
      <c r="O39" s="169">
        <f t="shared" si="2"/>
        <v>43066</v>
      </c>
      <c r="P39" s="1" t="str">
        <f t="shared" si="3"/>
        <v>11/27/2017</v>
      </c>
    </row>
    <row r="40" spans="1:16" ht="15.75" x14ac:dyDescent="0.25">
      <c r="A40" s="55">
        <v>47118</v>
      </c>
      <c r="B40" s="56" t="s">
        <v>42</v>
      </c>
      <c r="C40" s="56" t="s">
        <v>112</v>
      </c>
      <c r="F40" s="1">
        <v>47084</v>
      </c>
      <c r="G40" s="1">
        <v>47118</v>
      </c>
      <c r="H40" t="s">
        <v>103</v>
      </c>
      <c r="I40" t="s">
        <v>14</v>
      </c>
      <c r="J40" t="s">
        <v>12</v>
      </c>
      <c r="L40" t="s">
        <v>102</v>
      </c>
      <c r="M40" s="17" t="str">
        <f t="shared" si="0"/>
        <v>perstart</v>
      </c>
      <c r="N40" s="133" t="str">
        <f t="shared" si="1"/>
        <v>P</v>
      </c>
      <c r="O40" s="169">
        <f t="shared" si="2"/>
        <v>47084</v>
      </c>
      <c r="P40" s="1" t="str">
        <f t="shared" si="3"/>
        <v>11/27/2028</v>
      </c>
    </row>
    <row r="41" spans="1:16" ht="15.75" x14ac:dyDescent="0.25">
      <c r="A41" s="55">
        <v>39048</v>
      </c>
      <c r="B41" s="56" t="s">
        <v>113</v>
      </c>
      <c r="C41" s="56" t="s">
        <v>111</v>
      </c>
      <c r="F41" s="1">
        <v>39048</v>
      </c>
      <c r="G41" s="1">
        <v>39082</v>
      </c>
      <c r="H41" t="s">
        <v>86</v>
      </c>
      <c r="I41" t="s">
        <v>14</v>
      </c>
      <c r="J41" t="s">
        <v>12</v>
      </c>
      <c r="L41" t="s">
        <v>119</v>
      </c>
      <c r="M41" s="17" t="str">
        <f t="shared" si="0"/>
        <v>perEnd</v>
      </c>
      <c r="N41" s="133" t="str">
        <f t="shared" si="1"/>
        <v>P</v>
      </c>
      <c r="O41" s="169">
        <f t="shared" si="2"/>
        <v>39082</v>
      </c>
      <c r="P41" s="1" t="str">
        <f t="shared" si="3"/>
        <v>12/31/2006</v>
      </c>
    </row>
    <row r="42" spans="1:16" ht="15.75" x14ac:dyDescent="0.25">
      <c r="A42" s="55">
        <v>43066</v>
      </c>
      <c r="B42" s="56" t="s">
        <v>113</v>
      </c>
      <c r="C42" s="56" t="s">
        <v>111</v>
      </c>
      <c r="F42" s="1">
        <v>43066</v>
      </c>
      <c r="G42" s="1">
        <v>43100</v>
      </c>
      <c r="H42" t="s">
        <v>70</v>
      </c>
      <c r="I42" t="s">
        <v>14</v>
      </c>
      <c r="J42" t="s">
        <v>12</v>
      </c>
      <c r="L42" t="s">
        <v>131</v>
      </c>
      <c r="M42" s="17" t="str">
        <f t="shared" si="0"/>
        <v>perEnd</v>
      </c>
      <c r="N42" s="133" t="str">
        <f t="shared" si="1"/>
        <v>P</v>
      </c>
      <c r="O42" s="169">
        <f t="shared" si="2"/>
        <v>43100</v>
      </c>
      <c r="P42" s="1" t="str">
        <f t="shared" si="3"/>
        <v>12/31/2017</v>
      </c>
    </row>
    <row r="43" spans="1:16" ht="15.75" x14ac:dyDescent="0.25">
      <c r="A43" s="55">
        <v>47084</v>
      </c>
      <c r="B43" s="56" t="s">
        <v>113</v>
      </c>
      <c r="C43" s="56" t="s">
        <v>111</v>
      </c>
      <c r="F43" s="1">
        <v>47084</v>
      </c>
      <c r="G43" s="1">
        <v>47118</v>
      </c>
      <c r="H43" t="s">
        <v>103</v>
      </c>
      <c r="I43" t="s">
        <v>14</v>
      </c>
      <c r="J43" t="s">
        <v>12</v>
      </c>
      <c r="L43" t="s">
        <v>132</v>
      </c>
      <c r="M43" s="17" t="str">
        <f t="shared" si="0"/>
        <v>perEnd</v>
      </c>
      <c r="N43" s="133" t="str">
        <f t="shared" si="1"/>
        <v>P</v>
      </c>
      <c r="O43" s="169">
        <f t="shared" si="2"/>
        <v>47118</v>
      </c>
      <c r="P43" s="1" t="str">
        <f t="shared" si="3"/>
        <v>12/31/2028</v>
      </c>
    </row>
    <row r="44" spans="1:16" ht="15.75" x14ac:dyDescent="0.25">
      <c r="A44" s="55">
        <v>36891</v>
      </c>
      <c r="B44" s="56" t="s">
        <v>113</v>
      </c>
      <c r="C44" s="56" t="s">
        <v>112</v>
      </c>
      <c r="F44" s="1">
        <v>36864</v>
      </c>
      <c r="G44" s="1">
        <v>36891</v>
      </c>
      <c r="H44" t="s">
        <v>76</v>
      </c>
      <c r="I44" t="s">
        <v>14</v>
      </c>
      <c r="J44" t="s">
        <v>12</v>
      </c>
      <c r="L44" t="s">
        <v>130</v>
      </c>
      <c r="M44" s="17" t="str">
        <f t="shared" si="0"/>
        <v>perEnd</v>
      </c>
      <c r="N44" s="133" t="str">
        <f t="shared" si="1"/>
        <v>P</v>
      </c>
      <c r="O44" s="169">
        <f t="shared" si="2"/>
        <v>36891</v>
      </c>
      <c r="P44" s="1" t="str">
        <f t="shared" si="3"/>
        <v>12/31/2000</v>
      </c>
    </row>
    <row r="45" spans="1:16" ht="15.75" x14ac:dyDescent="0.25">
      <c r="A45" s="55">
        <v>39082</v>
      </c>
      <c r="B45" s="56" t="s">
        <v>113</v>
      </c>
      <c r="C45" s="56" t="s">
        <v>112</v>
      </c>
      <c r="F45" s="1">
        <v>39048</v>
      </c>
      <c r="G45" s="1">
        <v>39082</v>
      </c>
      <c r="H45" t="s">
        <v>86</v>
      </c>
      <c r="I45" t="s">
        <v>14</v>
      </c>
      <c r="J45" t="s">
        <v>12</v>
      </c>
      <c r="L45" t="s">
        <v>119</v>
      </c>
      <c r="M45" s="17" t="str">
        <f t="shared" si="0"/>
        <v>perEnd</v>
      </c>
      <c r="N45" s="133" t="str">
        <f t="shared" si="1"/>
        <v>P</v>
      </c>
      <c r="O45" s="169">
        <f t="shared" si="2"/>
        <v>39082</v>
      </c>
      <c r="P45" s="1" t="str">
        <f t="shared" si="3"/>
        <v>12/31/2006</v>
      </c>
    </row>
    <row r="46" spans="1:16" ht="15.75" x14ac:dyDescent="0.25">
      <c r="A46" s="55">
        <v>43100</v>
      </c>
      <c r="B46" s="56" t="s">
        <v>113</v>
      </c>
      <c r="C46" s="56" t="s">
        <v>112</v>
      </c>
      <c r="F46" s="1">
        <v>43066</v>
      </c>
      <c r="G46" s="1">
        <v>43100</v>
      </c>
      <c r="H46" t="s">
        <v>70</v>
      </c>
      <c r="I46" t="s">
        <v>14</v>
      </c>
      <c r="J46" t="s">
        <v>12</v>
      </c>
      <c r="L46" t="s">
        <v>131</v>
      </c>
      <c r="M46" s="17" t="str">
        <f t="shared" si="0"/>
        <v>perEnd</v>
      </c>
      <c r="N46" s="133" t="str">
        <f t="shared" si="1"/>
        <v>P</v>
      </c>
      <c r="O46" s="169">
        <f t="shared" si="2"/>
        <v>43100</v>
      </c>
      <c r="P46" s="1" t="str">
        <f t="shared" si="3"/>
        <v>12/31/2017</v>
      </c>
    </row>
    <row r="47" spans="1:16" ht="15.75" x14ac:dyDescent="0.25">
      <c r="A47" s="55">
        <v>47118</v>
      </c>
      <c r="B47" s="56" t="s">
        <v>113</v>
      </c>
      <c r="C47" s="56" t="s">
        <v>112</v>
      </c>
      <c r="F47" s="1">
        <v>47084</v>
      </c>
      <c r="G47" s="1">
        <v>47118</v>
      </c>
      <c r="H47" t="s">
        <v>103</v>
      </c>
      <c r="I47" t="s">
        <v>14</v>
      </c>
      <c r="J47" t="s">
        <v>12</v>
      </c>
      <c r="L47" t="s">
        <v>132</v>
      </c>
      <c r="M47" s="17" t="str">
        <f t="shared" ref="M47:M78" si="4">B47</f>
        <v>perEnd</v>
      </c>
      <c r="N47" s="133" t="str">
        <f t="shared" si="1"/>
        <v>P</v>
      </c>
      <c r="O47" s="169">
        <f t="shared" si="2"/>
        <v>47118</v>
      </c>
      <c r="P47" s="1" t="str">
        <f t="shared" si="3"/>
        <v>12/31/2028</v>
      </c>
    </row>
    <row r="48" spans="1:16" ht="15.75" x14ac:dyDescent="0.25">
      <c r="A48" s="1">
        <f ca="1">RANDBETWEEN(DATE(2000,1,1),DATE(2030,1,1))</f>
        <v>44383</v>
      </c>
      <c r="B48" s="3" t="s">
        <v>42</v>
      </c>
      <c r="C48" s="57" t="s">
        <v>152</v>
      </c>
      <c r="F48" s="1">
        <v>46860</v>
      </c>
      <c r="G48" s="1">
        <v>46887</v>
      </c>
      <c r="H48" t="s">
        <v>103</v>
      </c>
      <c r="I48" t="s">
        <v>142</v>
      </c>
      <c r="J48" t="s">
        <v>143</v>
      </c>
      <c r="L48" t="s">
        <v>153</v>
      </c>
      <c r="M48" s="17" t="str">
        <f t="shared" si="4"/>
        <v>perstart</v>
      </c>
      <c r="N48" s="133" t="str">
        <f t="shared" si="1"/>
        <v>P</v>
      </c>
      <c r="O48" s="169">
        <f t="shared" si="2"/>
        <v>46860</v>
      </c>
      <c r="P48" s="1" t="str">
        <f t="shared" si="3"/>
        <v>4/17/2028</v>
      </c>
    </row>
    <row r="49" spans="1:16" ht="15.75" x14ac:dyDescent="0.25">
      <c r="A49" s="1">
        <f t="shared" ref="A49:A78" ca="1" si="5">RANDBETWEEN(DATE(2000,1,1),DATE(2030,1,1))</f>
        <v>45336</v>
      </c>
      <c r="B49" s="3" t="s">
        <v>42</v>
      </c>
      <c r="C49" s="57" t="s">
        <v>152</v>
      </c>
      <c r="F49" s="1">
        <v>42814</v>
      </c>
      <c r="G49" s="1">
        <v>42841</v>
      </c>
      <c r="H49" t="s">
        <v>70</v>
      </c>
      <c r="I49" t="s">
        <v>12</v>
      </c>
      <c r="J49" t="s">
        <v>17</v>
      </c>
      <c r="L49" t="s">
        <v>154</v>
      </c>
      <c r="M49" s="17" t="str">
        <f t="shared" si="4"/>
        <v>perstart</v>
      </c>
      <c r="N49" s="133" t="str">
        <f t="shared" si="1"/>
        <v>P</v>
      </c>
      <c r="O49" s="169">
        <f t="shared" si="2"/>
        <v>42814</v>
      </c>
      <c r="P49" s="1" t="str">
        <f t="shared" si="3"/>
        <v>3/20/2017</v>
      </c>
    </row>
    <row r="50" spans="1:16" ht="15.75" x14ac:dyDescent="0.25">
      <c r="A50" s="1">
        <f t="shared" ca="1" si="5"/>
        <v>47067</v>
      </c>
      <c r="B50" s="3" t="s">
        <v>42</v>
      </c>
      <c r="C50" s="57" t="s">
        <v>152</v>
      </c>
      <c r="F50" s="1">
        <v>40623</v>
      </c>
      <c r="G50" s="1">
        <v>40650</v>
      </c>
      <c r="H50" t="s">
        <v>91</v>
      </c>
      <c r="I50" t="s">
        <v>12</v>
      </c>
      <c r="J50" t="s">
        <v>17</v>
      </c>
      <c r="L50" t="s">
        <v>155</v>
      </c>
      <c r="M50" s="17" t="str">
        <f t="shared" si="4"/>
        <v>perstart</v>
      </c>
      <c r="N50" s="133" t="str">
        <f t="shared" si="1"/>
        <v>P</v>
      </c>
      <c r="O50" s="169">
        <f t="shared" si="2"/>
        <v>40623</v>
      </c>
      <c r="P50" s="1" t="str">
        <f t="shared" si="3"/>
        <v>3/21/2011</v>
      </c>
    </row>
    <row r="51" spans="1:16" ht="15.75" x14ac:dyDescent="0.25">
      <c r="A51" s="1">
        <f t="shared" ca="1" si="5"/>
        <v>45863</v>
      </c>
      <c r="B51" s="3" t="s">
        <v>42</v>
      </c>
      <c r="C51" s="57" t="s">
        <v>152</v>
      </c>
      <c r="F51" s="1">
        <v>38488</v>
      </c>
      <c r="G51" s="1">
        <v>38515</v>
      </c>
      <c r="H51" t="s">
        <v>84</v>
      </c>
      <c r="I51" t="s">
        <v>146</v>
      </c>
      <c r="J51" t="s">
        <v>143</v>
      </c>
      <c r="L51" t="s">
        <v>156</v>
      </c>
      <c r="M51" s="17" t="str">
        <f t="shared" si="4"/>
        <v>perstart</v>
      </c>
      <c r="N51" s="133" t="str">
        <f t="shared" si="1"/>
        <v>P</v>
      </c>
      <c r="O51" s="169">
        <f t="shared" si="2"/>
        <v>38488</v>
      </c>
      <c r="P51" s="1" t="str">
        <f t="shared" si="3"/>
        <v>5/16/2005</v>
      </c>
    </row>
    <row r="52" spans="1:16" ht="15.75" x14ac:dyDescent="0.25">
      <c r="A52" s="1">
        <f t="shared" ca="1" si="5"/>
        <v>36757</v>
      </c>
      <c r="B52" s="3" t="s">
        <v>42</v>
      </c>
      <c r="C52" s="57" t="s">
        <v>152</v>
      </c>
      <c r="F52" s="1">
        <v>46804</v>
      </c>
      <c r="G52" s="1">
        <v>46831</v>
      </c>
      <c r="H52" t="s">
        <v>103</v>
      </c>
      <c r="I52" t="s">
        <v>54</v>
      </c>
      <c r="J52" t="s">
        <v>17</v>
      </c>
      <c r="L52" t="s">
        <v>157</v>
      </c>
      <c r="M52" s="17" t="str">
        <f t="shared" si="4"/>
        <v>perstart</v>
      </c>
      <c r="N52" s="133" t="str">
        <f t="shared" si="1"/>
        <v>P</v>
      </c>
      <c r="O52" s="169">
        <f t="shared" si="2"/>
        <v>46804</v>
      </c>
      <c r="P52" s="1" t="str">
        <f t="shared" si="3"/>
        <v>2/21/2028</v>
      </c>
    </row>
    <row r="53" spans="1:16" ht="15.75" x14ac:dyDescent="0.25">
      <c r="A53" s="1">
        <f t="shared" ca="1" si="5"/>
        <v>42267</v>
      </c>
      <c r="B53" s="3" t="s">
        <v>42</v>
      </c>
      <c r="C53" s="57" t="s">
        <v>152</v>
      </c>
      <c r="F53" s="1">
        <v>38824</v>
      </c>
      <c r="G53" s="1">
        <v>38851</v>
      </c>
      <c r="H53" t="s">
        <v>86</v>
      </c>
      <c r="I53" t="s">
        <v>142</v>
      </c>
      <c r="J53" t="s">
        <v>143</v>
      </c>
      <c r="L53" t="s">
        <v>158</v>
      </c>
      <c r="M53" s="17" t="str">
        <f t="shared" si="4"/>
        <v>perstart</v>
      </c>
      <c r="N53" s="133" t="str">
        <f t="shared" si="1"/>
        <v>P</v>
      </c>
      <c r="O53" s="169">
        <f t="shared" si="2"/>
        <v>38824</v>
      </c>
      <c r="P53" s="1" t="str">
        <f t="shared" si="3"/>
        <v>4/17/2006</v>
      </c>
    </row>
    <row r="54" spans="1:16" ht="15.75" x14ac:dyDescent="0.25">
      <c r="A54" s="1">
        <f t="shared" ca="1" si="5"/>
        <v>39954</v>
      </c>
      <c r="B54" s="3" t="s">
        <v>42</v>
      </c>
      <c r="C54" s="57" t="s">
        <v>152</v>
      </c>
      <c r="F54" s="1">
        <v>39531</v>
      </c>
      <c r="G54" s="1">
        <v>39558</v>
      </c>
      <c r="H54" t="s">
        <v>88</v>
      </c>
      <c r="I54" t="s">
        <v>12</v>
      </c>
      <c r="J54" t="s">
        <v>17</v>
      </c>
      <c r="L54" t="s">
        <v>159</v>
      </c>
      <c r="M54" s="17" t="str">
        <f t="shared" si="4"/>
        <v>perstart</v>
      </c>
      <c r="N54" s="133" t="str">
        <f t="shared" si="1"/>
        <v>P</v>
      </c>
      <c r="O54" s="169">
        <f t="shared" si="2"/>
        <v>39531</v>
      </c>
      <c r="P54" s="1" t="str">
        <f t="shared" si="3"/>
        <v>3/24/2008</v>
      </c>
    </row>
    <row r="55" spans="1:16" ht="15.75" x14ac:dyDescent="0.25">
      <c r="A55" s="1">
        <f t="shared" ca="1" si="5"/>
        <v>39700</v>
      </c>
      <c r="B55" s="3" t="s">
        <v>42</v>
      </c>
      <c r="C55" s="57" t="s">
        <v>152</v>
      </c>
      <c r="F55" s="1">
        <v>42898</v>
      </c>
      <c r="G55" s="1">
        <v>42925</v>
      </c>
      <c r="H55" t="s">
        <v>70</v>
      </c>
      <c r="I55" t="s">
        <v>151</v>
      </c>
      <c r="J55" t="s">
        <v>143</v>
      </c>
      <c r="L55" t="s">
        <v>160</v>
      </c>
      <c r="M55" s="17" t="str">
        <f t="shared" si="4"/>
        <v>perstart</v>
      </c>
      <c r="N55" s="133" t="str">
        <f t="shared" si="1"/>
        <v>P</v>
      </c>
      <c r="O55" s="169">
        <f t="shared" si="2"/>
        <v>42898</v>
      </c>
      <c r="P55" s="1" t="str">
        <f t="shared" si="3"/>
        <v>6/12/2017</v>
      </c>
    </row>
    <row r="56" spans="1:16" ht="15.75" x14ac:dyDescent="0.25">
      <c r="A56" s="1">
        <f t="shared" ca="1" si="5"/>
        <v>46963</v>
      </c>
      <c r="B56" s="3" t="s">
        <v>42</v>
      </c>
      <c r="C56" s="57" t="s">
        <v>152</v>
      </c>
      <c r="F56" s="1">
        <v>43829</v>
      </c>
      <c r="G56" s="1">
        <v>43856</v>
      </c>
      <c r="H56" t="s">
        <v>55</v>
      </c>
      <c r="I56" t="s">
        <v>17</v>
      </c>
      <c r="J56" t="s">
        <v>17</v>
      </c>
      <c r="L56" t="s">
        <v>161</v>
      </c>
      <c r="M56" s="17" t="str">
        <f t="shared" si="4"/>
        <v>perstart</v>
      </c>
      <c r="N56" s="133" t="str">
        <f t="shared" si="1"/>
        <v>P</v>
      </c>
      <c r="O56" s="169">
        <f t="shared" si="2"/>
        <v>43829</v>
      </c>
      <c r="P56" s="1" t="str">
        <f t="shared" si="3"/>
        <v>12/30/2019</v>
      </c>
    </row>
    <row r="57" spans="1:16" ht="15.75" x14ac:dyDescent="0.25">
      <c r="A57" s="1">
        <f t="shared" ca="1" si="5"/>
        <v>44150</v>
      </c>
      <c r="B57" s="3" t="s">
        <v>42</v>
      </c>
      <c r="C57" s="57" t="s">
        <v>152</v>
      </c>
      <c r="F57" s="1">
        <v>44669</v>
      </c>
      <c r="G57" s="1">
        <v>44696</v>
      </c>
      <c r="H57" t="s">
        <v>95</v>
      </c>
      <c r="I57" t="s">
        <v>142</v>
      </c>
      <c r="J57" t="s">
        <v>143</v>
      </c>
      <c r="L57" t="s">
        <v>162</v>
      </c>
      <c r="M57" s="17" t="str">
        <f t="shared" si="4"/>
        <v>perstart</v>
      </c>
      <c r="N57" s="133" t="str">
        <f t="shared" si="1"/>
        <v>P</v>
      </c>
      <c r="O57" s="169">
        <f t="shared" si="2"/>
        <v>44669</v>
      </c>
      <c r="P57" s="1" t="str">
        <f t="shared" si="3"/>
        <v>4/18/2022</v>
      </c>
    </row>
    <row r="58" spans="1:16" ht="15.75" x14ac:dyDescent="0.25">
      <c r="A58" s="1">
        <f t="shared" ca="1" si="5"/>
        <v>39937</v>
      </c>
      <c r="B58" s="3" t="s">
        <v>42</v>
      </c>
      <c r="C58" s="57" t="s">
        <v>152</v>
      </c>
      <c r="F58" s="1">
        <v>40931</v>
      </c>
      <c r="G58" s="1">
        <v>40958</v>
      </c>
      <c r="H58" t="s">
        <v>53</v>
      </c>
      <c r="I58" t="s">
        <v>143</v>
      </c>
      <c r="J58" t="s">
        <v>17</v>
      </c>
      <c r="L58" t="s">
        <v>163</v>
      </c>
      <c r="M58" s="17" t="str">
        <f t="shared" si="4"/>
        <v>perstart</v>
      </c>
      <c r="N58" s="133" t="str">
        <f t="shared" si="1"/>
        <v>P</v>
      </c>
      <c r="O58" s="169">
        <f t="shared" si="2"/>
        <v>40931</v>
      </c>
      <c r="P58" s="1" t="str">
        <f t="shared" si="3"/>
        <v>1/23/2012</v>
      </c>
    </row>
    <row r="59" spans="1:16" ht="15.75" x14ac:dyDescent="0.25">
      <c r="A59" s="1">
        <f t="shared" ca="1" si="5"/>
        <v>40518</v>
      </c>
      <c r="B59" s="3" t="s">
        <v>42</v>
      </c>
      <c r="C59" s="57" t="s">
        <v>152</v>
      </c>
      <c r="F59" s="1">
        <v>43661</v>
      </c>
      <c r="G59" s="1">
        <v>43688</v>
      </c>
      <c r="H59" t="s">
        <v>73</v>
      </c>
      <c r="I59" t="s">
        <v>148</v>
      </c>
      <c r="J59" t="s">
        <v>54</v>
      </c>
      <c r="L59" t="s">
        <v>164</v>
      </c>
      <c r="M59" s="17" t="str">
        <f t="shared" si="4"/>
        <v>perstart</v>
      </c>
      <c r="N59" s="133" t="str">
        <f t="shared" si="1"/>
        <v>P</v>
      </c>
      <c r="O59" s="169">
        <f t="shared" si="2"/>
        <v>43661</v>
      </c>
      <c r="P59" s="1" t="str">
        <f t="shared" si="3"/>
        <v>7/15/2019</v>
      </c>
    </row>
    <row r="60" spans="1:16" ht="15.75" x14ac:dyDescent="0.25">
      <c r="A60" s="1">
        <f t="shared" ca="1" si="5"/>
        <v>36648</v>
      </c>
      <c r="B60" s="3" t="s">
        <v>42</v>
      </c>
      <c r="C60" s="57" t="s">
        <v>152</v>
      </c>
      <c r="F60" s="1">
        <v>44977</v>
      </c>
      <c r="G60" s="1">
        <v>45004</v>
      </c>
      <c r="H60" t="s">
        <v>96</v>
      </c>
      <c r="I60" t="s">
        <v>54</v>
      </c>
      <c r="J60" t="s">
        <v>17</v>
      </c>
      <c r="L60" t="s">
        <v>165</v>
      </c>
      <c r="M60" s="17" t="str">
        <f t="shared" si="4"/>
        <v>perstart</v>
      </c>
      <c r="N60" s="133" t="str">
        <f t="shared" si="1"/>
        <v>P</v>
      </c>
      <c r="O60" s="169">
        <f t="shared" si="2"/>
        <v>44977</v>
      </c>
      <c r="P60" s="1" t="str">
        <f t="shared" si="3"/>
        <v>2/20/2023</v>
      </c>
    </row>
    <row r="61" spans="1:16" ht="15.75" x14ac:dyDescent="0.25">
      <c r="A61" s="1">
        <f t="shared" ca="1" si="5"/>
        <v>43858</v>
      </c>
      <c r="B61" s="3" t="s">
        <v>42</v>
      </c>
      <c r="C61" s="57" t="s">
        <v>152</v>
      </c>
      <c r="F61" s="1">
        <v>43941</v>
      </c>
      <c r="G61" s="1">
        <v>43968</v>
      </c>
      <c r="H61" t="s">
        <v>55</v>
      </c>
      <c r="I61" t="s">
        <v>142</v>
      </c>
      <c r="J61" t="s">
        <v>143</v>
      </c>
      <c r="L61" t="s">
        <v>166</v>
      </c>
      <c r="M61" s="17" t="str">
        <f t="shared" si="4"/>
        <v>perstart</v>
      </c>
      <c r="N61" s="133" t="str">
        <f t="shared" si="1"/>
        <v>P</v>
      </c>
      <c r="O61" s="169">
        <f t="shared" si="2"/>
        <v>43941</v>
      </c>
      <c r="P61" s="1" t="str">
        <f t="shared" si="3"/>
        <v>4/20/2020</v>
      </c>
    </row>
    <row r="62" spans="1:16" ht="15.75" x14ac:dyDescent="0.25">
      <c r="A62" s="1">
        <f t="shared" ca="1" si="5"/>
        <v>37869</v>
      </c>
      <c r="B62" s="3" t="s">
        <v>42</v>
      </c>
      <c r="C62" s="57" t="s">
        <v>152</v>
      </c>
      <c r="F62" s="1">
        <v>43885</v>
      </c>
      <c r="G62" s="1">
        <v>43912</v>
      </c>
      <c r="H62" t="s">
        <v>55</v>
      </c>
      <c r="I62" t="s">
        <v>54</v>
      </c>
      <c r="J62" t="s">
        <v>17</v>
      </c>
      <c r="L62" t="s">
        <v>61</v>
      </c>
      <c r="M62" s="17" t="str">
        <f t="shared" si="4"/>
        <v>perstart</v>
      </c>
      <c r="N62" s="133" t="str">
        <f t="shared" si="1"/>
        <v>P</v>
      </c>
      <c r="O62" s="169">
        <f t="shared" si="2"/>
        <v>43885</v>
      </c>
      <c r="P62" s="1" t="str">
        <f t="shared" si="3"/>
        <v>2/24/2020</v>
      </c>
    </row>
    <row r="63" spans="1:16" ht="15.75" x14ac:dyDescent="0.25">
      <c r="A63" s="1">
        <f t="shared" ca="1" si="5"/>
        <v>41254</v>
      </c>
      <c r="B63" s="3" t="s">
        <v>42</v>
      </c>
      <c r="C63" s="57" t="s">
        <v>152</v>
      </c>
      <c r="F63" s="1">
        <v>44053</v>
      </c>
      <c r="G63" s="1">
        <v>44080</v>
      </c>
      <c r="H63" t="s">
        <v>55</v>
      </c>
      <c r="I63" t="s">
        <v>141</v>
      </c>
      <c r="J63" t="s">
        <v>54</v>
      </c>
      <c r="L63" t="s">
        <v>167</v>
      </c>
      <c r="M63" s="17" t="str">
        <f t="shared" si="4"/>
        <v>perstart</v>
      </c>
      <c r="N63" s="133" t="str">
        <f t="shared" si="1"/>
        <v>P</v>
      </c>
      <c r="O63" s="169">
        <f t="shared" si="2"/>
        <v>44053</v>
      </c>
      <c r="P63" s="1" t="str">
        <f t="shared" si="3"/>
        <v>8/10/2020</v>
      </c>
    </row>
    <row r="64" spans="1:16" ht="15.75" x14ac:dyDescent="0.25">
      <c r="A64" s="1">
        <f t="shared" ca="1" si="5"/>
        <v>44237</v>
      </c>
      <c r="B64" s="3" t="s">
        <v>43</v>
      </c>
      <c r="C64" s="57" t="s">
        <v>152</v>
      </c>
      <c r="F64" s="1">
        <v>39587</v>
      </c>
      <c r="G64" s="1">
        <v>39614</v>
      </c>
      <c r="H64" t="s">
        <v>88</v>
      </c>
      <c r="I64" t="s">
        <v>146</v>
      </c>
      <c r="J64" t="s">
        <v>143</v>
      </c>
      <c r="L64" t="s">
        <v>168</v>
      </c>
      <c r="M64" s="17" t="str">
        <f t="shared" si="4"/>
        <v>perend</v>
      </c>
      <c r="N64" s="133" t="str">
        <f t="shared" si="1"/>
        <v>P</v>
      </c>
      <c r="O64" s="169">
        <f t="shared" si="2"/>
        <v>39614</v>
      </c>
      <c r="P64" s="1" t="str">
        <f t="shared" si="3"/>
        <v>6/15/2008</v>
      </c>
    </row>
    <row r="65" spans="1:16" ht="15.75" x14ac:dyDescent="0.25">
      <c r="A65" s="1">
        <f t="shared" ca="1" si="5"/>
        <v>41708</v>
      </c>
      <c r="B65" s="3" t="s">
        <v>43</v>
      </c>
      <c r="C65" s="57" t="s">
        <v>152</v>
      </c>
      <c r="F65" s="1">
        <v>47371</v>
      </c>
      <c r="G65" s="1">
        <v>47398</v>
      </c>
      <c r="H65" t="s">
        <v>105</v>
      </c>
      <c r="I65" t="s">
        <v>144</v>
      </c>
      <c r="J65" t="s">
        <v>54</v>
      </c>
      <c r="L65" t="s">
        <v>169</v>
      </c>
      <c r="M65" s="17" t="str">
        <f t="shared" si="4"/>
        <v>perend</v>
      </c>
      <c r="N65" s="133" t="str">
        <f t="shared" si="1"/>
        <v>P</v>
      </c>
      <c r="O65" s="169">
        <f t="shared" si="2"/>
        <v>47398</v>
      </c>
      <c r="P65" s="1" t="str">
        <f t="shared" si="3"/>
        <v>10/7/2029</v>
      </c>
    </row>
    <row r="66" spans="1:16" ht="15.75" x14ac:dyDescent="0.25">
      <c r="A66" s="1">
        <f t="shared" ca="1" si="5"/>
        <v>41924</v>
      </c>
      <c r="B66" s="3" t="s">
        <v>43</v>
      </c>
      <c r="C66" s="57" t="s">
        <v>152</v>
      </c>
      <c r="F66" s="1">
        <v>44949</v>
      </c>
      <c r="G66" s="1">
        <v>44976</v>
      </c>
      <c r="H66" t="s">
        <v>96</v>
      </c>
      <c r="I66" t="s">
        <v>143</v>
      </c>
      <c r="J66" t="s">
        <v>17</v>
      </c>
      <c r="L66" t="s">
        <v>170</v>
      </c>
      <c r="M66" s="17" t="str">
        <f t="shared" si="4"/>
        <v>perend</v>
      </c>
      <c r="N66" s="133" t="str">
        <f t="shared" si="1"/>
        <v>P</v>
      </c>
      <c r="O66" s="169">
        <f t="shared" si="2"/>
        <v>44976</v>
      </c>
      <c r="P66" s="1" t="str">
        <f t="shared" si="3"/>
        <v>2/19/2023</v>
      </c>
    </row>
    <row r="67" spans="1:16" ht="15.75" x14ac:dyDescent="0.25">
      <c r="A67" s="1">
        <f t="shared" ca="1" si="5"/>
        <v>40388</v>
      </c>
      <c r="B67" s="3" t="s">
        <v>43</v>
      </c>
      <c r="C67" s="57" t="s">
        <v>152</v>
      </c>
      <c r="F67" s="1">
        <v>44473</v>
      </c>
      <c r="G67" s="1">
        <v>44500</v>
      </c>
      <c r="H67" t="s">
        <v>74</v>
      </c>
      <c r="I67" t="s">
        <v>150</v>
      </c>
      <c r="J67" t="s">
        <v>12</v>
      </c>
      <c r="L67" t="s">
        <v>171</v>
      </c>
      <c r="M67" s="17" t="str">
        <f t="shared" si="4"/>
        <v>perend</v>
      </c>
      <c r="N67" s="133" t="str">
        <f t="shared" si="1"/>
        <v>P</v>
      </c>
      <c r="O67" s="169">
        <f t="shared" si="2"/>
        <v>44500</v>
      </c>
      <c r="P67" s="1" t="str">
        <f t="shared" si="3"/>
        <v>10/31/2021</v>
      </c>
    </row>
    <row r="68" spans="1:16" ht="15.75" x14ac:dyDescent="0.25">
      <c r="A68" s="1">
        <f t="shared" ca="1" si="5"/>
        <v>43297</v>
      </c>
      <c r="B68" s="3" t="s">
        <v>43</v>
      </c>
      <c r="C68" s="57" t="s">
        <v>152</v>
      </c>
      <c r="F68" s="1">
        <v>42674</v>
      </c>
      <c r="G68" s="1">
        <v>42701</v>
      </c>
      <c r="H68" t="s">
        <v>16</v>
      </c>
      <c r="I68" t="s">
        <v>13</v>
      </c>
      <c r="J68" t="s">
        <v>12</v>
      </c>
      <c r="L68" t="s">
        <v>172</v>
      </c>
      <c r="M68" s="17" t="str">
        <f t="shared" si="4"/>
        <v>perend</v>
      </c>
      <c r="N68" s="133" t="str">
        <f t="shared" si="1"/>
        <v>P</v>
      </c>
      <c r="O68" s="169">
        <f t="shared" si="2"/>
        <v>42701</v>
      </c>
      <c r="P68" s="1" t="str">
        <f t="shared" si="3"/>
        <v>11/27/2016</v>
      </c>
    </row>
    <row r="69" spans="1:16" ht="15.75" x14ac:dyDescent="0.25">
      <c r="A69" s="1">
        <f t="shared" ca="1" si="5"/>
        <v>46270</v>
      </c>
      <c r="B69" s="3" t="s">
        <v>43</v>
      </c>
      <c r="C69" s="57" t="s">
        <v>152</v>
      </c>
      <c r="F69" s="1">
        <v>41043</v>
      </c>
      <c r="G69" s="1">
        <v>41070</v>
      </c>
      <c r="H69" t="s">
        <v>53</v>
      </c>
      <c r="I69" t="s">
        <v>146</v>
      </c>
      <c r="J69" t="s">
        <v>143</v>
      </c>
      <c r="L69" t="s">
        <v>173</v>
      </c>
      <c r="M69" s="17" t="str">
        <f t="shared" si="4"/>
        <v>perend</v>
      </c>
      <c r="N69" s="133" t="str">
        <f t="shared" si="1"/>
        <v>P</v>
      </c>
      <c r="O69" s="169">
        <f t="shared" si="2"/>
        <v>41070</v>
      </c>
      <c r="P69" s="1" t="str">
        <f t="shared" si="3"/>
        <v>6/10/2012</v>
      </c>
    </row>
    <row r="70" spans="1:16" ht="15.75" x14ac:dyDescent="0.25">
      <c r="A70" s="1">
        <f t="shared" ca="1" si="5"/>
        <v>43066</v>
      </c>
      <c r="B70" s="3" t="s">
        <v>43</v>
      </c>
      <c r="C70" s="57" t="s">
        <v>152</v>
      </c>
      <c r="F70" s="1">
        <v>41155</v>
      </c>
      <c r="G70" s="1">
        <v>41182</v>
      </c>
      <c r="H70" t="s">
        <v>53</v>
      </c>
      <c r="I70" t="s">
        <v>144</v>
      </c>
      <c r="J70" t="s">
        <v>54</v>
      </c>
      <c r="L70" t="s">
        <v>174</v>
      </c>
      <c r="M70" s="17" t="str">
        <f t="shared" si="4"/>
        <v>perend</v>
      </c>
      <c r="N70" s="133" t="str">
        <f t="shared" si="1"/>
        <v>P</v>
      </c>
      <c r="O70" s="169">
        <f t="shared" si="2"/>
        <v>41182</v>
      </c>
      <c r="P70" s="1" t="str">
        <f t="shared" si="3"/>
        <v>9/30/2012</v>
      </c>
    </row>
    <row r="71" spans="1:16" ht="15.75" x14ac:dyDescent="0.25">
      <c r="A71" s="1">
        <f t="shared" ca="1" si="5"/>
        <v>45398</v>
      </c>
      <c r="B71" s="3" t="s">
        <v>43</v>
      </c>
      <c r="C71" s="57" t="s">
        <v>152</v>
      </c>
      <c r="F71" s="1">
        <v>37648</v>
      </c>
      <c r="G71" s="1">
        <v>37675</v>
      </c>
      <c r="H71" t="s">
        <v>80</v>
      </c>
      <c r="I71" t="s">
        <v>143</v>
      </c>
      <c r="J71" t="s">
        <v>17</v>
      </c>
      <c r="L71" t="s">
        <v>175</v>
      </c>
      <c r="M71" s="17" t="str">
        <f t="shared" si="4"/>
        <v>perend</v>
      </c>
      <c r="N71" s="133" t="str">
        <f t="shared" si="1"/>
        <v>P</v>
      </c>
      <c r="O71" s="169">
        <f t="shared" si="2"/>
        <v>37675</v>
      </c>
      <c r="P71" s="1" t="str">
        <f t="shared" si="3"/>
        <v>2/23/2003</v>
      </c>
    </row>
    <row r="72" spans="1:16" ht="15.75" x14ac:dyDescent="0.25">
      <c r="A72" s="1">
        <f t="shared" ca="1" si="5"/>
        <v>44501</v>
      </c>
      <c r="B72" s="3" t="s">
        <v>43</v>
      </c>
      <c r="C72" s="57" t="s">
        <v>152</v>
      </c>
      <c r="F72" s="1">
        <v>39251</v>
      </c>
      <c r="G72" s="1">
        <v>39278</v>
      </c>
      <c r="H72" t="s">
        <v>87</v>
      </c>
      <c r="I72" t="s">
        <v>151</v>
      </c>
      <c r="J72" t="s">
        <v>143</v>
      </c>
      <c r="L72" t="s">
        <v>176</v>
      </c>
      <c r="M72" s="17" t="str">
        <f t="shared" si="4"/>
        <v>perend</v>
      </c>
      <c r="N72" s="133" t="str">
        <f t="shared" si="1"/>
        <v>P</v>
      </c>
      <c r="O72" s="169">
        <f t="shared" si="2"/>
        <v>39278</v>
      </c>
      <c r="P72" s="1" t="str">
        <f t="shared" si="3"/>
        <v>7/15/2007</v>
      </c>
    </row>
    <row r="73" spans="1:16" ht="15.75" x14ac:dyDescent="0.25">
      <c r="A73" s="1">
        <f t="shared" ca="1" si="5"/>
        <v>37495</v>
      </c>
      <c r="B73" s="3" t="s">
        <v>43</v>
      </c>
      <c r="C73" s="57" t="s">
        <v>152</v>
      </c>
      <c r="F73" s="1">
        <v>37368</v>
      </c>
      <c r="G73" s="1">
        <v>37395</v>
      </c>
      <c r="H73" t="s">
        <v>78</v>
      </c>
      <c r="I73" t="s">
        <v>142</v>
      </c>
      <c r="J73" t="s">
        <v>143</v>
      </c>
      <c r="L73" t="s">
        <v>177</v>
      </c>
      <c r="M73" s="17" t="str">
        <f t="shared" si="4"/>
        <v>perend</v>
      </c>
      <c r="N73" s="133" t="str">
        <f t="shared" ref="N73:N78" si="6">IF(VALUE(O73)=VALUE(P73), "P", "F")</f>
        <v>P</v>
      </c>
      <c r="O73" s="169">
        <f t="shared" ref="O73:O78" si="7">IF(M73="perstart",F73,IF(M73="perEnd",G73,"Failed"))</f>
        <v>37395</v>
      </c>
      <c r="P73" s="1" t="str">
        <f t="shared" ref="P73:P78" si="8">DateToNum(L73)</f>
        <v>5/19/2002</v>
      </c>
    </row>
    <row r="74" spans="1:16" ht="15.75" x14ac:dyDescent="0.25">
      <c r="A74" s="1">
        <f t="shared" ca="1" si="5"/>
        <v>37995</v>
      </c>
      <c r="B74" s="3" t="s">
        <v>43</v>
      </c>
      <c r="C74" s="57" t="s">
        <v>152</v>
      </c>
      <c r="F74" s="1">
        <v>42114</v>
      </c>
      <c r="G74" s="1">
        <v>42141</v>
      </c>
      <c r="H74" t="s">
        <v>93</v>
      </c>
      <c r="I74" t="s">
        <v>142</v>
      </c>
      <c r="J74" t="s">
        <v>143</v>
      </c>
      <c r="L74" t="s">
        <v>178</v>
      </c>
      <c r="M74" s="17" t="str">
        <f t="shared" si="4"/>
        <v>perend</v>
      </c>
      <c r="N74" s="133" t="str">
        <f t="shared" si="6"/>
        <v>P</v>
      </c>
      <c r="O74" s="169">
        <f t="shared" si="7"/>
        <v>42141</v>
      </c>
      <c r="P74" s="1" t="str">
        <f t="shared" si="8"/>
        <v>5/17/2015</v>
      </c>
    </row>
    <row r="75" spans="1:16" ht="15.75" x14ac:dyDescent="0.25">
      <c r="A75" s="1">
        <f t="shared" ca="1" si="5"/>
        <v>38080</v>
      </c>
      <c r="B75" s="3" t="s">
        <v>43</v>
      </c>
      <c r="C75" s="57" t="s">
        <v>152</v>
      </c>
      <c r="F75" s="1">
        <v>44893</v>
      </c>
      <c r="G75" s="1">
        <v>44920</v>
      </c>
      <c r="H75" t="s">
        <v>95</v>
      </c>
      <c r="I75" t="s">
        <v>14</v>
      </c>
      <c r="J75" t="s">
        <v>12</v>
      </c>
      <c r="L75" t="s">
        <v>179</v>
      </c>
      <c r="M75" s="17" t="str">
        <f t="shared" si="4"/>
        <v>perend</v>
      </c>
      <c r="N75" s="133" t="str">
        <f t="shared" si="6"/>
        <v>P</v>
      </c>
      <c r="O75" s="169">
        <f t="shared" si="7"/>
        <v>44920</v>
      </c>
      <c r="P75" s="1" t="str">
        <f t="shared" si="8"/>
        <v>12/25/2022</v>
      </c>
    </row>
    <row r="76" spans="1:16" ht="15.75" x14ac:dyDescent="0.25">
      <c r="A76" s="1">
        <f t="shared" ca="1" si="5"/>
        <v>45167</v>
      </c>
      <c r="B76" s="3" t="s">
        <v>43</v>
      </c>
      <c r="C76" s="57" t="s">
        <v>152</v>
      </c>
      <c r="F76" s="1">
        <v>47399</v>
      </c>
      <c r="G76" s="1">
        <v>47426</v>
      </c>
      <c r="H76" t="s">
        <v>105</v>
      </c>
      <c r="I76" t="s">
        <v>150</v>
      </c>
      <c r="J76" t="s">
        <v>12</v>
      </c>
      <c r="L76" t="s">
        <v>180</v>
      </c>
      <c r="M76" s="17" t="str">
        <f t="shared" si="4"/>
        <v>perend</v>
      </c>
      <c r="N76" s="133" t="str">
        <f t="shared" si="6"/>
        <v>P</v>
      </c>
      <c r="O76" s="169">
        <f t="shared" si="7"/>
        <v>47426</v>
      </c>
      <c r="P76" s="1" t="str">
        <f t="shared" si="8"/>
        <v>11/4/2029</v>
      </c>
    </row>
    <row r="77" spans="1:16" ht="15.75" x14ac:dyDescent="0.25">
      <c r="A77" s="1">
        <f t="shared" ca="1" si="5"/>
        <v>36870</v>
      </c>
      <c r="B77" s="3" t="s">
        <v>43</v>
      </c>
      <c r="C77" s="57" t="s">
        <v>152</v>
      </c>
      <c r="F77" s="1">
        <v>42898</v>
      </c>
      <c r="G77" s="1">
        <v>42925</v>
      </c>
      <c r="H77" t="s">
        <v>70</v>
      </c>
      <c r="I77" t="s">
        <v>151</v>
      </c>
      <c r="J77" t="s">
        <v>143</v>
      </c>
      <c r="L77" t="s">
        <v>181</v>
      </c>
      <c r="M77" s="17" t="str">
        <f t="shared" si="4"/>
        <v>perend</v>
      </c>
      <c r="N77" s="133" t="str">
        <f t="shared" si="6"/>
        <v>P</v>
      </c>
      <c r="O77" s="169">
        <f t="shared" si="7"/>
        <v>42925</v>
      </c>
      <c r="P77" s="1" t="str">
        <f t="shared" si="8"/>
        <v>7/9/2017</v>
      </c>
    </row>
    <row r="78" spans="1:16" ht="15.75" x14ac:dyDescent="0.25">
      <c r="A78" s="1">
        <f t="shared" ca="1" si="5"/>
        <v>41791</v>
      </c>
      <c r="B78" s="3" t="s">
        <v>43</v>
      </c>
      <c r="C78" s="57" t="s">
        <v>152</v>
      </c>
      <c r="F78" s="1">
        <v>39671</v>
      </c>
      <c r="G78" s="1">
        <v>39698</v>
      </c>
      <c r="H78" t="s">
        <v>88</v>
      </c>
      <c r="I78" t="s">
        <v>141</v>
      </c>
      <c r="J78" t="s">
        <v>54</v>
      </c>
      <c r="L78" t="s">
        <v>182</v>
      </c>
      <c r="M78" s="17" t="str">
        <f t="shared" si="4"/>
        <v>perend</v>
      </c>
      <c r="N78" s="133" t="str">
        <f t="shared" si="6"/>
        <v>P</v>
      </c>
      <c r="O78" s="169">
        <f t="shared" si="7"/>
        <v>39698</v>
      </c>
      <c r="P78" s="1" t="str">
        <f t="shared" si="8"/>
        <v>9/7/2008</v>
      </c>
    </row>
    <row r="79" spans="1:16" x14ac:dyDescent="0.25">
      <c r="A79" s="1"/>
      <c r="B79" s="3"/>
      <c r="F79" s="1"/>
      <c r="G79" s="1"/>
      <c r="M79" s="1"/>
    </row>
    <row r="80" spans="1:16" x14ac:dyDescent="0.25">
      <c r="A80" s="1"/>
      <c r="B80" s="3"/>
      <c r="F80" s="1"/>
      <c r="G80" s="1"/>
      <c r="M80" s="1"/>
    </row>
    <row r="81" spans="1:13" x14ac:dyDescent="0.25">
      <c r="A81" s="1"/>
      <c r="B81" s="3"/>
      <c r="F81" s="1"/>
      <c r="G81" s="1"/>
      <c r="M81" s="1"/>
    </row>
    <row r="82" spans="1:13" x14ac:dyDescent="0.25">
      <c r="A82" s="1"/>
      <c r="B82" s="3"/>
      <c r="F82" s="1"/>
      <c r="G82" s="1"/>
      <c r="M82" s="1"/>
    </row>
    <row r="83" spans="1:13" x14ac:dyDescent="0.25">
      <c r="A83" s="1"/>
      <c r="B83" s="3"/>
      <c r="F83" s="1"/>
      <c r="G83" s="1"/>
      <c r="M83" s="1"/>
    </row>
    <row r="84" spans="1:13" x14ac:dyDescent="0.25">
      <c r="A84" s="1"/>
      <c r="B84" s="3"/>
      <c r="F84" s="1"/>
      <c r="G84" s="1"/>
      <c r="M84" s="1"/>
    </row>
    <row r="85" spans="1:13" x14ac:dyDescent="0.25">
      <c r="A85" s="1"/>
      <c r="B85" s="3"/>
      <c r="F85" s="1"/>
      <c r="G85" s="1"/>
      <c r="M85" s="1"/>
    </row>
    <row r="86" spans="1:13" x14ac:dyDescent="0.25">
      <c r="A86" s="1"/>
      <c r="B86" s="3"/>
      <c r="F86" s="1"/>
      <c r="G86" s="1"/>
      <c r="M86" s="1"/>
    </row>
    <row r="87" spans="1:13" x14ac:dyDescent="0.25">
      <c r="A87" s="1"/>
      <c r="B87" s="3"/>
      <c r="F87" s="1"/>
      <c r="G87" s="1"/>
      <c r="M87" s="1"/>
    </row>
    <row r="88" spans="1:13" x14ac:dyDescent="0.25">
      <c r="A88" s="1"/>
      <c r="B88" s="3"/>
      <c r="F88" s="1"/>
      <c r="G88" s="1"/>
      <c r="M88" s="1"/>
    </row>
    <row r="89" spans="1:13" x14ac:dyDescent="0.25">
      <c r="A89" s="1"/>
      <c r="B89" s="3"/>
      <c r="F89" s="1"/>
      <c r="G89" s="1"/>
      <c r="M89" s="1"/>
    </row>
    <row r="90" spans="1:13" x14ac:dyDescent="0.25">
      <c r="A90" s="1"/>
      <c r="B90" s="3"/>
      <c r="F90" s="1"/>
      <c r="G90" s="1"/>
      <c r="M90" s="1"/>
    </row>
    <row r="91" spans="1:13" x14ac:dyDescent="0.25">
      <c r="A91" s="1"/>
      <c r="B91" s="3"/>
      <c r="F91" s="1"/>
      <c r="G91" s="1"/>
      <c r="M91" s="1"/>
    </row>
    <row r="92" spans="1:13" x14ac:dyDescent="0.25">
      <c r="A92" s="1"/>
      <c r="B92" s="3"/>
      <c r="F92" s="1"/>
      <c r="G92" s="1"/>
      <c r="M92" s="1"/>
    </row>
    <row r="93" spans="1:13" x14ac:dyDescent="0.25">
      <c r="A93" s="1"/>
      <c r="B93" s="3"/>
      <c r="F93" s="1"/>
      <c r="G93" s="1"/>
    </row>
    <row r="94" spans="1:13" x14ac:dyDescent="0.25">
      <c r="A94" s="1"/>
      <c r="B94" s="3"/>
      <c r="F94" s="1"/>
      <c r="G94" s="1"/>
    </row>
    <row r="95" spans="1:13" x14ac:dyDescent="0.25">
      <c r="A95" s="1"/>
      <c r="B95" s="3"/>
      <c r="F95" s="1"/>
      <c r="G95" s="1"/>
    </row>
    <row r="96" spans="1:13" x14ac:dyDescent="0.25">
      <c r="A96" s="1"/>
      <c r="B96" s="3"/>
      <c r="F96" s="1"/>
      <c r="G96" s="1"/>
    </row>
    <row r="97" spans="1:7" x14ac:dyDescent="0.25">
      <c r="A97" s="1"/>
      <c r="B97" s="3"/>
      <c r="F97" s="1"/>
      <c r="G97" s="1"/>
    </row>
    <row r="98" spans="1:7" x14ac:dyDescent="0.25">
      <c r="A98" s="1"/>
      <c r="B98" s="3"/>
      <c r="F98" s="1"/>
      <c r="G98" s="1"/>
    </row>
    <row r="99" spans="1:7" x14ac:dyDescent="0.25">
      <c r="A99" s="1"/>
      <c r="B99" s="3"/>
      <c r="F99" s="1"/>
      <c r="G99" s="1"/>
    </row>
    <row r="100" spans="1:7" x14ac:dyDescent="0.25">
      <c r="A100" s="1"/>
      <c r="B100" s="3"/>
      <c r="F100" s="1"/>
      <c r="G100" s="1"/>
    </row>
    <row r="101" spans="1:7" x14ac:dyDescent="0.25">
      <c r="A101" s="1"/>
      <c r="B101" s="1"/>
      <c r="F101" s="1"/>
      <c r="G101" s="1"/>
    </row>
    <row r="102" spans="1:7" x14ac:dyDescent="0.25">
      <c r="A102" s="1"/>
      <c r="B102" s="1"/>
      <c r="F102" s="1"/>
      <c r="G102" s="1"/>
    </row>
    <row r="103" spans="1:7" x14ac:dyDescent="0.25">
      <c r="A103" s="1"/>
      <c r="B103" s="1"/>
      <c r="F103" s="1"/>
      <c r="G103" s="1"/>
    </row>
    <row r="104" spans="1:7" x14ac:dyDescent="0.25">
      <c r="A104" s="1"/>
      <c r="B104" s="1"/>
      <c r="F104" s="1"/>
      <c r="G104" s="1"/>
    </row>
    <row r="105" spans="1:7" x14ac:dyDescent="0.25">
      <c r="A105" s="1"/>
      <c r="B105" s="1"/>
      <c r="F105" s="1"/>
      <c r="G105" s="1"/>
    </row>
    <row r="106" spans="1:7" x14ac:dyDescent="0.25">
      <c r="A106" s="1"/>
      <c r="B106" s="1"/>
      <c r="F106" s="1"/>
      <c r="G106" s="1"/>
    </row>
    <row r="107" spans="1:7" x14ac:dyDescent="0.25">
      <c r="A107" s="1"/>
      <c r="B107" s="1"/>
      <c r="F107" s="1"/>
      <c r="G107" s="1"/>
    </row>
    <row r="108" spans="1:7" x14ac:dyDescent="0.25">
      <c r="A108" s="1"/>
      <c r="B108" s="1"/>
      <c r="F108" s="1"/>
      <c r="G108" s="1"/>
    </row>
    <row r="109" spans="1:7" x14ac:dyDescent="0.25">
      <c r="A109" s="1"/>
      <c r="B109" s="1"/>
      <c r="F109" s="1"/>
      <c r="G109" s="1"/>
    </row>
    <row r="110" spans="1:7" x14ac:dyDescent="0.25">
      <c r="A110" s="1"/>
      <c r="B110" s="1"/>
      <c r="F110" s="1"/>
      <c r="G110" s="1"/>
    </row>
    <row r="111" spans="1:7" x14ac:dyDescent="0.25">
      <c r="A111" s="1"/>
      <c r="B111" s="1"/>
      <c r="F111" s="1"/>
      <c r="G111" s="1"/>
    </row>
    <row r="112" spans="1:7" x14ac:dyDescent="0.25">
      <c r="A112" s="1"/>
      <c r="B112" s="1"/>
      <c r="F112" s="1"/>
      <c r="G112" s="1"/>
    </row>
    <row r="113" spans="1:7" x14ac:dyDescent="0.25">
      <c r="A113" s="1"/>
      <c r="B113" s="1"/>
      <c r="F113" s="1"/>
      <c r="G113" s="1"/>
    </row>
    <row r="114" spans="1:7" x14ac:dyDescent="0.25">
      <c r="A114" s="1"/>
      <c r="B114" s="1"/>
      <c r="F114" s="1"/>
      <c r="G114" s="1"/>
    </row>
    <row r="115" spans="1:7" x14ac:dyDescent="0.25">
      <c r="A115" s="1"/>
      <c r="B115" s="1"/>
      <c r="F115" s="1"/>
      <c r="G115" s="1"/>
    </row>
    <row r="116" spans="1:7" x14ac:dyDescent="0.25">
      <c r="A116" s="1"/>
      <c r="B116" s="1"/>
      <c r="F116" s="1"/>
      <c r="G116" s="1"/>
    </row>
    <row r="117" spans="1:7" x14ac:dyDescent="0.25">
      <c r="A117" s="1"/>
      <c r="B117" s="1"/>
      <c r="F117" s="1"/>
      <c r="G117" s="1"/>
    </row>
    <row r="118" spans="1:7" x14ac:dyDescent="0.25">
      <c r="A118" s="1"/>
      <c r="B118" s="1"/>
      <c r="F118" s="1"/>
      <c r="G118" s="1"/>
    </row>
    <row r="119" spans="1:7" x14ac:dyDescent="0.25">
      <c r="A119" s="1"/>
      <c r="B119" s="1"/>
      <c r="F119" s="1"/>
      <c r="G119" s="1"/>
    </row>
    <row r="120" spans="1:7" x14ac:dyDescent="0.25">
      <c r="A120" s="1"/>
      <c r="B120" s="1"/>
      <c r="F120" s="1"/>
      <c r="G120" s="1"/>
    </row>
    <row r="121" spans="1:7" x14ac:dyDescent="0.25">
      <c r="A121" s="1"/>
      <c r="B121" s="1"/>
      <c r="F121" s="1"/>
      <c r="G121" s="1"/>
    </row>
    <row r="122" spans="1:7" x14ac:dyDescent="0.25">
      <c r="A122" s="1"/>
      <c r="B122" s="1"/>
      <c r="F122" s="1"/>
      <c r="G122" s="1"/>
    </row>
    <row r="123" spans="1:7" x14ac:dyDescent="0.25">
      <c r="A123" s="1"/>
      <c r="B123" s="1"/>
      <c r="F123" s="1"/>
      <c r="G123" s="1"/>
    </row>
    <row r="124" spans="1:7" x14ac:dyDescent="0.25">
      <c r="A124" s="1"/>
      <c r="B124" s="1"/>
      <c r="F124" s="1"/>
      <c r="G124" s="1"/>
    </row>
    <row r="125" spans="1:7" x14ac:dyDescent="0.25">
      <c r="A125" s="1"/>
      <c r="B125" s="1"/>
      <c r="F125" s="1"/>
      <c r="G125" s="1"/>
    </row>
    <row r="126" spans="1:7" x14ac:dyDescent="0.25">
      <c r="A126" s="1"/>
      <c r="B126" s="1"/>
      <c r="F126" s="1"/>
      <c r="G126" s="1"/>
    </row>
    <row r="127" spans="1:7" x14ac:dyDescent="0.25">
      <c r="A127" s="1"/>
      <c r="B127" s="1"/>
      <c r="F127" s="1"/>
      <c r="G127" s="1"/>
    </row>
    <row r="128" spans="1:7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G388" s="1"/>
    </row>
    <row r="389" spans="1:7" x14ac:dyDescent="0.25">
      <c r="A389" s="1"/>
      <c r="B389" s="1"/>
      <c r="G389" s="1"/>
    </row>
    <row r="390" spans="1:7" x14ac:dyDescent="0.25">
      <c r="A390" s="1"/>
      <c r="B390" s="1"/>
      <c r="G390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ExecuteQueries">
          <controlPr defaultSize="0" autoLine="0" r:id="rId5">
            <anchor moveWithCells="1">
              <from>
                <xdr:col>0</xdr:col>
                <xdr:colOff>152400</xdr:colOff>
                <xdr:row>0</xdr:row>
                <xdr:rowOff>95250</xdr:rowOff>
              </from>
              <to>
                <xdr:col>2</xdr:col>
                <xdr:colOff>381000</xdr:colOff>
                <xdr:row>2</xdr:row>
                <xdr:rowOff>85725</xdr:rowOff>
              </to>
            </anchor>
          </controlPr>
        </control>
      </mc:Choice>
      <mc:Fallback>
        <control shapeId="44033" r:id="rId4" name="ExecuteQueries"/>
      </mc:Fallback>
    </mc:AlternateContent>
    <mc:AlternateContent xmlns:mc="http://schemas.openxmlformats.org/markup-compatibility/2006">
      <mc:Choice Requires="x14">
        <control shapeId="44034" r:id="rId6" name="ClearBtn">
          <controlPr defaultSize="0" autoLine="0" r:id="rId7">
            <anchor moveWithCells="1">
              <from>
                <xdr:col>2</xdr:col>
                <xdr:colOff>609600</xdr:colOff>
                <xdr:row>0</xdr:row>
                <xdr:rowOff>114300</xdr:rowOff>
              </from>
              <to>
                <xdr:col>4</xdr:col>
                <xdr:colOff>171450</xdr:colOff>
                <xdr:row>2</xdr:row>
                <xdr:rowOff>104775</xdr:rowOff>
              </to>
            </anchor>
          </controlPr>
        </control>
      </mc:Choice>
      <mc:Fallback>
        <control shapeId="44034" r:id="rId6" name="Clear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92D050"/>
  </sheetPr>
  <dimension ref="A1:R406"/>
  <sheetViews>
    <sheetView zoomScaleNormal="100" workbookViewId="0">
      <selection activeCell="R95" sqref="R95"/>
    </sheetView>
  </sheetViews>
  <sheetFormatPr defaultRowHeight="15" x14ac:dyDescent="0.25"/>
  <cols>
    <col min="1" max="1" width="12.85546875" customWidth="1"/>
    <col min="2" max="2" width="12.42578125" customWidth="1"/>
    <col min="3" max="3" width="32.285156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98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5">
        <v>37953</v>
      </c>
      <c r="B8" s="56" t="s">
        <v>133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13</v>
      </c>
      <c r="M8" s="17" t="str">
        <f>B8</f>
        <v>CurrPer</v>
      </c>
      <c r="N8" s="18" t="str">
        <f>IF(VALUE(L8) = VALUE(O8), "P", "F")</f>
        <v>P</v>
      </c>
      <c r="O8" s="3" t="str">
        <f>IF(B8="Currper",I8,IF(B8="prevPer",(IF((I8-1) &lt; 1, 13, I8 - 1)),IF(B8="NextPer",(IF((I8+1) &gt; 13, 1, I8 + 1)),"Failed")))</f>
        <v>12</v>
      </c>
      <c r="R8" t="s">
        <v>24</v>
      </c>
    </row>
    <row r="9" spans="1:18" ht="15.75" x14ac:dyDescent="0.25">
      <c r="A9" s="55">
        <v>37954</v>
      </c>
      <c r="B9" s="56" t="s">
        <v>133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13</v>
      </c>
      <c r="M9" s="17" t="str">
        <f t="shared" ref="M9:M69" si="0">B9</f>
        <v>CurrPer</v>
      </c>
      <c r="N9" s="133" t="str">
        <f t="shared" ref="N9:N72" si="1">IF(VALUE(L9) = VALUE(O9), "P", "F")</f>
        <v>P</v>
      </c>
      <c r="O9" s="3" t="str">
        <f t="shared" ref="O9:O72" si="2">IF(B9="Currper",I9,IF(B9="prevPer",(IF((I9-1) &lt; 1, 13, I9 - 1)),IF(B9="NextPer",(IF((I9+1) &gt; 13, 1, I9 + 1)),"Failed")))</f>
        <v>12</v>
      </c>
      <c r="R9" t="s">
        <v>25</v>
      </c>
    </row>
    <row r="10" spans="1:18" ht="15.75" x14ac:dyDescent="0.25">
      <c r="A10" s="55">
        <v>37955</v>
      </c>
      <c r="B10" s="56" t="s">
        <v>133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13</v>
      </c>
      <c r="M10" s="17" t="str">
        <f t="shared" si="0"/>
        <v>CurrPer</v>
      </c>
      <c r="N10" s="133" t="str">
        <f t="shared" si="1"/>
        <v>P</v>
      </c>
      <c r="O10" s="3" t="str">
        <f t="shared" si="2"/>
        <v>12</v>
      </c>
      <c r="R10" t="s">
        <v>26</v>
      </c>
    </row>
    <row r="11" spans="1:18" ht="15.75" x14ac:dyDescent="0.25">
      <c r="A11" s="55">
        <v>37956</v>
      </c>
      <c r="B11" s="56" t="s">
        <v>133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14</v>
      </c>
      <c r="M11" s="17" t="str">
        <f t="shared" si="0"/>
        <v>CurrPer</v>
      </c>
      <c r="N11" s="133" t="str">
        <f t="shared" si="1"/>
        <v>P</v>
      </c>
      <c r="O11" s="3" t="str">
        <f t="shared" si="2"/>
        <v>13</v>
      </c>
      <c r="R11" t="s">
        <v>27</v>
      </c>
    </row>
    <row r="12" spans="1:18" ht="15.75" x14ac:dyDescent="0.25">
      <c r="A12" s="55">
        <v>38320</v>
      </c>
      <c r="B12" s="56" t="s">
        <v>133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14</v>
      </c>
      <c r="M12" s="17" t="str">
        <f t="shared" si="0"/>
        <v>CurrPer</v>
      </c>
      <c r="N12" s="133" t="str">
        <f t="shared" si="1"/>
        <v>P</v>
      </c>
      <c r="O12" s="3" t="str">
        <f t="shared" si="2"/>
        <v>13</v>
      </c>
      <c r="R12" t="s">
        <v>28</v>
      </c>
    </row>
    <row r="13" spans="1:18" ht="15.75" x14ac:dyDescent="0.25">
      <c r="A13" s="55">
        <v>38684</v>
      </c>
      <c r="B13" s="56" t="s">
        <v>133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14</v>
      </c>
      <c r="M13" s="17" t="str">
        <f t="shared" si="0"/>
        <v>CurrPer</v>
      </c>
      <c r="N13" s="133" t="str">
        <f t="shared" si="1"/>
        <v>P</v>
      </c>
      <c r="O13" s="3" t="str">
        <f t="shared" si="2"/>
        <v>13</v>
      </c>
      <c r="R13" t="s">
        <v>29</v>
      </c>
    </row>
    <row r="14" spans="1:18" ht="15.75" x14ac:dyDescent="0.25">
      <c r="A14" s="55">
        <v>46356</v>
      </c>
      <c r="B14" s="56" t="s">
        <v>133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14</v>
      </c>
      <c r="M14" s="17" t="str">
        <f t="shared" si="0"/>
        <v>CurrPer</v>
      </c>
      <c r="N14" s="133" t="str">
        <f t="shared" si="1"/>
        <v>P</v>
      </c>
      <c r="O14" s="3" t="str">
        <f t="shared" si="2"/>
        <v>13</v>
      </c>
      <c r="R14" t="s">
        <v>30</v>
      </c>
    </row>
    <row r="15" spans="1:18" ht="15.75" x14ac:dyDescent="0.25">
      <c r="A15" s="55">
        <v>46720</v>
      </c>
      <c r="B15" s="56" t="s">
        <v>133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14</v>
      </c>
      <c r="M15" s="17" t="str">
        <f t="shared" si="0"/>
        <v>CurrPer</v>
      </c>
      <c r="N15" s="133" t="str">
        <f t="shared" si="1"/>
        <v>P</v>
      </c>
      <c r="O15" s="3" t="str">
        <f t="shared" si="2"/>
        <v>13</v>
      </c>
      <c r="R15" t="s">
        <v>31</v>
      </c>
    </row>
    <row r="16" spans="1:18" ht="15.75" x14ac:dyDescent="0.25">
      <c r="A16" s="55">
        <v>47084</v>
      </c>
      <c r="B16" s="56" t="s">
        <v>133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14</v>
      </c>
      <c r="M16" s="17" t="str">
        <f t="shared" si="0"/>
        <v>CurrPer</v>
      </c>
      <c r="N16" s="133" t="str">
        <f t="shared" si="1"/>
        <v>P</v>
      </c>
      <c r="O16" s="3" t="str">
        <f t="shared" si="2"/>
        <v>13</v>
      </c>
      <c r="R16" t="s">
        <v>32</v>
      </c>
    </row>
    <row r="17" spans="1:18" ht="15.75" x14ac:dyDescent="0.25">
      <c r="A17" s="55">
        <v>47455</v>
      </c>
      <c r="B17" s="56" t="s">
        <v>133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14</v>
      </c>
      <c r="M17" s="17" t="str">
        <f t="shared" si="0"/>
        <v>CurrPer</v>
      </c>
      <c r="N17" s="133" t="str">
        <f t="shared" si="1"/>
        <v>P</v>
      </c>
      <c r="O17" s="3" t="str">
        <f t="shared" si="2"/>
        <v>13</v>
      </c>
      <c r="R17" t="s">
        <v>33</v>
      </c>
    </row>
    <row r="18" spans="1:18" ht="15.75" x14ac:dyDescent="0.25">
      <c r="A18" s="55">
        <v>47819</v>
      </c>
      <c r="B18" s="56" t="s">
        <v>133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14</v>
      </c>
      <c r="M18" s="17" t="str">
        <f t="shared" si="0"/>
        <v>CurrPer</v>
      </c>
      <c r="N18" s="133" t="str">
        <f t="shared" si="1"/>
        <v>P</v>
      </c>
      <c r="O18" s="3" t="str">
        <f t="shared" si="2"/>
        <v>13</v>
      </c>
      <c r="R18" t="s">
        <v>34</v>
      </c>
    </row>
    <row r="19" spans="1:18" ht="15.75" x14ac:dyDescent="0.25">
      <c r="A19" s="55">
        <v>37255</v>
      </c>
      <c r="B19" s="56" t="s">
        <v>134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13</v>
      </c>
      <c r="M19" s="17" t="str">
        <f t="shared" si="0"/>
        <v>prevPer</v>
      </c>
      <c r="N19" s="133" t="str">
        <f t="shared" si="1"/>
        <v>P</v>
      </c>
      <c r="O19" s="3">
        <f t="shared" si="2"/>
        <v>12</v>
      </c>
    </row>
    <row r="20" spans="1:18" ht="15.75" x14ac:dyDescent="0.25">
      <c r="A20" s="55">
        <v>37619</v>
      </c>
      <c r="B20" s="56" t="s">
        <v>134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13</v>
      </c>
      <c r="M20" s="17" t="str">
        <f t="shared" si="0"/>
        <v>prevPer</v>
      </c>
      <c r="N20" s="133" t="str">
        <f t="shared" si="1"/>
        <v>P</v>
      </c>
      <c r="O20" s="3">
        <f t="shared" si="2"/>
        <v>12</v>
      </c>
      <c r="R20" t="s">
        <v>247</v>
      </c>
    </row>
    <row r="21" spans="1:18" ht="15.75" x14ac:dyDescent="0.25">
      <c r="A21" s="55">
        <v>37983</v>
      </c>
      <c r="B21" s="56" t="s">
        <v>134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13</v>
      </c>
      <c r="M21" s="17" t="str">
        <f t="shared" si="0"/>
        <v>prevPer</v>
      </c>
      <c r="N21" s="133" t="str">
        <f t="shared" si="1"/>
        <v>P</v>
      </c>
      <c r="O21" s="3">
        <f t="shared" si="2"/>
        <v>12</v>
      </c>
      <c r="R21" t="s">
        <v>242</v>
      </c>
    </row>
    <row r="22" spans="1:18" ht="15.75" x14ac:dyDescent="0.25">
      <c r="A22" s="55">
        <v>38347</v>
      </c>
      <c r="B22" s="56" t="s">
        <v>134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13</v>
      </c>
      <c r="M22" s="17" t="str">
        <f t="shared" si="0"/>
        <v>prevPer</v>
      </c>
      <c r="N22" s="133" t="str">
        <f t="shared" si="1"/>
        <v>P</v>
      </c>
      <c r="O22" s="3">
        <f t="shared" si="2"/>
        <v>12</v>
      </c>
      <c r="R22" t="s">
        <v>243</v>
      </c>
    </row>
    <row r="23" spans="1:18" ht="15.75" x14ac:dyDescent="0.25">
      <c r="A23" s="55">
        <v>38711</v>
      </c>
      <c r="B23" s="56" t="s">
        <v>134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13</v>
      </c>
      <c r="M23" s="17" t="str">
        <f t="shared" si="0"/>
        <v>prevPer</v>
      </c>
      <c r="N23" s="133" t="str">
        <f t="shared" si="1"/>
        <v>P</v>
      </c>
      <c r="O23" s="3">
        <f t="shared" si="2"/>
        <v>12</v>
      </c>
      <c r="R23" t="s">
        <v>244</v>
      </c>
    </row>
    <row r="24" spans="1:18" ht="15.75" x14ac:dyDescent="0.25">
      <c r="A24" s="55">
        <v>39082</v>
      </c>
      <c r="B24" s="56" t="s">
        <v>134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13</v>
      </c>
      <c r="M24" s="17" t="str">
        <f t="shared" si="0"/>
        <v>prevPer</v>
      </c>
      <c r="N24" s="133" t="str">
        <f t="shared" si="1"/>
        <v>P</v>
      </c>
      <c r="O24" s="3">
        <f t="shared" si="2"/>
        <v>12</v>
      </c>
      <c r="R24" t="s">
        <v>245</v>
      </c>
    </row>
    <row r="25" spans="1:18" ht="15.75" x14ac:dyDescent="0.25">
      <c r="A25" s="55">
        <v>39446</v>
      </c>
      <c r="B25" s="56" t="s">
        <v>134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13</v>
      </c>
      <c r="M25" s="17" t="str">
        <f t="shared" si="0"/>
        <v>prevPer</v>
      </c>
      <c r="N25" s="133" t="str">
        <f t="shared" si="1"/>
        <v>P</v>
      </c>
      <c r="O25" s="3">
        <f t="shared" si="2"/>
        <v>12</v>
      </c>
      <c r="R25" t="s">
        <v>246</v>
      </c>
    </row>
    <row r="26" spans="1:18" ht="15.75" x14ac:dyDescent="0.25">
      <c r="A26" s="55">
        <v>39810</v>
      </c>
      <c r="B26" s="56" t="s">
        <v>134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13</v>
      </c>
      <c r="M26" s="17" t="str">
        <f t="shared" si="0"/>
        <v>prevPer</v>
      </c>
      <c r="N26" s="133" t="str">
        <f t="shared" si="1"/>
        <v>P</v>
      </c>
      <c r="O26" s="3">
        <f t="shared" si="2"/>
        <v>12</v>
      </c>
    </row>
    <row r="27" spans="1:18" ht="15.75" x14ac:dyDescent="0.25">
      <c r="A27" s="55">
        <v>40174</v>
      </c>
      <c r="B27" s="56" t="s">
        <v>134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13</v>
      </c>
      <c r="M27" s="17" t="str">
        <f t="shared" si="0"/>
        <v>prevPer</v>
      </c>
      <c r="N27" s="133" t="str">
        <f t="shared" si="1"/>
        <v>P</v>
      </c>
      <c r="O27" s="3">
        <f t="shared" si="2"/>
        <v>12</v>
      </c>
    </row>
    <row r="28" spans="1:18" ht="15.75" x14ac:dyDescent="0.25">
      <c r="A28" s="55">
        <v>40538</v>
      </c>
      <c r="B28" s="56" t="s">
        <v>134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13</v>
      </c>
      <c r="M28" s="17" t="str">
        <f t="shared" si="0"/>
        <v>prevPer</v>
      </c>
      <c r="N28" s="133" t="str">
        <f t="shared" si="1"/>
        <v>P</v>
      </c>
      <c r="O28" s="3">
        <f t="shared" si="2"/>
        <v>12</v>
      </c>
    </row>
    <row r="29" spans="1:18" ht="15.75" x14ac:dyDescent="0.25">
      <c r="A29" s="55">
        <v>40902</v>
      </c>
      <c r="B29" s="56" t="s">
        <v>134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13</v>
      </c>
      <c r="M29" s="17" t="str">
        <f t="shared" si="0"/>
        <v>prevPer</v>
      </c>
      <c r="N29" s="133" t="str">
        <f t="shared" si="1"/>
        <v>P</v>
      </c>
      <c r="O29" s="3">
        <f t="shared" si="2"/>
        <v>12</v>
      </c>
    </row>
    <row r="30" spans="1:18" ht="15.75" x14ac:dyDescent="0.25">
      <c r="A30" s="55">
        <v>41273</v>
      </c>
      <c r="B30" s="56" t="s">
        <v>134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13</v>
      </c>
      <c r="M30" s="17" t="str">
        <f t="shared" si="0"/>
        <v>prevPer</v>
      </c>
      <c r="N30" s="133" t="str">
        <f t="shared" si="1"/>
        <v>P</v>
      </c>
      <c r="O30" s="3">
        <f t="shared" si="2"/>
        <v>12</v>
      </c>
    </row>
    <row r="31" spans="1:18" ht="15.75" x14ac:dyDescent="0.25">
      <c r="A31" s="55">
        <v>41637</v>
      </c>
      <c r="B31" s="56" t="s">
        <v>134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13</v>
      </c>
      <c r="M31" s="17" t="str">
        <f t="shared" si="0"/>
        <v>prevPer</v>
      </c>
      <c r="N31" s="133" t="str">
        <f t="shared" si="1"/>
        <v>P</v>
      </c>
      <c r="O31" s="3">
        <f t="shared" si="2"/>
        <v>12</v>
      </c>
    </row>
    <row r="32" spans="1:18" ht="15.75" x14ac:dyDescent="0.25">
      <c r="A32" s="55">
        <v>42001</v>
      </c>
      <c r="B32" s="56" t="s">
        <v>134</v>
      </c>
      <c r="C32" s="56" t="s">
        <v>109</v>
      </c>
      <c r="E32" s="2" t="s">
        <v>71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13</v>
      </c>
      <c r="M32" s="17" t="str">
        <f t="shared" si="0"/>
        <v>prevPer</v>
      </c>
      <c r="N32" s="133" t="str">
        <f t="shared" si="1"/>
        <v>P</v>
      </c>
      <c r="O32" s="3">
        <f t="shared" si="2"/>
        <v>12</v>
      </c>
    </row>
    <row r="33" spans="1:15" ht="15.75" x14ac:dyDescent="0.25">
      <c r="A33" s="55">
        <v>42365</v>
      </c>
      <c r="B33" s="56" t="s">
        <v>134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13</v>
      </c>
      <c r="M33" s="17" t="str">
        <f t="shared" si="0"/>
        <v>prevPer</v>
      </c>
      <c r="N33" s="133" t="str">
        <f t="shared" si="1"/>
        <v>P</v>
      </c>
      <c r="O33" s="3">
        <f t="shared" si="2"/>
        <v>12</v>
      </c>
    </row>
    <row r="34" spans="1:15" ht="15.75" x14ac:dyDescent="0.25">
      <c r="A34" s="55">
        <v>42729</v>
      </c>
      <c r="B34" s="56" t="s">
        <v>134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13</v>
      </c>
      <c r="M34" s="17" t="str">
        <f t="shared" si="0"/>
        <v>prevPer</v>
      </c>
      <c r="N34" s="133" t="str">
        <f t="shared" si="1"/>
        <v>P</v>
      </c>
      <c r="O34" s="3">
        <f t="shared" si="2"/>
        <v>12</v>
      </c>
    </row>
    <row r="35" spans="1:15" ht="15.75" x14ac:dyDescent="0.25">
      <c r="A35" s="55">
        <v>37255</v>
      </c>
      <c r="B35" s="56" t="s">
        <v>136</v>
      </c>
      <c r="C35" s="56" t="s">
        <v>109</v>
      </c>
      <c r="F35" s="1">
        <v>37228</v>
      </c>
      <c r="G35" s="1">
        <v>37255</v>
      </c>
      <c r="H35" t="s">
        <v>77</v>
      </c>
      <c r="I35" t="s">
        <v>14</v>
      </c>
      <c r="J35" t="s">
        <v>12</v>
      </c>
      <c r="L35" t="s">
        <v>15</v>
      </c>
      <c r="M35" s="17" t="str">
        <f t="shared" si="0"/>
        <v>NextPer</v>
      </c>
      <c r="N35" s="133" t="str">
        <f t="shared" si="1"/>
        <v>P</v>
      </c>
      <c r="O35" s="3">
        <f t="shared" si="2"/>
        <v>1</v>
      </c>
    </row>
    <row r="36" spans="1:15" ht="15.75" x14ac:dyDescent="0.25">
      <c r="A36" s="55">
        <v>37619</v>
      </c>
      <c r="B36" s="56" t="s">
        <v>136</v>
      </c>
      <c r="C36" s="56" t="s">
        <v>109</v>
      </c>
      <c r="F36" s="1">
        <v>37592</v>
      </c>
      <c r="G36" s="1">
        <v>37619</v>
      </c>
      <c r="H36" t="s">
        <v>78</v>
      </c>
      <c r="I36" t="s">
        <v>14</v>
      </c>
      <c r="J36" t="s">
        <v>12</v>
      </c>
      <c r="L36" t="s">
        <v>15</v>
      </c>
      <c r="M36" s="17" t="str">
        <f t="shared" si="0"/>
        <v>NextPer</v>
      </c>
      <c r="N36" s="133" t="str">
        <f t="shared" si="1"/>
        <v>P</v>
      </c>
      <c r="O36" s="3">
        <f t="shared" si="2"/>
        <v>1</v>
      </c>
    </row>
    <row r="37" spans="1:15" ht="15.75" x14ac:dyDescent="0.25">
      <c r="A37" s="55">
        <v>37983</v>
      </c>
      <c r="B37" s="56" t="s">
        <v>136</v>
      </c>
      <c r="C37" s="56" t="s">
        <v>109</v>
      </c>
      <c r="F37" s="1">
        <v>37956</v>
      </c>
      <c r="G37" s="1">
        <v>37983</v>
      </c>
      <c r="H37" t="s">
        <v>80</v>
      </c>
      <c r="I37" t="s">
        <v>14</v>
      </c>
      <c r="J37" t="s">
        <v>12</v>
      </c>
      <c r="L37" t="s">
        <v>15</v>
      </c>
      <c r="M37" s="17" t="str">
        <f t="shared" si="0"/>
        <v>NextPer</v>
      </c>
      <c r="N37" s="133" t="str">
        <f t="shared" si="1"/>
        <v>P</v>
      </c>
      <c r="O37" s="3">
        <f t="shared" si="2"/>
        <v>1</v>
      </c>
    </row>
    <row r="38" spans="1:15" ht="15.75" x14ac:dyDescent="0.25">
      <c r="A38" s="55">
        <v>38347</v>
      </c>
      <c r="B38" s="56" t="s">
        <v>136</v>
      </c>
      <c r="C38" s="56" t="s">
        <v>109</v>
      </c>
      <c r="F38" s="1">
        <v>38320</v>
      </c>
      <c r="G38" s="1">
        <v>38347</v>
      </c>
      <c r="H38" t="s">
        <v>82</v>
      </c>
      <c r="I38" t="s">
        <v>14</v>
      </c>
      <c r="J38" t="s">
        <v>12</v>
      </c>
      <c r="L38" t="s">
        <v>15</v>
      </c>
      <c r="M38" s="17" t="str">
        <f t="shared" si="0"/>
        <v>NextPer</v>
      </c>
      <c r="N38" s="133" t="str">
        <f t="shared" si="1"/>
        <v>P</v>
      </c>
      <c r="O38" s="3">
        <f t="shared" si="2"/>
        <v>1</v>
      </c>
    </row>
    <row r="39" spans="1:15" ht="15.75" x14ac:dyDescent="0.25">
      <c r="A39" s="55">
        <v>38711</v>
      </c>
      <c r="B39" s="56" t="s">
        <v>136</v>
      </c>
      <c r="C39" s="56" t="s">
        <v>109</v>
      </c>
      <c r="F39" s="1">
        <v>38684</v>
      </c>
      <c r="G39" s="1">
        <v>38711</v>
      </c>
      <c r="H39" t="s">
        <v>84</v>
      </c>
      <c r="I39" t="s">
        <v>14</v>
      </c>
      <c r="J39" t="s">
        <v>12</v>
      </c>
      <c r="L39" t="s">
        <v>15</v>
      </c>
      <c r="M39" s="17" t="str">
        <f t="shared" si="0"/>
        <v>NextPer</v>
      </c>
      <c r="N39" s="133" t="str">
        <f t="shared" si="1"/>
        <v>P</v>
      </c>
      <c r="O39" s="3">
        <f t="shared" si="2"/>
        <v>1</v>
      </c>
    </row>
    <row r="40" spans="1:15" ht="15.75" x14ac:dyDescent="0.25">
      <c r="A40" s="55">
        <v>39082</v>
      </c>
      <c r="B40" s="56" t="s">
        <v>136</v>
      </c>
      <c r="C40" s="56" t="s">
        <v>109</v>
      </c>
      <c r="F40" s="1">
        <v>39048</v>
      </c>
      <c r="G40" s="1">
        <v>39082</v>
      </c>
      <c r="H40" t="s">
        <v>86</v>
      </c>
      <c r="I40" t="s">
        <v>14</v>
      </c>
      <c r="J40" t="s">
        <v>12</v>
      </c>
      <c r="L40" t="s">
        <v>15</v>
      </c>
      <c r="M40" s="17" t="str">
        <f t="shared" si="0"/>
        <v>NextPer</v>
      </c>
      <c r="N40" s="133" t="str">
        <f t="shared" si="1"/>
        <v>P</v>
      </c>
      <c r="O40" s="3">
        <f t="shared" si="2"/>
        <v>1</v>
      </c>
    </row>
    <row r="41" spans="1:15" ht="15.75" x14ac:dyDescent="0.25">
      <c r="A41" s="55">
        <v>39446</v>
      </c>
      <c r="B41" s="56" t="s">
        <v>136</v>
      </c>
      <c r="C41" s="56" t="s">
        <v>109</v>
      </c>
      <c r="F41" s="1">
        <v>39419</v>
      </c>
      <c r="G41" s="1">
        <v>39446</v>
      </c>
      <c r="H41" t="s">
        <v>87</v>
      </c>
      <c r="I41" t="s">
        <v>14</v>
      </c>
      <c r="J41" t="s">
        <v>12</v>
      </c>
      <c r="L41" t="s">
        <v>15</v>
      </c>
      <c r="M41" s="17" t="str">
        <f t="shared" si="0"/>
        <v>NextPer</v>
      </c>
      <c r="N41" s="133" t="str">
        <f t="shared" si="1"/>
        <v>P</v>
      </c>
      <c r="O41" s="3">
        <f t="shared" si="2"/>
        <v>1</v>
      </c>
    </row>
    <row r="42" spans="1:15" ht="15.75" x14ac:dyDescent="0.25">
      <c r="A42" s="55">
        <v>39810</v>
      </c>
      <c r="B42" s="56" t="s">
        <v>136</v>
      </c>
      <c r="C42" s="56" t="s">
        <v>109</v>
      </c>
      <c r="F42" s="1">
        <v>39783</v>
      </c>
      <c r="G42" s="1">
        <v>39810</v>
      </c>
      <c r="H42" t="s">
        <v>88</v>
      </c>
      <c r="I42" t="s">
        <v>14</v>
      </c>
      <c r="J42" t="s">
        <v>12</v>
      </c>
      <c r="L42" t="s">
        <v>15</v>
      </c>
      <c r="M42" s="17" t="str">
        <f t="shared" si="0"/>
        <v>NextPer</v>
      </c>
      <c r="N42" s="133" t="str">
        <f t="shared" si="1"/>
        <v>P</v>
      </c>
      <c r="O42" s="3">
        <f t="shared" si="2"/>
        <v>1</v>
      </c>
    </row>
    <row r="43" spans="1:15" ht="15.75" x14ac:dyDescent="0.25">
      <c r="A43" s="55">
        <v>40174</v>
      </c>
      <c r="B43" s="56" t="s">
        <v>136</v>
      </c>
      <c r="C43" s="56" t="s">
        <v>109</v>
      </c>
      <c r="F43" s="1">
        <v>40147</v>
      </c>
      <c r="G43" s="1">
        <v>40174</v>
      </c>
      <c r="H43" t="s">
        <v>89</v>
      </c>
      <c r="I43" t="s">
        <v>14</v>
      </c>
      <c r="J43" t="s">
        <v>12</v>
      </c>
      <c r="L43" t="s">
        <v>15</v>
      </c>
      <c r="M43" s="17" t="str">
        <f t="shared" si="0"/>
        <v>NextPer</v>
      </c>
      <c r="N43" s="133" t="str">
        <f t="shared" si="1"/>
        <v>P</v>
      </c>
      <c r="O43" s="3">
        <f t="shared" si="2"/>
        <v>1</v>
      </c>
    </row>
    <row r="44" spans="1:15" ht="15.75" x14ac:dyDescent="0.25">
      <c r="A44" s="55">
        <v>40538</v>
      </c>
      <c r="B44" s="56" t="s">
        <v>136</v>
      </c>
      <c r="C44" s="56" t="s">
        <v>109</v>
      </c>
      <c r="F44" s="1">
        <v>40511</v>
      </c>
      <c r="G44" s="1">
        <v>40538</v>
      </c>
      <c r="H44" t="s">
        <v>90</v>
      </c>
      <c r="I44" t="s">
        <v>14</v>
      </c>
      <c r="J44" t="s">
        <v>12</v>
      </c>
      <c r="L44" t="s">
        <v>15</v>
      </c>
      <c r="M44" s="17" t="str">
        <f t="shared" si="0"/>
        <v>NextPer</v>
      </c>
      <c r="N44" s="133" t="str">
        <f t="shared" si="1"/>
        <v>P</v>
      </c>
      <c r="O44" s="3">
        <f t="shared" si="2"/>
        <v>1</v>
      </c>
    </row>
    <row r="45" spans="1:15" ht="15.75" x14ac:dyDescent="0.25">
      <c r="A45" s="55">
        <v>40902</v>
      </c>
      <c r="B45" s="56" t="s">
        <v>136</v>
      </c>
      <c r="C45" s="56" t="s">
        <v>109</v>
      </c>
      <c r="F45" s="1">
        <v>40875</v>
      </c>
      <c r="G45" s="1">
        <v>40902</v>
      </c>
      <c r="H45" t="s">
        <v>91</v>
      </c>
      <c r="I45" t="s">
        <v>14</v>
      </c>
      <c r="J45" t="s">
        <v>12</v>
      </c>
      <c r="L45" t="s">
        <v>15</v>
      </c>
      <c r="M45" s="17" t="str">
        <f t="shared" si="0"/>
        <v>NextPer</v>
      </c>
      <c r="N45" s="133" t="str">
        <f t="shared" si="1"/>
        <v>P</v>
      </c>
      <c r="O45" s="3">
        <f t="shared" si="2"/>
        <v>1</v>
      </c>
    </row>
    <row r="46" spans="1:15" ht="15.75" x14ac:dyDescent="0.25">
      <c r="A46" s="55">
        <v>41273</v>
      </c>
      <c r="B46" s="56" t="s">
        <v>136</v>
      </c>
      <c r="C46" s="56" t="s">
        <v>109</v>
      </c>
      <c r="F46" s="1">
        <v>41239</v>
      </c>
      <c r="G46" s="1">
        <v>41273</v>
      </c>
      <c r="H46" t="s">
        <v>53</v>
      </c>
      <c r="I46" t="s">
        <v>14</v>
      </c>
      <c r="J46" t="s">
        <v>12</v>
      </c>
      <c r="L46" t="s">
        <v>15</v>
      </c>
      <c r="M46" s="17" t="str">
        <f t="shared" si="0"/>
        <v>NextPer</v>
      </c>
      <c r="N46" s="133" t="str">
        <f t="shared" si="1"/>
        <v>P</v>
      </c>
      <c r="O46" s="3">
        <f t="shared" si="2"/>
        <v>1</v>
      </c>
    </row>
    <row r="47" spans="1:15" ht="15.75" x14ac:dyDescent="0.25">
      <c r="A47" s="55">
        <v>41637</v>
      </c>
      <c r="B47" s="56" t="s">
        <v>136</v>
      </c>
      <c r="C47" s="56" t="s">
        <v>109</v>
      </c>
      <c r="F47" s="1">
        <v>41610</v>
      </c>
      <c r="G47" s="1">
        <v>41637</v>
      </c>
      <c r="H47" t="s">
        <v>67</v>
      </c>
      <c r="I47" t="s">
        <v>14</v>
      </c>
      <c r="J47" t="s">
        <v>12</v>
      </c>
      <c r="L47" t="s">
        <v>15</v>
      </c>
      <c r="M47" s="17" t="str">
        <f t="shared" si="0"/>
        <v>NextPer</v>
      </c>
      <c r="N47" s="133" t="str">
        <f t="shared" si="1"/>
        <v>P</v>
      </c>
      <c r="O47" s="3">
        <f t="shared" si="2"/>
        <v>1</v>
      </c>
    </row>
    <row r="48" spans="1:15" ht="15.75" x14ac:dyDescent="0.25">
      <c r="A48" s="55">
        <v>42001</v>
      </c>
      <c r="B48" s="56" t="s">
        <v>136</v>
      </c>
      <c r="C48" s="56" t="s">
        <v>109</v>
      </c>
      <c r="F48" s="1">
        <v>41974</v>
      </c>
      <c r="G48" s="1">
        <v>42001</v>
      </c>
      <c r="H48" t="s">
        <v>92</v>
      </c>
      <c r="I48" t="s">
        <v>14</v>
      </c>
      <c r="J48" t="s">
        <v>12</v>
      </c>
      <c r="L48" t="s">
        <v>15</v>
      </c>
      <c r="M48" s="17" t="str">
        <f t="shared" si="0"/>
        <v>NextPer</v>
      </c>
      <c r="N48" s="133" t="str">
        <f t="shared" si="1"/>
        <v>P</v>
      </c>
      <c r="O48" s="3">
        <f t="shared" si="2"/>
        <v>1</v>
      </c>
    </row>
    <row r="49" spans="1:15" ht="15.75" x14ac:dyDescent="0.25">
      <c r="A49" s="55">
        <v>42365</v>
      </c>
      <c r="B49" s="56" t="s">
        <v>136</v>
      </c>
      <c r="C49" s="56" t="s">
        <v>109</v>
      </c>
      <c r="F49" s="1">
        <v>42338</v>
      </c>
      <c r="G49" s="1">
        <v>42365</v>
      </c>
      <c r="H49" t="s">
        <v>93</v>
      </c>
      <c r="I49" t="s">
        <v>14</v>
      </c>
      <c r="J49" t="s">
        <v>12</v>
      </c>
      <c r="L49" t="s">
        <v>15</v>
      </c>
      <c r="M49" s="17" t="str">
        <f t="shared" si="0"/>
        <v>NextPer</v>
      </c>
      <c r="N49" s="133" t="str">
        <f t="shared" si="1"/>
        <v>P</v>
      </c>
      <c r="O49" s="3">
        <f t="shared" si="2"/>
        <v>1</v>
      </c>
    </row>
    <row r="50" spans="1:15" ht="15.75" x14ac:dyDescent="0.25">
      <c r="A50" s="55">
        <v>42729</v>
      </c>
      <c r="B50" s="56" t="s">
        <v>136</v>
      </c>
      <c r="C50" s="56" t="s">
        <v>109</v>
      </c>
      <c r="F50" s="1">
        <v>42702</v>
      </c>
      <c r="G50" s="1">
        <v>42729</v>
      </c>
      <c r="H50" t="s">
        <v>16</v>
      </c>
      <c r="I50" t="s">
        <v>14</v>
      </c>
      <c r="J50" t="s">
        <v>12</v>
      </c>
      <c r="L50" t="s">
        <v>15</v>
      </c>
      <c r="M50" s="17" t="str">
        <f t="shared" si="0"/>
        <v>NextPer</v>
      </c>
      <c r="N50" s="133" t="str">
        <f t="shared" si="1"/>
        <v>P</v>
      </c>
      <c r="O50" s="3">
        <f t="shared" si="2"/>
        <v>1</v>
      </c>
    </row>
    <row r="51" spans="1:15" ht="15.75" x14ac:dyDescent="0.25">
      <c r="A51" s="55">
        <v>39048</v>
      </c>
      <c r="B51" s="56" t="s">
        <v>135</v>
      </c>
      <c r="C51" s="56" t="s">
        <v>111</v>
      </c>
      <c r="F51" s="1">
        <v>39048</v>
      </c>
      <c r="G51" s="1">
        <v>39082</v>
      </c>
      <c r="H51" t="s">
        <v>86</v>
      </c>
      <c r="I51" t="s">
        <v>14</v>
      </c>
      <c r="J51" t="s">
        <v>12</v>
      </c>
      <c r="L51" t="s">
        <v>14</v>
      </c>
      <c r="M51" s="17" t="str">
        <f t="shared" si="0"/>
        <v>currPer</v>
      </c>
      <c r="N51" s="133" t="str">
        <f t="shared" si="1"/>
        <v>P</v>
      </c>
      <c r="O51" s="3" t="str">
        <f t="shared" si="2"/>
        <v>13</v>
      </c>
    </row>
    <row r="52" spans="1:15" ht="15.75" x14ac:dyDescent="0.25">
      <c r="A52" s="55">
        <v>43066</v>
      </c>
      <c r="B52" s="56" t="s">
        <v>135</v>
      </c>
      <c r="C52" s="56" t="s">
        <v>111</v>
      </c>
      <c r="F52" s="1">
        <v>43066</v>
      </c>
      <c r="G52" s="1">
        <v>43100</v>
      </c>
      <c r="H52" t="s">
        <v>70</v>
      </c>
      <c r="I52" t="s">
        <v>14</v>
      </c>
      <c r="J52" t="s">
        <v>12</v>
      </c>
      <c r="L52" t="s">
        <v>14</v>
      </c>
      <c r="M52" s="17" t="str">
        <f t="shared" si="0"/>
        <v>currPer</v>
      </c>
      <c r="N52" s="133" t="str">
        <f t="shared" si="1"/>
        <v>P</v>
      </c>
      <c r="O52" s="3" t="str">
        <f t="shared" si="2"/>
        <v>13</v>
      </c>
    </row>
    <row r="53" spans="1:15" ht="15.75" x14ac:dyDescent="0.25">
      <c r="A53" s="55">
        <v>47084</v>
      </c>
      <c r="B53" s="56" t="s">
        <v>135</v>
      </c>
      <c r="C53" s="56" t="s">
        <v>111</v>
      </c>
      <c r="F53" s="1">
        <v>47084</v>
      </c>
      <c r="G53" s="1">
        <v>47118</v>
      </c>
      <c r="H53" t="s">
        <v>103</v>
      </c>
      <c r="I53" t="s">
        <v>14</v>
      </c>
      <c r="J53" t="s">
        <v>12</v>
      </c>
      <c r="L53" t="s">
        <v>14</v>
      </c>
      <c r="M53" s="17" t="str">
        <f t="shared" si="0"/>
        <v>currPer</v>
      </c>
      <c r="N53" s="133" t="str">
        <f t="shared" si="1"/>
        <v>P</v>
      </c>
      <c r="O53" s="3" t="str">
        <f t="shared" si="2"/>
        <v>13</v>
      </c>
    </row>
    <row r="54" spans="1:15" ht="15.75" x14ac:dyDescent="0.25">
      <c r="A54" s="55">
        <v>36891</v>
      </c>
      <c r="B54" s="56" t="s">
        <v>135</v>
      </c>
      <c r="C54" s="56" t="s">
        <v>112</v>
      </c>
      <c r="F54" s="1">
        <v>36864</v>
      </c>
      <c r="G54" s="1">
        <v>36891</v>
      </c>
      <c r="H54" t="s">
        <v>76</v>
      </c>
      <c r="I54" t="s">
        <v>14</v>
      </c>
      <c r="J54" t="s">
        <v>12</v>
      </c>
      <c r="L54" t="s">
        <v>14</v>
      </c>
      <c r="M54" s="17" t="str">
        <f t="shared" si="0"/>
        <v>currPer</v>
      </c>
      <c r="N54" s="133" t="str">
        <f t="shared" si="1"/>
        <v>P</v>
      </c>
      <c r="O54" s="3" t="str">
        <f t="shared" si="2"/>
        <v>13</v>
      </c>
    </row>
    <row r="55" spans="1:15" ht="15.75" x14ac:dyDescent="0.25">
      <c r="A55" s="55">
        <v>39082</v>
      </c>
      <c r="B55" s="56" t="s">
        <v>135</v>
      </c>
      <c r="C55" s="56" t="s">
        <v>112</v>
      </c>
      <c r="F55" s="1">
        <v>39048</v>
      </c>
      <c r="G55" s="1">
        <v>39082</v>
      </c>
      <c r="H55" t="s">
        <v>86</v>
      </c>
      <c r="I55" t="s">
        <v>14</v>
      </c>
      <c r="J55" t="s">
        <v>12</v>
      </c>
      <c r="L55" t="s">
        <v>14</v>
      </c>
      <c r="M55" s="17" t="str">
        <f t="shared" si="0"/>
        <v>currPer</v>
      </c>
      <c r="N55" s="133" t="str">
        <f t="shared" si="1"/>
        <v>P</v>
      </c>
      <c r="O55" s="3" t="str">
        <f t="shared" si="2"/>
        <v>13</v>
      </c>
    </row>
    <row r="56" spans="1:15" ht="15.75" x14ac:dyDescent="0.25">
      <c r="A56" s="55">
        <v>43100</v>
      </c>
      <c r="B56" s="56" t="s">
        <v>135</v>
      </c>
      <c r="C56" s="56" t="s">
        <v>112</v>
      </c>
      <c r="F56" s="1">
        <v>43066</v>
      </c>
      <c r="G56" s="1">
        <v>43100</v>
      </c>
      <c r="H56" t="s">
        <v>70</v>
      </c>
      <c r="I56" t="s">
        <v>14</v>
      </c>
      <c r="J56" t="s">
        <v>12</v>
      </c>
      <c r="L56" t="s">
        <v>14</v>
      </c>
      <c r="M56" s="17" t="str">
        <f t="shared" si="0"/>
        <v>currPer</v>
      </c>
      <c r="N56" s="133" t="str">
        <f t="shared" si="1"/>
        <v>P</v>
      </c>
      <c r="O56" s="3" t="str">
        <f t="shared" si="2"/>
        <v>13</v>
      </c>
    </row>
    <row r="57" spans="1:15" ht="15.75" x14ac:dyDescent="0.25">
      <c r="A57" s="55">
        <v>47118</v>
      </c>
      <c r="B57" s="56" t="s">
        <v>135</v>
      </c>
      <c r="C57" s="56" t="s">
        <v>112</v>
      </c>
      <c r="F57" s="1">
        <v>47084</v>
      </c>
      <c r="G57" s="1">
        <v>47118</v>
      </c>
      <c r="H57" t="s">
        <v>103</v>
      </c>
      <c r="I57" t="s">
        <v>14</v>
      </c>
      <c r="J57" t="s">
        <v>12</v>
      </c>
      <c r="L57" t="s">
        <v>14</v>
      </c>
      <c r="M57" s="17" t="str">
        <f t="shared" si="0"/>
        <v>currPer</v>
      </c>
      <c r="N57" s="133" t="str">
        <f t="shared" si="1"/>
        <v>P</v>
      </c>
      <c r="O57" s="3" t="str">
        <f t="shared" si="2"/>
        <v>13</v>
      </c>
    </row>
    <row r="58" spans="1:15" ht="15.75" x14ac:dyDescent="0.25">
      <c r="A58" s="55">
        <v>39048</v>
      </c>
      <c r="B58" s="56" t="s">
        <v>44</v>
      </c>
      <c r="C58" s="56" t="s">
        <v>111</v>
      </c>
      <c r="F58" s="1">
        <v>39048</v>
      </c>
      <c r="G58" s="1">
        <v>39082</v>
      </c>
      <c r="H58" t="s">
        <v>86</v>
      </c>
      <c r="I58" t="s">
        <v>14</v>
      </c>
      <c r="J58" t="s">
        <v>12</v>
      </c>
      <c r="L58" t="s">
        <v>13</v>
      </c>
      <c r="M58" s="17" t="str">
        <f t="shared" si="0"/>
        <v>prevper</v>
      </c>
      <c r="N58" s="133" t="str">
        <f t="shared" si="1"/>
        <v>P</v>
      </c>
      <c r="O58" s="3">
        <f t="shared" si="2"/>
        <v>12</v>
      </c>
    </row>
    <row r="59" spans="1:15" ht="15.75" x14ac:dyDescent="0.25">
      <c r="A59" s="55">
        <v>43066</v>
      </c>
      <c r="B59" s="56" t="s">
        <v>44</v>
      </c>
      <c r="C59" s="56" t="s">
        <v>111</v>
      </c>
      <c r="F59" s="1">
        <v>43066</v>
      </c>
      <c r="G59" s="1">
        <v>43100</v>
      </c>
      <c r="H59" t="s">
        <v>70</v>
      </c>
      <c r="I59" t="s">
        <v>14</v>
      </c>
      <c r="J59" t="s">
        <v>12</v>
      </c>
      <c r="L59" t="s">
        <v>13</v>
      </c>
      <c r="M59" s="17" t="str">
        <f t="shared" si="0"/>
        <v>prevper</v>
      </c>
      <c r="N59" s="133" t="str">
        <f t="shared" si="1"/>
        <v>P</v>
      </c>
      <c r="O59" s="3">
        <f t="shared" si="2"/>
        <v>12</v>
      </c>
    </row>
    <row r="60" spans="1:15" ht="15.75" x14ac:dyDescent="0.25">
      <c r="A60" s="55">
        <v>47084</v>
      </c>
      <c r="B60" s="56" t="s">
        <v>44</v>
      </c>
      <c r="C60" s="56" t="s">
        <v>111</v>
      </c>
      <c r="F60" s="1">
        <v>47084</v>
      </c>
      <c r="G60" s="1">
        <v>47118</v>
      </c>
      <c r="H60" t="s">
        <v>103</v>
      </c>
      <c r="I60" t="s">
        <v>14</v>
      </c>
      <c r="J60" t="s">
        <v>12</v>
      </c>
      <c r="L60" t="s">
        <v>13</v>
      </c>
      <c r="M60" s="17" t="str">
        <f t="shared" si="0"/>
        <v>prevper</v>
      </c>
      <c r="N60" s="133" t="str">
        <f t="shared" si="1"/>
        <v>P</v>
      </c>
      <c r="O60" s="3">
        <f t="shared" si="2"/>
        <v>12</v>
      </c>
    </row>
    <row r="61" spans="1:15" ht="15.75" x14ac:dyDescent="0.25">
      <c r="A61" s="55">
        <v>36891</v>
      </c>
      <c r="B61" s="56" t="s">
        <v>44</v>
      </c>
      <c r="C61" s="56" t="s">
        <v>112</v>
      </c>
      <c r="F61" s="1">
        <v>36864</v>
      </c>
      <c r="G61" s="1">
        <v>36891</v>
      </c>
      <c r="H61" t="s">
        <v>76</v>
      </c>
      <c r="I61" t="s">
        <v>14</v>
      </c>
      <c r="J61" t="s">
        <v>12</v>
      </c>
      <c r="L61" t="s">
        <v>13</v>
      </c>
      <c r="M61" s="17" t="str">
        <f t="shared" si="0"/>
        <v>prevper</v>
      </c>
      <c r="N61" s="133" t="str">
        <f t="shared" si="1"/>
        <v>P</v>
      </c>
      <c r="O61" s="3">
        <f t="shared" si="2"/>
        <v>12</v>
      </c>
    </row>
    <row r="62" spans="1:15" ht="15.75" x14ac:dyDescent="0.25">
      <c r="A62" s="55">
        <v>39082</v>
      </c>
      <c r="B62" s="56" t="s">
        <v>44</v>
      </c>
      <c r="C62" s="56" t="s">
        <v>112</v>
      </c>
      <c r="F62" s="1">
        <v>39048</v>
      </c>
      <c r="G62" s="1">
        <v>39082</v>
      </c>
      <c r="H62" t="s">
        <v>86</v>
      </c>
      <c r="I62" t="s">
        <v>14</v>
      </c>
      <c r="J62" t="s">
        <v>12</v>
      </c>
      <c r="L62" t="s">
        <v>13</v>
      </c>
      <c r="M62" s="17" t="str">
        <f t="shared" si="0"/>
        <v>prevper</v>
      </c>
      <c r="N62" s="133" t="str">
        <f t="shared" si="1"/>
        <v>P</v>
      </c>
      <c r="O62" s="3">
        <f t="shared" si="2"/>
        <v>12</v>
      </c>
    </row>
    <row r="63" spans="1:15" ht="15.75" x14ac:dyDescent="0.25">
      <c r="A63" s="55">
        <v>43100</v>
      </c>
      <c r="B63" s="56" t="s">
        <v>44</v>
      </c>
      <c r="C63" s="56" t="s">
        <v>112</v>
      </c>
      <c r="F63" s="1">
        <v>43066</v>
      </c>
      <c r="G63" s="1">
        <v>43100</v>
      </c>
      <c r="H63" t="s">
        <v>70</v>
      </c>
      <c r="I63" t="s">
        <v>14</v>
      </c>
      <c r="J63" t="s">
        <v>12</v>
      </c>
      <c r="L63" t="s">
        <v>13</v>
      </c>
      <c r="M63" s="17" t="str">
        <f t="shared" si="0"/>
        <v>prevper</v>
      </c>
      <c r="N63" s="133" t="str">
        <f t="shared" si="1"/>
        <v>P</v>
      </c>
      <c r="O63" s="3">
        <f t="shared" si="2"/>
        <v>12</v>
      </c>
    </row>
    <row r="64" spans="1:15" ht="15.75" x14ac:dyDescent="0.25">
      <c r="A64" s="55">
        <v>47118</v>
      </c>
      <c r="B64" s="56" t="s">
        <v>44</v>
      </c>
      <c r="C64" s="56" t="s">
        <v>112</v>
      </c>
      <c r="F64" s="1">
        <v>47084</v>
      </c>
      <c r="G64" s="1">
        <v>47118</v>
      </c>
      <c r="H64" t="s">
        <v>103</v>
      </c>
      <c r="I64" t="s">
        <v>14</v>
      </c>
      <c r="J64" t="s">
        <v>12</v>
      </c>
      <c r="L64" t="s">
        <v>13</v>
      </c>
      <c r="M64" s="17" t="str">
        <f t="shared" si="0"/>
        <v>prevper</v>
      </c>
      <c r="N64" s="133" t="str">
        <f t="shared" si="1"/>
        <v>P</v>
      </c>
      <c r="O64" s="3">
        <f t="shared" si="2"/>
        <v>12</v>
      </c>
    </row>
    <row r="65" spans="1:15" ht="15.75" x14ac:dyDescent="0.25">
      <c r="A65" s="55">
        <v>39048</v>
      </c>
      <c r="B65" s="56" t="s">
        <v>137</v>
      </c>
      <c r="C65" s="56" t="s">
        <v>111</v>
      </c>
      <c r="F65" s="1">
        <v>39048</v>
      </c>
      <c r="G65" s="1">
        <v>39082</v>
      </c>
      <c r="H65" t="s">
        <v>86</v>
      </c>
      <c r="I65" t="s">
        <v>14</v>
      </c>
      <c r="J65" t="s">
        <v>12</v>
      </c>
      <c r="L65" t="s">
        <v>15</v>
      </c>
      <c r="M65" s="17" t="str">
        <f t="shared" si="0"/>
        <v>Nextper</v>
      </c>
      <c r="N65" s="133" t="str">
        <f t="shared" si="1"/>
        <v>P</v>
      </c>
      <c r="O65" s="3">
        <f t="shared" si="2"/>
        <v>1</v>
      </c>
    </row>
    <row r="66" spans="1:15" ht="15.75" x14ac:dyDescent="0.25">
      <c r="A66" s="55">
        <v>43066</v>
      </c>
      <c r="B66" s="56" t="s">
        <v>137</v>
      </c>
      <c r="C66" s="56" t="s">
        <v>111</v>
      </c>
      <c r="F66" s="1">
        <v>43066</v>
      </c>
      <c r="G66" s="1">
        <v>43100</v>
      </c>
      <c r="H66" t="s">
        <v>70</v>
      </c>
      <c r="I66" t="s">
        <v>14</v>
      </c>
      <c r="J66" t="s">
        <v>12</v>
      </c>
      <c r="L66" t="s">
        <v>15</v>
      </c>
      <c r="M66" s="17" t="str">
        <f t="shared" si="0"/>
        <v>Nextper</v>
      </c>
      <c r="N66" s="133" t="str">
        <f t="shared" si="1"/>
        <v>P</v>
      </c>
      <c r="O66" s="3">
        <f t="shared" si="2"/>
        <v>1</v>
      </c>
    </row>
    <row r="67" spans="1:15" ht="15.75" x14ac:dyDescent="0.25">
      <c r="A67" s="55">
        <v>47084</v>
      </c>
      <c r="B67" s="56" t="s">
        <v>137</v>
      </c>
      <c r="C67" s="56" t="s">
        <v>111</v>
      </c>
      <c r="F67" s="1">
        <v>47084</v>
      </c>
      <c r="G67" s="1">
        <v>47118</v>
      </c>
      <c r="H67" t="s">
        <v>103</v>
      </c>
      <c r="I67" t="s">
        <v>14</v>
      </c>
      <c r="J67" t="s">
        <v>12</v>
      </c>
      <c r="L67" t="s">
        <v>15</v>
      </c>
      <c r="M67" s="17" t="str">
        <f t="shared" si="0"/>
        <v>Nextper</v>
      </c>
      <c r="N67" s="133" t="str">
        <f t="shared" si="1"/>
        <v>P</v>
      </c>
      <c r="O67" s="3">
        <f t="shared" si="2"/>
        <v>1</v>
      </c>
    </row>
    <row r="68" spans="1:15" ht="15.75" x14ac:dyDescent="0.25">
      <c r="A68" s="55">
        <v>36891</v>
      </c>
      <c r="B68" s="56" t="s">
        <v>137</v>
      </c>
      <c r="C68" s="56" t="s">
        <v>112</v>
      </c>
      <c r="F68" s="1">
        <v>36864</v>
      </c>
      <c r="G68" s="1">
        <v>36891</v>
      </c>
      <c r="H68" t="s">
        <v>76</v>
      </c>
      <c r="I68" t="s">
        <v>14</v>
      </c>
      <c r="J68" t="s">
        <v>12</v>
      </c>
      <c r="L68" t="s">
        <v>15</v>
      </c>
      <c r="M68" s="17" t="str">
        <f t="shared" si="0"/>
        <v>Nextper</v>
      </c>
      <c r="N68" s="133" t="str">
        <f t="shared" si="1"/>
        <v>P</v>
      </c>
      <c r="O68" s="3">
        <f t="shared" si="2"/>
        <v>1</v>
      </c>
    </row>
    <row r="69" spans="1:15" ht="15.75" x14ac:dyDescent="0.25">
      <c r="A69" s="55">
        <v>39082</v>
      </c>
      <c r="B69" s="56" t="s">
        <v>137</v>
      </c>
      <c r="C69" s="56" t="s">
        <v>112</v>
      </c>
      <c r="F69" s="1">
        <v>39048</v>
      </c>
      <c r="G69" s="1">
        <v>39082</v>
      </c>
      <c r="H69" t="s">
        <v>86</v>
      </c>
      <c r="I69" t="s">
        <v>14</v>
      </c>
      <c r="J69" t="s">
        <v>12</v>
      </c>
      <c r="L69" t="s">
        <v>15</v>
      </c>
      <c r="M69" s="17" t="str">
        <f t="shared" si="0"/>
        <v>Nextper</v>
      </c>
      <c r="N69" s="133" t="str">
        <f t="shared" si="1"/>
        <v>P</v>
      </c>
      <c r="O69" s="3">
        <f t="shared" si="2"/>
        <v>1</v>
      </c>
    </row>
    <row r="70" spans="1:15" ht="15.75" x14ac:dyDescent="0.25">
      <c r="A70" s="55">
        <v>43100</v>
      </c>
      <c r="B70" s="56" t="s">
        <v>137</v>
      </c>
      <c r="C70" s="56" t="s">
        <v>112</v>
      </c>
      <c r="F70" s="1">
        <v>43066</v>
      </c>
      <c r="G70" s="1">
        <v>43100</v>
      </c>
      <c r="H70" t="s">
        <v>70</v>
      </c>
      <c r="I70" t="s">
        <v>14</v>
      </c>
      <c r="J70" t="s">
        <v>12</v>
      </c>
      <c r="L70" t="s">
        <v>15</v>
      </c>
      <c r="M70" s="17" t="str">
        <f t="shared" ref="M70" si="3">B70</f>
        <v>Nextper</v>
      </c>
      <c r="N70" s="133" t="str">
        <f t="shared" si="1"/>
        <v>P</v>
      </c>
      <c r="O70" s="3">
        <f t="shared" si="2"/>
        <v>1</v>
      </c>
    </row>
    <row r="71" spans="1:15" ht="15.75" x14ac:dyDescent="0.25">
      <c r="A71" s="55">
        <v>47118</v>
      </c>
      <c r="B71" s="56" t="s">
        <v>137</v>
      </c>
      <c r="C71" s="56" t="s">
        <v>112</v>
      </c>
      <c r="F71" s="1">
        <v>47084</v>
      </c>
      <c r="G71" s="1">
        <v>47118</v>
      </c>
      <c r="H71" t="s">
        <v>103</v>
      </c>
      <c r="I71" t="s">
        <v>14</v>
      </c>
      <c r="J71" t="s">
        <v>12</v>
      </c>
      <c r="L71" t="s">
        <v>15</v>
      </c>
      <c r="M71" s="17" t="str">
        <f t="shared" ref="M71:M97" si="4">B71</f>
        <v>Nextper</v>
      </c>
      <c r="N71" s="133" t="str">
        <f t="shared" si="1"/>
        <v>P</v>
      </c>
      <c r="O71" s="3">
        <f t="shared" si="2"/>
        <v>1</v>
      </c>
    </row>
    <row r="72" spans="1:15" ht="15.75" x14ac:dyDescent="0.25">
      <c r="A72" s="1">
        <f ca="1">RANDBETWEEN(DATE(2000,1,1),DATE(2030,1,1))</f>
        <v>44370</v>
      </c>
      <c r="B72" s="3" t="s">
        <v>139</v>
      </c>
      <c r="C72" s="57" t="s">
        <v>138</v>
      </c>
      <c r="F72" s="1">
        <v>42534</v>
      </c>
      <c r="G72" s="1">
        <v>42561</v>
      </c>
      <c r="H72" t="s">
        <v>16</v>
      </c>
      <c r="I72" t="s">
        <v>151</v>
      </c>
      <c r="J72" t="s">
        <v>143</v>
      </c>
      <c r="L72" t="s">
        <v>147</v>
      </c>
      <c r="M72" s="17" t="str">
        <f t="shared" si="4"/>
        <v>Currper</v>
      </c>
      <c r="N72" s="133" t="str">
        <f t="shared" si="1"/>
        <v>P</v>
      </c>
      <c r="O72" s="3" t="str">
        <f t="shared" si="2"/>
        <v>07</v>
      </c>
    </row>
    <row r="73" spans="1:15" ht="15.75" x14ac:dyDescent="0.25">
      <c r="A73" s="1">
        <f t="shared" ref="A73:A102" ca="1" si="5">RANDBETWEEN(DATE(2000,1,1),DATE(2030,1,1))</f>
        <v>38586</v>
      </c>
      <c r="B73" s="3" t="s">
        <v>139</v>
      </c>
      <c r="C73" s="57" t="s">
        <v>138</v>
      </c>
      <c r="F73" s="1">
        <v>37284</v>
      </c>
      <c r="G73" s="1">
        <v>37311</v>
      </c>
      <c r="H73" t="s">
        <v>78</v>
      </c>
      <c r="I73" t="s">
        <v>143</v>
      </c>
      <c r="J73" t="s">
        <v>17</v>
      </c>
      <c r="L73" t="s">
        <v>19</v>
      </c>
      <c r="M73" s="17" t="str">
        <f t="shared" si="4"/>
        <v>Currper</v>
      </c>
      <c r="N73" s="133" t="str">
        <f t="shared" ref="N73:N102" si="6">IF(VALUE(L73) = VALUE(O73), "P", "F")</f>
        <v>P</v>
      </c>
      <c r="O73" s="3" t="str">
        <f t="shared" ref="O73:O102" si="7">IF(B73="Currper",I73,IF(B73="prevPer",(IF((I73-1) &lt; 1, 13, I73 - 1)),IF(B73="NextPer",(IF((I73+1) &gt; 13, 1, I73 + 1)),"Failed")))</f>
        <v>02</v>
      </c>
    </row>
    <row r="74" spans="1:15" ht="15.75" x14ac:dyDescent="0.25">
      <c r="A74" s="1">
        <f t="shared" ca="1" si="5"/>
        <v>44519</v>
      </c>
      <c r="B74" s="3" t="s">
        <v>139</v>
      </c>
      <c r="C74" s="57" t="s">
        <v>138</v>
      </c>
      <c r="F74" s="1">
        <v>39839</v>
      </c>
      <c r="G74" s="1">
        <v>39866</v>
      </c>
      <c r="H74" t="s">
        <v>89</v>
      </c>
      <c r="I74" t="s">
        <v>143</v>
      </c>
      <c r="J74" t="s">
        <v>17</v>
      </c>
      <c r="L74" t="s">
        <v>19</v>
      </c>
      <c r="M74" s="17" t="str">
        <f t="shared" si="4"/>
        <v>Currper</v>
      </c>
      <c r="N74" s="133" t="str">
        <f t="shared" si="6"/>
        <v>P</v>
      </c>
      <c r="O74" s="3" t="str">
        <f t="shared" si="7"/>
        <v>02</v>
      </c>
    </row>
    <row r="75" spans="1:15" ht="15.75" x14ac:dyDescent="0.25">
      <c r="A75" s="1">
        <f t="shared" ca="1" si="5"/>
        <v>46211</v>
      </c>
      <c r="B75" s="3" t="s">
        <v>139</v>
      </c>
      <c r="C75" s="57" t="s">
        <v>138</v>
      </c>
      <c r="F75" s="1">
        <v>45320</v>
      </c>
      <c r="G75" s="1">
        <v>45347</v>
      </c>
      <c r="H75" t="s">
        <v>56</v>
      </c>
      <c r="I75" t="s">
        <v>143</v>
      </c>
      <c r="J75" t="s">
        <v>17</v>
      </c>
      <c r="L75" t="s">
        <v>19</v>
      </c>
      <c r="M75" s="17" t="str">
        <f t="shared" si="4"/>
        <v>Currper</v>
      </c>
      <c r="N75" s="133" t="str">
        <f t="shared" si="6"/>
        <v>P</v>
      </c>
      <c r="O75" s="3" t="str">
        <f t="shared" si="7"/>
        <v>02</v>
      </c>
    </row>
    <row r="76" spans="1:15" ht="15.75" x14ac:dyDescent="0.25">
      <c r="A76" s="1">
        <f t="shared" ca="1" si="5"/>
        <v>40921</v>
      </c>
      <c r="B76" s="3" t="s">
        <v>139</v>
      </c>
      <c r="C76" s="57" t="s">
        <v>138</v>
      </c>
      <c r="F76" s="1">
        <v>42310</v>
      </c>
      <c r="G76" s="1">
        <v>42337</v>
      </c>
      <c r="H76" t="s">
        <v>93</v>
      </c>
      <c r="I76" t="s">
        <v>13</v>
      </c>
      <c r="J76" t="s">
        <v>12</v>
      </c>
      <c r="L76" t="s">
        <v>13</v>
      </c>
      <c r="M76" s="17" t="str">
        <f t="shared" si="4"/>
        <v>Currper</v>
      </c>
      <c r="N76" s="133" t="str">
        <f t="shared" si="6"/>
        <v>P</v>
      </c>
      <c r="O76" s="3" t="str">
        <f t="shared" si="7"/>
        <v>12</v>
      </c>
    </row>
    <row r="77" spans="1:15" ht="15.75" x14ac:dyDescent="0.25">
      <c r="A77" s="1">
        <f t="shared" ca="1" si="5"/>
        <v>40236</v>
      </c>
      <c r="B77" s="3" t="s">
        <v>139</v>
      </c>
      <c r="C77" s="57" t="s">
        <v>138</v>
      </c>
      <c r="F77" s="1">
        <v>44389</v>
      </c>
      <c r="G77" s="1">
        <v>44416</v>
      </c>
      <c r="H77" t="s">
        <v>74</v>
      </c>
      <c r="I77" t="s">
        <v>148</v>
      </c>
      <c r="J77" t="s">
        <v>54</v>
      </c>
      <c r="L77" t="s">
        <v>149</v>
      </c>
      <c r="M77" s="17" t="str">
        <f t="shared" si="4"/>
        <v>Currper</v>
      </c>
      <c r="N77" s="133" t="str">
        <f t="shared" si="6"/>
        <v>P</v>
      </c>
      <c r="O77" s="3" t="str">
        <f t="shared" si="7"/>
        <v>08</v>
      </c>
    </row>
    <row r="78" spans="1:15" ht="15.75" x14ac:dyDescent="0.25">
      <c r="A78" s="1">
        <f t="shared" ca="1" si="5"/>
        <v>42014</v>
      </c>
      <c r="B78" s="3" t="s">
        <v>139</v>
      </c>
      <c r="C78" s="57" t="s">
        <v>138</v>
      </c>
      <c r="F78" s="1">
        <v>39223</v>
      </c>
      <c r="G78" s="1">
        <v>39250</v>
      </c>
      <c r="H78" t="s">
        <v>87</v>
      </c>
      <c r="I78" t="s">
        <v>146</v>
      </c>
      <c r="J78" t="s">
        <v>143</v>
      </c>
      <c r="L78" t="s">
        <v>145</v>
      </c>
      <c r="M78" s="17" t="str">
        <f t="shared" si="4"/>
        <v>Currper</v>
      </c>
      <c r="N78" s="133" t="str">
        <f t="shared" si="6"/>
        <v>P</v>
      </c>
      <c r="O78" s="3" t="str">
        <f t="shared" si="7"/>
        <v>06</v>
      </c>
    </row>
    <row r="79" spans="1:15" ht="15.75" x14ac:dyDescent="0.25">
      <c r="A79" s="1">
        <f t="shared" ca="1" si="5"/>
        <v>46304</v>
      </c>
      <c r="B79" s="3" t="s">
        <v>139</v>
      </c>
      <c r="C79" s="57" t="s">
        <v>138</v>
      </c>
      <c r="F79" s="1">
        <v>47000</v>
      </c>
      <c r="G79" s="1">
        <v>47027</v>
      </c>
      <c r="H79" t="s">
        <v>103</v>
      </c>
      <c r="I79" t="s">
        <v>144</v>
      </c>
      <c r="J79" t="s">
        <v>54</v>
      </c>
      <c r="L79" t="s">
        <v>144</v>
      </c>
      <c r="M79" s="17" t="str">
        <f t="shared" si="4"/>
        <v>Currper</v>
      </c>
      <c r="N79" s="133" t="str">
        <f t="shared" si="6"/>
        <v>P</v>
      </c>
      <c r="O79" s="3" t="str">
        <f t="shared" si="7"/>
        <v>10</v>
      </c>
    </row>
    <row r="80" spans="1:15" ht="15.75" x14ac:dyDescent="0.25">
      <c r="A80" s="1">
        <f t="shared" ca="1" si="5"/>
        <v>43443</v>
      </c>
      <c r="B80" s="3" t="s">
        <v>139</v>
      </c>
      <c r="C80" s="57" t="s">
        <v>138</v>
      </c>
      <c r="F80" s="1">
        <v>45089</v>
      </c>
      <c r="G80" s="1">
        <v>45116</v>
      </c>
      <c r="H80" t="s">
        <v>96</v>
      </c>
      <c r="I80" t="s">
        <v>151</v>
      </c>
      <c r="J80" t="s">
        <v>143</v>
      </c>
      <c r="L80" t="s">
        <v>147</v>
      </c>
      <c r="M80" s="17" t="str">
        <f t="shared" si="4"/>
        <v>Currper</v>
      </c>
      <c r="N80" s="133" t="str">
        <f t="shared" si="6"/>
        <v>P</v>
      </c>
      <c r="O80" s="3" t="str">
        <f t="shared" si="7"/>
        <v>07</v>
      </c>
    </row>
    <row r="81" spans="1:15" ht="15.75" x14ac:dyDescent="0.25">
      <c r="A81" s="1">
        <f t="shared" ca="1" si="5"/>
        <v>39243</v>
      </c>
      <c r="B81" s="3" t="s">
        <v>139</v>
      </c>
      <c r="C81" s="57" t="s">
        <v>138</v>
      </c>
      <c r="F81" s="1">
        <v>37032</v>
      </c>
      <c r="G81" s="1">
        <v>37059</v>
      </c>
      <c r="H81" t="s">
        <v>77</v>
      </c>
      <c r="I81" t="s">
        <v>146</v>
      </c>
      <c r="J81" t="s">
        <v>143</v>
      </c>
      <c r="L81" t="s">
        <v>145</v>
      </c>
      <c r="M81" s="17" t="str">
        <f t="shared" si="4"/>
        <v>Currper</v>
      </c>
      <c r="N81" s="133" t="str">
        <f t="shared" si="6"/>
        <v>P</v>
      </c>
      <c r="O81" s="3" t="str">
        <f t="shared" si="7"/>
        <v>06</v>
      </c>
    </row>
    <row r="82" spans="1:15" ht="15.75" x14ac:dyDescent="0.25">
      <c r="A82" s="1">
        <f t="shared" ca="1" si="5"/>
        <v>38879</v>
      </c>
      <c r="B82" s="3" t="s">
        <v>139</v>
      </c>
      <c r="C82" s="57" t="s">
        <v>138</v>
      </c>
      <c r="F82" s="1">
        <v>41330</v>
      </c>
      <c r="G82" s="1">
        <v>41357</v>
      </c>
      <c r="H82" t="s">
        <v>67</v>
      </c>
      <c r="I82" t="s">
        <v>54</v>
      </c>
      <c r="J82" t="s">
        <v>17</v>
      </c>
      <c r="L82" t="s">
        <v>23</v>
      </c>
      <c r="M82" s="17" t="str">
        <f t="shared" si="4"/>
        <v>Currper</v>
      </c>
      <c r="N82" s="133" t="str">
        <f t="shared" si="6"/>
        <v>P</v>
      </c>
      <c r="O82" s="3" t="str">
        <f t="shared" si="7"/>
        <v>03</v>
      </c>
    </row>
    <row r="83" spans="1:15" ht="15.75" x14ac:dyDescent="0.25">
      <c r="A83" s="1">
        <f t="shared" ca="1" si="5"/>
        <v>44973</v>
      </c>
      <c r="B83" s="3" t="s">
        <v>134</v>
      </c>
      <c r="C83" s="57" t="s">
        <v>138</v>
      </c>
      <c r="F83" s="1">
        <v>38600</v>
      </c>
      <c r="G83" s="1">
        <v>38627</v>
      </c>
      <c r="H83" t="s">
        <v>84</v>
      </c>
      <c r="I83" t="s">
        <v>144</v>
      </c>
      <c r="J83" t="s">
        <v>54</v>
      </c>
      <c r="L83" t="s">
        <v>140</v>
      </c>
      <c r="M83" s="17" t="str">
        <f t="shared" si="4"/>
        <v>prevPer</v>
      </c>
      <c r="N83" s="133" t="str">
        <f t="shared" si="6"/>
        <v>P</v>
      </c>
      <c r="O83" s="3">
        <f t="shared" si="7"/>
        <v>9</v>
      </c>
    </row>
    <row r="84" spans="1:15" ht="15.75" x14ac:dyDescent="0.25">
      <c r="A84" s="1">
        <f t="shared" ca="1" si="5"/>
        <v>41217</v>
      </c>
      <c r="B84" s="3" t="s">
        <v>134</v>
      </c>
      <c r="C84" s="57" t="s">
        <v>138</v>
      </c>
      <c r="F84" s="1">
        <v>37816</v>
      </c>
      <c r="G84" s="1">
        <v>37843</v>
      </c>
      <c r="H84" t="s">
        <v>80</v>
      </c>
      <c r="I84" t="s">
        <v>148</v>
      </c>
      <c r="J84" t="s">
        <v>54</v>
      </c>
      <c r="L84" t="s">
        <v>147</v>
      </c>
      <c r="M84" s="17" t="str">
        <f t="shared" si="4"/>
        <v>prevPer</v>
      </c>
      <c r="N84" s="133" t="str">
        <f t="shared" si="6"/>
        <v>P</v>
      </c>
      <c r="O84" s="3">
        <f t="shared" si="7"/>
        <v>7</v>
      </c>
    </row>
    <row r="85" spans="1:15" ht="15.75" x14ac:dyDescent="0.25">
      <c r="A85" s="1">
        <f t="shared" ca="1" si="5"/>
        <v>37309</v>
      </c>
      <c r="B85" s="3" t="s">
        <v>134</v>
      </c>
      <c r="C85" s="57" t="s">
        <v>138</v>
      </c>
      <c r="F85" s="1">
        <v>42590</v>
      </c>
      <c r="G85" s="1">
        <v>42617</v>
      </c>
      <c r="H85" t="s">
        <v>16</v>
      </c>
      <c r="I85" t="s">
        <v>141</v>
      </c>
      <c r="J85" t="s">
        <v>54</v>
      </c>
      <c r="L85" t="s">
        <v>149</v>
      </c>
      <c r="M85" s="17" t="str">
        <f t="shared" si="4"/>
        <v>prevPer</v>
      </c>
      <c r="N85" s="133" t="str">
        <f t="shared" si="6"/>
        <v>P</v>
      </c>
      <c r="O85" s="3">
        <f t="shared" si="7"/>
        <v>8</v>
      </c>
    </row>
    <row r="86" spans="1:15" ht="15.75" x14ac:dyDescent="0.25">
      <c r="A86" s="1">
        <f t="shared" ca="1" si="5"/>
        <v>41126</v>
      </c>
      <c r="B86" s="3" t="s">
        <v>134</v>
      </c>
      <c r="C86" s="57" t="s">
        <v>138</v>
      </c>
      <c r="F86" s="1">
        <v>39671</v>
      </c>
      <c r="G86" s="1">
        <v>39698</v>
      </c>
      <c r="H86" t="s">
        <v>88</v>
      </c>
      <c r="I86" t="s">
        <v>141</v>
      </c>
      <c r="J86" t="s">
        <v>54</v>
      </c>
      <c r="L86" t="s">
        <v>149</v>
      </c>
      <c r="M86" s="17" t="str">
        <f t="shared" si="4"/>
        <v>prevPer</v>
      </c>
      <c r="N86" s="133" t="str">
        <f t="shared" si="6"/>
        <v>P</v>
      </c>
      <c r="O86" s="3">
        <f t="shared" si="7"/>
        <v>8</v>
      </c>
    </row>
    <row r="87" spans="1:15" ht="15.75" x14ac:dyDescent="0.25">
      <c r="A87" s="1">
        <f t="shared" ca="1" si="5"/>
        <v>40495</v>
      </c>
      <c r="B87" s="3" t="s">
        <v>134</v>
      </c>
      <c r="C87" s="57" t="s">
        <v>138</v>
      </c>
      <c r="F87" s="1">
        <v>46804</v>
      </c>
      <c r="G87" s="1">
        <v>46831</v>
      </c>
      <c r="H87" t="s">
        <v>103</v>
      </c>
      <c r="I87" t="s">
        <v>54</v>
      </c>
      <c r="J87" t="s">
        <v>17</v>
      </c>
      <c r="L87" t="s">
        <v>19</v>
      </c>
      <c r="M87" s="17" t="str">
        <f t="shared" si="4"/>
        <v>prevPer</v>
      </c>
      <c r="N87" s="133" t="str">
        <f t="shared" si="6"/>
        <v>P</v>
      </c>
      <c r="O87" s="3">
        <f t="shared" si="7"/>
        <v>2</v>
      </c>
    </row>
    <row r="88" spans="1:15" ht="15.75" x14ac:dyDescent="0.25">
      <c r="A88" s="1">
        <f t="shared" ca="1" si="5"/>
        <v>38351</v>
      </c>
      <c r="B88" s="3" t="s">
        <v>134</v>
      </c>
      <c r="C88" s="57" t="s">
        <v>138</v>
      </c>
      <c r="F88" s="1">
        <v>39167</v>
      </c>
      <c r="G88" s="1">
        <v>39194</v>
      </c>
      <c r="H88" t="s">
        <v>87</v>
      </c>
      <c r="I88" t="s">
        <v>12</v>
      </c>
      <c r="J88" t="s">
        <v>17</v>
      </c>
      <c r="L88" t="s">
        <v>23</v>
      </c>
      <c r="M88" s="17" t="str">
        <f t="shared" si="4"/>
        <v>prevPer</v>
      </c>
      <c r="N88" s="133" t="str">
        <f t="shared" si="6"/>
        <v>P</v>
      </c>
      <c r="O88" s="3">
        <f t="shared" si="7"/>
        <v>3</v>
      </c>
    </row>
    <row r="89" spans="1:15" ht="15.75" x14ac:dyDescent="0.25">
      <c r="A89" s="1">
        <f t="shared" ca="1" si="5"/>
        <v>40280</v>
      </c>
      <c r="B89" s="3" t="s">
        <v>134</v>
      </c>
      <c r="C89" s="57" t="s">
        <v>138</v>
      </c>
      <c r="F89" s="1">
        <v>44809</v>
      </c>
      <c r="G89" s="1">
        <v>44836</v>
      </c>
      <c r="H89" t="s">
        <v>95</v>
      </c>
      <c r="I89" t="s">
        <v>144</v>
      </c>
      <c r="J89" t="s">
        <v>54</v>
      </c>
      <c r="L89" t="s">
        <v>140</v>
      </c>
      <c r="M89" s="17" t="str">
        <f t="shared" si="4"/>
        <v>prevPer</v>
      </c>
      <c r="N89" s="133" t="str">
        <f t="shared" si="6"/>
        <v>P</v>
      </c>
      <c r="O89" s="3">
        <f t="shared" si="7"/>
        <v>9</v>
      </c>
    </row>
    <row r="90" spans="1:15" ht="15.75" x14ac:dyDescent="0.25">
      <c r="A90" s="1">
        <f t="shared" ca="1" si="5"/>
        <v>47365</v>
      </c>
      <c r="B90" s="3" t="s">
        <v>134</v>
      </c>
      <c r="C90" s="57" t="s">
        <v>138</v>
      </c>
      <c r="F90" s="1">
        <v>39363</v>
      </c>
      <c r="G90" s="1">
        <v>39390</v>
      </c>
      <c r="H90" t="s">
        <v>87</v>
      </c>
      <c r="I90" t="s">
        <v>150</v>
      </c>
      <c r="J90" t="s">
        <v>12</v>
      </c>
      <c r="L90" t="s">
        <v>144</v>
      </c>
      <c r="M90" s="17" t="str">
        <f t="shared" si="4"/>
        <v>prevPer</v>
      </c>
      <c r="N90" s="133" t="str">
        <f t="shared" si="6"/>
        <v>P</v>
      </c>
      <c r="O90" s="3">
        <f t="shared" si="7"/>
        <v>10</v>
      </c>
    </row>
    <row r="91" spans="1:15" ht="15.75" x14ac:dyDescent="0.25">
      <c r="A91" s="1">
        <f t="shared" ca="1" si="5"/>
        <v>42171</v>
      </c>
      <c r="B91" s="3" t="s">
        <v>136</v>
      </c>
      <c r="C91" s="57" t="s">
        <v>138</v>
      </c>
      <c r="F91" s="1">
        <v>42674</v>
      </c>
      <c r="G91" s="1">
        <v>42701</v>
      </c>
      <c r="H91" t="s">
        <v>16</v>
      </c>
      <c r="I91" t="s">
        <v>13</v>
      </c>
      <c r="J91" t="s">
        <v>12</v>
      </c>
      <c r="L91" t="s">
        <v>14</v>
      </c>
      <c r="M91" s="17" t="str">
        <f t="shared" si="4"/>
        <v>NextPer</v>
      </c>
      <c r="N91" s="133" t="str">
        <f t="shared" si="6"/>
        <v>P</v>
      </c>
      <c r="O91" s="3">
        <f t="shared" si="7"/>
        <v>13</v>
      </c>
    </row>
    <row r="92" spans="1:15" ht="15.75" x14ac:dyDescent="0.25">
      <c r="A92" s="1">
        <f t="shared" ca="1" si="5"/>
        <v>43225</v>
      </c>
      <c r="B92" s="3" t="s">
        <v>136</v>
      </c>
      <c r="C92" s="57" t="s">
        <v>138</v>
      </c>
      <c r="F92" s="1">
        <v>46496</v>
      </c>
      <c r="G92" s="1">
        <v>46523</v>
      </c>
      <c r="H92" t="s">
        <v>101</v>
      </c>
      <c r="I92" t="s">
        <v>142</v>
      </c>
      <c r="J92" t="s">
        <v>143</v>
      </c>
      <c r="L92" t="s">
        <v>145</v>
      </c>
      <c r="M92" s="17" t="str">
        <f t="shared" si="4"/>
        <v>NextPer</v>
      </c>
      <c r="N92" s="133" t="str">
        <f t="shared" si="6"/>
        <v>P</v>
      </c>
      <c r="O92" s="3">
        <f t="shared" si="7"/>
        <v>6</v>
      </c>
    </row>
    <row r="93" spans="1:15" ht="15.75" x14ac:dyDescent="0.25">
      <c r="A93" s="1">
        <f t="shared" ca="1" si="5"/>
        <v>45921</v>
      </c>
      <c r="B93" s="3" t="s">
        <v>136</v>
      </c>
      <c r="C93" s="57" t="s">
        <v>138</v>
      </c>
      <c r="F93" s="1">
        <v>37228</v>
      </c>
      <c r="G93" s="1">
        <v>37255</v>
      </c>
      <c r="H93" t="s">
        <v>77</v>
      </c>
      <c r="I93" t="s">
        <v>14</v>
      </c>
      <c r="J93" t="s">
        <v>12</v>
      </c>
      <c r="L93" t="s">
        <v>15</v>
      </c>
      <c r="M93" s="17" t="str">
        <f t="shared" si="4"/>
        <v>NextPer</v>
      </c>
      <c r="N93" s="133" t="str">
        <f t="shared" si="6"/>
        <v>P</v>
      </c>
      <c r="O93" s="3">
        <f t="shared" si="7"/>
        <v>1</v>
      </c>
    </row>
    <row r="94" spans="1:15" ht="15.75" x14ac:dyDescent="0.25">
      <c r="A94" s="1">
        <f t="shared" ca="1" si="5"/>
        <v>46356</v>
      </c>
      <c r="B94" s="3" t="s">
        <v>136</v>
      </c>
      <c r="C94" s="57" t="s">
        <v>138</v>
      </c>
      <c r="F94" s="1">
        <v>40567</v>
      </c>
      <c r="G94" s="1">
        <v>40594</v>
      </c>
      <c r="H94" t="s">
        <v>91</v>
      </c>
      <c r="I94" t="s">
        <v>143</v>
      </c>
      <c r="J94" t="s">
        <v>17</v>
      </c>
      <c r="L94" t="s">
        <v>23</v>
      </c>
      <c r="M94" s="17" t="str">
        <f t="shared" si="4"/>
        <v>NextPer</v>
      </c>
      <c r="N94" s="133" t="str">
        <f t="shared" si="6"/>
        <v>P</v>
      </c>
      <c r="O94" s="3">
        <f t="shared" si="7"/>
        <v>3</v>
      </c>
    </row>
    <row r="95" spans="1:15" ht="15.75" x14ac:dyDescent="0.25">
      <c r="A95" s="1">
        <f t="shared" ca="1" si="5"/>
        <v>44141</v>
      </c>
      <c r="B95" s="3" t="s">
        <v>136</v>
      </c>
      <c r="C95" s="57" t="s">
        <v>138</v>
      </c>
      <c r="F95" s="1">
        <v>36920</v>
      </c>
      <c r="G95" s="1">
        <v>36947</v>
      </c>
      <c r="H95" t="s">
        <v>77</v>
      </c>
      <c r="I95" t="s">
        <v>143</v>
      </c>
      <c r="J95" t="s">
        <v>17</v>
      </c>
      <c r="L95" t="s">
        <v>23</v>
      </c>
      <c r="M95" s="17" t="str">
        <f t="shared" si="4"/>
        <v>NextPer</v>
      </c>
      <c r="N95" s="133" t="str">
        <f t="shared" si="6"/>
        <v>P</v>
      </c>
      <c r="O95" s="3">
        <f t="shared" si="7"/>
        <v>3</v>
      </c>
    </row>
    <row r="96" spans="1:15" ht="15.75" x14ac:dyDescent="0.25">
      <c r="A96" s="1">
        <f t="shared" ca="1" si="5"/>
        <v>38986</v>
      </c>
      <c r="B96" s="3" t="s">
        <v>136</v>
      </c>
      <c r="C96" s="57" t="s">
        <v>138</v>
      </c>
      <c r="F96" s="1">
        <v>46860</v>
      </c>
      <c r="G96" s="1">
        <v>46887</v>
      </c>
      <c r="H96" t="s">
        <v>103</v>
      </c>
      <c r="I96" t="s">
        <v>142</v>
      </c>
      <c r="J96" t="s">
        <v>143</v>
      </c>
      <c r="L96" t="s">
        <v>145</v>
      </c>
      <c r="M96" s="17" t="str">
        <f t="shared" si="4"/>
        <v>NextPer</v>
      </c>
      <c r="N96" s="133" t="str">
        <f t="shared" si="6"/>
        <v>P</v>
      </c>
      <c r="O96" s="3">
        <f t="shared" si="7"/>
        <v>6</v>
      </c>
    </row>
    <row r="97" spans="1:15" ht="15.75" x14ac:dyDescent="0.25">
      <c r="A97" s="1">
        <f t="shared" ca="1" si="5"/>
        <v>47158</v>
      </c>
      <c r="B97" s="3" t="s">
        <v>136</v>
      </c>
      <c r="C97" s="57" t="s">
        <v>138</v>
      </c>
      <c r="F97" s="1">
        <v>44585</v>
      </c>
      <c r="G97" s="1">
        <v>44612</v>
      </c>
      <c r="H97" t="s">
        <v>95</v>
      </c>
      <c r="I97" t="s">
        <v>143</v>
      </c>
      <c r="J97" t="s">
        <v>17</v>
      </c>
      <c r="L97" t="s">
        <v>23</v>
      </c>
      <c r="M97" s="17" t="str">
        <f t="shared" si="4"/>
        <v>NextPer</v>
      </c>
      <c r="N97" s="133" t="str">
        <f t="shared" si="6"/>
        <v>P</v>
      </c>
      <c r="O97" s="3">
        <f t="shared" si="7"/>
        <v>3</v>
      </c>
    </row>
    <row r="98" spans="1:15" ht="15.75" x14ac:dyDescent="0.25">
      <c r="A98" s="1">
        <f t="shared" ca="1" si="5"/>
        <v>45214</v>
      </c>
      <c r="B98" s="3" t="s">
        <v>136</v>
      </c>
      <c r="C98" s="57" t="s">
        <v>138</v>
      </c>
      <c r="F98" s="1">
        <v>40203</v>
      </c>
      <c r="G98" s="1">
        <v>40230</v>
      </c>
      <c r="H98" t="s">
        <v>90</v>
      </c>
      <c r="I98" t="s">
        <v>143</v>
      </c>
      <c r="J98" t="s">
        <v>17</v>
      </c>
      <c r="L98" t="s">
        <v>23</v>
      </c>
      <c r="M98" s="17" t="str">
        <f t="shared" ref="M98:M102" si="8">B98</f>
        <v>NextPer</v>
      </c>
      <c r="N98" s="133" t="str">
        <f t="shared" si="6"/>
        <v>P</v>
      </c>
      <c r="O98" s="3">
        <f t="shared" si="7"/>
        <v>3</v>
      </c>
    </row>
    <row r="99" spans="1:15" ht="15.75" x14ac:dyDescent="0.25">
      <c r="A99" s="1">
        <f t="shared" ca="1" si="5"/>
        <v>39936</v>
      </c>
      <c r="B99" s="3" t="s">
        <v>136</v>
      </c>
      <c r="C99" s="57" t="s">
        <v>138</v>
      </c>
      <c r="F99" s="1">
        <v>36920</v>
      </c>
      <c r="G99" s="1">
        <v>36947</v>
      </c>
      <c r="H99" t="s">
        <v>77</v>
      </c>
      <c r="I99" t="s">
        <v>143</v>
      </c>
      <c r="J99" t="s">
        <v>17</v>
      </c>
      <c r="L99" t="s">
        <v>23</v>
      </c>
      <c r="M99" s="17" t="str">
        <f t="shared" si="8"/>
        <v>NextPer</v>
      </c>
      <c r="N99" s="133" t="str">
        <f t="shared" si="6"/>
        <v>P</v>
      </c>
      <c r="O99" s="3">
        <f t="shared" si="7"/>
        <v>3</v>
      </c>
    </row>
    <row r="100" spans="1:15" ht="15.75" x14ac:dyDescent="0.25">
      <c r="A100" s="1">
        <f t="shared" ca="1" si="5"/>
        <v>38355</v>
      </c>
      <c r="B100" s="3" t="s">
        <v>136</v>
      </c>
      <c r="C100" s="57" t="s">
        <v>138</v>
      </c>
      <c r="F100" s="1">
        <v>37788</v>
      </c>
      <c r="G100" s="1">
        <v>37815</v>
      </c>
      <c r="H100" t="s">
        <v>80</v>
      </c>
      <c r="I100" t="s">
        <v>151</v>
      </c>
      <c r="J100" t="s">
        <v>143</v>
      </c>
      <c r="L100" t="s">
        <v>149</v>
      </c>
      <c r="M100" s="17" t="str">
        <f t="shared" si="8"/>
        <v>NextPer</v>
      </c>
      <c r="N100" s="133" t="str">
        <f t="shared" si="6"/>
        <v>P</v>
      </c>
      <c r="O100" s="3">
        <f t="shared" si="7"/>
        <v>8</v>
      </c>
    </row>
    <row r="101" spans="1:15" ht="15.75" x14ac:dyDescent="0.25">
      <c r="A101" s="1">
        <f t="shared" ca="1" si="5"/>
        <v>42851</v>
      </c>
      <c r="B101" s="3" t="s">
        <v>136</v>
      </c>
      <c r="C101" s="57" t="s">
        <v>138</v>
      </c>
      <c r="F101" s="1">
        <v>42562</v>
      </c>
      <c r="G101" s="1">
        <v>42589</v>
      </c>
      <c r="H101" t="s">
        <v>16</v>
      </c>
      <c r="I101" t="s">
        <v>148</v>
      </c>
      <c r="J101" t="s">
        <v>54</v>
      </c>
      <c r="L101" t="s">
        <v>140</v>
      </c>
      <c r="M101" s="17" t="str">
        <f t="shared" si="8"/>
        <v>NextPer</v>
      </c>
      <c r="N101" s="133" t="str">
        <f t="shared" si="6"/>
        <v>P</v>
      </c>
      <c r="O101" s="3">
        <f t="shared" si="7"/>
        <v>9</v>
      </c>
    </row>
    <row r="102" spans="1:15" ht="15.75" x14ac:dyDescent="0.25">
      <c r="A102" s="1">
        <f t="shared" ca="1" si="5"/>
        <v>44547</v>
      </c>
      <c r="B102" s="3" t="s">
        <v>136</v>
      </c>
      <c r="C102" s="57" t="s">
        <v>138</v>
      </c>
      <c r="F102" s="1">
        <v>41666</v>
      </c>
      <c r="G102" s="1">
        <v>41693</v>
      </c>
      <c r="H102" t="s">
        <v>92</v>
      </c>
      <c r="I102" t="s">
        <v>143</v>
      </c>
      <c r="J102" t="s">
        <v>17</v>
      </c>
      <c r="L102" t="s">
        <v>23</v>
      </c>
      <c r="M102" s="17" t="str">
        <f t="shared" si="8"/>
        <v>NextPer</v>
      </c>
      <c r="N102" s="133" t="str">
        <f t="shared" si="6"/>
        <v>P</v>
      </c>
      <c r="O102" s="3">
        <f t="shared" si="7"/>
        <v>3</v>
      </c>
    </row>
    <row r="103" spans="1:15" x14ac:dyDescent="0.25">
      <c r="A103" s="1"/>
      <c r="B103" s="3"/>
      <c r="F103" s="1"/>
      <c r="G103" s="1"/>
    </row>
    <row r="104" spans="1:15" x14ac:dyDescent="0.25">
      <c r="A104" s="1"/>
      <c r="B104" s="3"/>
      <c r="F104" s="1"/>
      <c r="G104" s="1"/>
    </row>
    <row r="105" spans="1:15" x14ac:dyDescent="0.25">
      <c r="A105" s="1"/>
      <c r="B105" s="3"/>
      <c r="F105" s="1"/>
      <c r="G105" s="1"/>
    </row>
    <row r="106" spans="1:15" x14ac:dyDescent="0.25">
      <c r="A106" s="1"/>
      <c r="B106" s="3"/>
      <c r="F106" s="1"/>
      <c r="G106" s="1"/>
    </row>
    <row r="107" spans="1:15" x14ac:dyDescent="0.25">
      <c r="A107" s="1"/>
      <c r="B107" s="3"/>
      <c r="F107" s="1"/>
      <c r="G107" s="1"/>
    </row>
    <row r="108" spans="1:15" x14ac:dyDescent="0.25">
      <c r="A108" s="1"/>
      <c r="B108" s="3"/>
      <c r="F108" s="1"/>
      <c r="G108" s="1"/>
    </row>
    <row r="109" spans="1:15" x14ac:dyDescent="0.25">
      <c r="A109" s="1"/>
      <c r="B109" s="3"/>
      <c r="F109" s="1"/>
      <c r="G109" s="1"/>
    </row>
    <row r="110" spans="1:15" x14ac:dyDescent="0.25">
      <c r="A110" s="1"/>
      <c r="B110" s="3"/>
      <c r="F110" s="1"/>
      <c r="G110" s="1"/>
    </row>
    <row r="111" spans="1:15" x14ac:dyDescent="0.25">
      <c r="A111" s="1"/>
      <c r="B111" s="3"/>
      <c r="F111" s="1"/>
      <c r="G111" s="1"/>
    </row>
    <row r="112" spans="1:15" x14ac:dyDescent="0.25">
      <c r="A112" s="1"/>
      <c r="B112" s="3"/>
      <c r="F112" s="1"/>
      <c r="G112" s="1"/>
    </row>
    <row r="113" spans="1:7" x14ac:dyDescent="0.25">
      <c r="A113" s="1"/>
      <c r="B113" s="3"/>
      <c r="F113" s="1"/>
      <c r="G113" s="1"/>
    </row>
    <row r="114" spans="1:7" x14ac:dyDescent="0.25">
      <c r="A114" s="1"/>
      <c r="B114" s="3"/>
      <c r="F114" s="1"/>
      <c r="G114" s="1"/>
    </row>
    <row r="115" spans="1:7" x14ac:dyDescent="0.25">
      <c r="A115" s="1"/>
      <c r="B115" s="3"/>
      <c r="F115" s="1"/>
      <c r="G115" s="1"/>
    </row>
    <row r="116" spans="1:7" x14ac:dyDescent="0.25">
      <c r="A116" s="1"/>
      <c r="B116" s="3"/>
      <c r="F116" s="1"/>
      <c r="G116" s="1"/>
    </row>
    <row r="117" spans="1:7" x14ac:dyDescent="0.25">
      <c r="A117" s="1"/>
      <c r="B117" s="1"/>
      <c r="F117" s="1"/>
      <c r="G117" s="1"/>
    </row>
    <row r="118" spans="1:7" x14ac:dyDescent="0.25">
      <c r="A118" s="1"/>
      <c r="B118" s="1"/>
      <c r="F118" s="1"/>
      <c r="G118" s="1"/>
    </row>
    <row r="119" spans="1:7" x14ac:dyDescent="0.25">
      <c r="A119" s="1"/>
      <c r="B119" s="1"/>
      <c r="F119" s="1"/>
      <c r="G119" s="1"/>
    </row>
    <row r="120" spans="1:7" x14ac:dyDescent="0.25">
      <c r="A120" s="1"/>
      <c r="B120" s="1"/>
      <c r="F120" s="1"/>
      <c r="G120" s="1"/>
    </row>
    <row r="121" spans="1:7" x14ac:dyDescent="0.25">
      <c r="A121" s="1"/>
      <c r="B121" s="1"/>
      <c r="F121" s="1"/>
      <c r="G121" s="1"/>
    </row>
    <row r="122" spans="1:7" x14ac:dyDescent="0.25">
      <c r="A122" s="1"/>
      <c r="B122" s="1"/>
      <c r="F122" s="1"/>
      <c r="G122" s="1"/>
    </row>
    <row r="123" spans="1:7" x14ac:dyDescent="0.25">
      <c r="A123" s="1"/>
      <c r="B123" s="1"/>
      <c r="F123" s="1"/>
      <c r="G123" s="1"/>
    </row>
    <row r="124" spans="1:7" x14ac:dyDescent="0.25">
      <c r="A124" s="1"/>
      <c r="B124" s="1"/>
      <c r="F124" s="1"/>
      <c r="G124" s="1"/>
    </row>
    <row r="125" spans="1:7" x14ac:dyDescent="0.25">
      <c r="A125" s="1"/>
      <c r="B125" s="1"/>
      <c r="F125" s="1"/>
      <c r="G125" s="1"/>
    </row>
    <row r="126" spans="1:7" x14ac:dyDescent="0.25">
      <c r="A126" s="1"/>
      <c r="B126" s="1"/>
      <c r="F126" s="1"/>
      <c r="G126" s="1"/>
    </row>
    <row r="127" spans="1:7" x14ac:dyDescent="0.25">
      <c r="A127" s="1"/>
      <c r="B127" s="1"/>
      <c r="F127" s="1"/>
      <c r="G127" s="1"/>
    </row>
    <row r="128" spans="1:7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G379" s="1"/>
    </row>
    <row r="380" spans="1:7" x14ac:dyDescent="0.25">
      <c r="A380" s="1"/>
      <c r="B380" s="1"/>
      <c r="G380" s="1"/>
    </row>
    <row r="381" spans="1:7" x14ac:dyDescent="0.25">
      <c r="A381" s="1"/>
      <c r="B381" s="1"/>
      <c r="G381" s="1"/>
    </row>
    <row r="382" spans="1:7" x14ac:dyDescent="0.25">
      <c r="A382" s="1"/>
      <c r="B382" s="1"/>
    </row>
    <row r="383" spans="1:7" x14ac:dyDescent="0.25">
      <c r="A383" s="1"/>
      <c r="B383" s="1"/>
    </row>
    <row r="384" spans="1:7" x14ac:dyDescent="0.25">
      <c r="A384" s="1"/>
      <c r="B384" s="1"/>
    </row>
    <row r="385" spans="1:2" x14ac:dyDescent="0.25">
      <c r="A385" s="1"/>
      <c r="B385" s="1"/>
    </row>
    <row r="386" spans="1:2" x14ac:dyDescent="0.25">
      <c r="A386" s="1"/>
      <c r="B386" s="1"/>
    </row>
    <row r="387" spans="1:2" x14ac:dyDescent="0.25">
      <c r="A387" s="1"/>
      <c r="B387" s="1"/>
    </row>
    <row r="388" spans="1:2" x14ac:dyDescent="0.25">
      <c r="A388" s="1"/>
      <c r="B388" s="1"/>
    </row>
    <row r="389" spans="1:2" x14ac:dyDescent="0.25">
      <c r="A389" s="1"/>
      <c r="B389" s="1"/>
    </row>
    <row r="390" spans="1:2" x14ac:dyDescent="0.25">
      <c r="A390" s="1"/>
      <c r="B390" s="1"/>
    </row>
    <row r="391" spans="1:2" x14ac:dyDescent="0.25">
      <c r="A391" s="1"/>
      <c r="B391" s="1"/>
    </row>
    <row r="392" spans="1:2" x14ac:dyDescent="0.25">
      <c r="A392" s="1"/>
      <c r="B392" s="1"/>
    </row>
    <row r="393" spans="1:2" x14ac:dyDescent="0.25">
      <c r="A393" s="1"/>
      <c r="B393" s="1"/>
    </row>
    <row r="394" spans="1:2" x14ac:dyDescent="0.25">
      <c r="A394" s="1"/>
      <c r="B394" s="1"/>
    </row>
    <row r="395" spans="1:2" x14ac:dyDescent="0.25">
      <c r="A395" s="1"/>
      <c r="B395" s="1"/>
    </row>
    <row r="396" spans="1:2" x14ac:dyDescent="0.25">
      <c r="A396" s="1"/>
      <c r="B396" s="1"/>
    </row>
    <row r="397" spans="1:2" x14ac:dyDescent="0.25">
      <c r="A397" s="1"/>
      <c r="B397" s="1"/>
    </row>
    <row r="398" spans="1:2" x14ac:dyDescent="0.25">
      <c r="A398" s="1"/>
      <c r="B398" s="1"/>
    </row>
    <row r="399" spans="1:2" x14ac:dyDescent="0.25">
      <c r="A399" s="1"/>
      <c r="B399" s="1"/>
    </row>
    <row r="400" spans="1:2" x14ac:dyDescent="0.25">
      <c r="A400" s="1"/>
      <c r="B400" s="1"/>
    </row>
    <row r="401" spans="1:2" x14ac:dyDescent="0.25">
      <c r="A401" s="1"/>
      <c r="B401" s="1"/>
    </row>
    <row r="402" spans="1:2" x14ac:dyDescent="0.25">
      <c r="A402" s="1"/>
      <c r="B402" s="1"/>
    </row>
    <row r="403" spans="1:2" x14ac:dyDescent="0.25">
      <c r="A403" s="1"/>
      <c r="B403" s="1"/>
    </row>
    <row r="404" spans="1:2" x14ac:dyDescent="0.25">
      <c r="A404" s="1"/>
      <c r="B404" s="1"/>
    </row>
    <row r="405" spans="1:2" x14ac:dyDescent="0.25">
      <c r="A405" s="1"/>
      <c r="B405" s="1"/>
    </row>
    <row r="406" spans="1:2" x14ac:dyDescent="0.25">
      <c r="A406" s="1"/>
      <c r="B406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xecuteQueries">
          <controlPr defaultSize="0" autoLine="0" r:id="rId5">
            <anchor moveWithCells="1">
              <from>
                <xdr:col>0</xdr:col>
                <xdr:colOff>152400</xdr:colOff>
                <xdr:row>0</xdr:row>
                <xdr:rowOff>104775</xdr:rowOff>
              </from>
              <to>
                <xdr:col>2</xdr:col>
                <xdr:colOff>219075</xdr:colOff>
                <xdr:row>2</xdr:row>
                <xdr:rowOff>95250</xdr:rowOff>
              </to>
            </anchor>
          </controlPr>
        </control>
      </mc:Choice>
      <mc:Fallback>
        <control shapeId="13313" r:id="rId4" name="ExecuteQueries"/>
      </mc:Fallback>
    </mc:AlternateContent>
    <mc:AlternateContent xmlns:mc="http://schemas.openxmlformats.org/markup-compatibility/2006">
      <mc:Choice Requires="x14">
        <control shapeId="13314" r:id="rId6" name="ClearBtn">
          <controlPr defaultSize="0" autoLine="0" r:id="rId7">
            <anchor moveWithCells="1">
              <from>
                <xdr:col>2</xdr:col>
                <xdr:colOff>638175</xdr:colOff>
                <xdr:row>0</xdr:row>
                <xdr:rowOff>104775</xdr:rowOff>
              </from>
              <to>
                <xdr:col>3</xdr:col>
                <xdr:colOff>238125</xdr:colOff>
                <xdr:row>2</xdr:row>
                <xdr:rowOff>95250</xdr:rowOff>
              </to>
            </anchor>
          </controlPr>
        </control>
      </mc:Choice>
      <mc:Fallback>
        <control shapeId="13314" r:id="rId6" name="Clear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R406"/>
  <sheetViews>
    <sheetView topLeftCell="A19" workbookViewId="0">
      <selection activeCell="N41" sqref="N41"/>
    </sheetView>
  </sheetViews>
  <sheetFormatPr defaultRowHeight="15" x14ac:dyDescent="0.25"/>
  <cols>
    <col min="1" max="1" width="10.7109375" bestFit="1" customWidth="1"/>
    <col min="2" max="2" width="26.7109375" customWidth="1"/>
    <col min="3" max="3" width="23.71093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9.8554687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92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5">
        <v>37953</v>
      </c>
      <c r="B8" s="56" t="s">
        <v>183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s="3" t="s">
        <v>48</v>
      </c>
      <c r="M8" s="17" t="str">
        <f>B8</f>
        <v>DaysInPrd</v>
      </c>
      <c r="N8" s="18" t="str">
        <f>IF(VALUE(L8)=VALUE(O8), "P","F")</f>
        <v>P</v>
      </c>
      <c r="O8" s="3">
        <f t="shared" ref="O8:O66" si="0">(G8-F8+1)</f>
        <v>28</v>
      </c>
      <c r="R8" t="s">
        <v>24</v>
      </c>
    </row>
    <row r="9" spans="1:18" ht="15.75" x14ac:dyDescent="0.25">
      <c r="A9" s="55">
        <v>37954</v>
      </c>
      <c r="B9" s="56" t="s">
        <v>183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s="3" t="s">
        <v>48</v>
      </c>
      <c r="M9" s="17" t="str">
        <f t="shared" ref="M9:M66" si="1">B9</f>
        <v>DaysInPrd</v>
      </c>
      <c r="N9" s="18" t="str">
        <f t="shared" ref="N9:N66" si="2">IF(VALUE(L9)=VALUE(O9), "P","F")</f>
        <v>P</v>
      </c>
      <c r="O9" s="3">
        <f t="shared" si="0"/>
        <v>28</v>
      </c>
      <c r="R9" t="s">
        <v>25</v>
      </c>
    </row>
    <row r="10" spans="1:18" ht="15.75" x14ac:dyDescent="0.25">
      <c r="A10" s="55">
        <v>37955</v>
      </c>
      <c r="B10" s="56" t="s">
        <v>183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s="3" t="s">
        <v>48</v>
      </c>
      <c r="M10" s="17" t="str">
        <f t="shared" si="1"/>
        <v>DaysInPrd</v>
      </c>
      <c r="N10" s="18" t="str">
        <f t="shared" si="2"/>
        <v>P</v>
      </c>
      <c r="O10" s="3">
        <f t="shared" si="0"/>
        <v>28</v>
      </c>
      <c r="R10" t="s">
        <v>26</v>
      </c>
    </row>
    <row r="11" spans="1:18" ht="15.75" x14ac:dyDescent="0.25">
      <c r="A11" s="55">
        <v>37956</v>
      </c>
      <c r="B11" s="56" t="s">
        <v>183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s="3" t="s">
        <v>48</v>
      </c>
      <c r="M11" s="17" t="str">
        <f t="shared" si="1"/>
        <v>DaysInPrd</v>
      </c>
      <c r="N11" s="18" t="str">
        <f t="shared" si="2"/>
        <v>P</v>
      </c>
      <c r="O11" s="3">
        <f t="shared" si="0"/>
        <v>28</v>
      </c>
      <c r="R11" t="s">
        <v>27</v>
      </c>
    </row>
    <row r="12" spans="1:18" ht="15.75" x14ac:dyDescent="0.25">
      <c r="A12" s="55">
        <v>38320</v>
      </c>
      <c r="B12" s="56" t="s">
        <v>183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s="3" t="s">
        <v>48</v>
      </c>
      <c r="M12" s="17" t="str">
        <f t="shared" si="1"/>
        <v>DaysInPrd</v>
      </c>
      <c r="N12" s="18" t="str">
        <f t="shared" si="2"/>
        <v>P</v>
      </c>
      <c r="O12" s="3">
        <f t="shared" si="0"/>
        <v>28</v>
      </c>
      <c r="R12" t="s">
        <v>28</v>
      </c>
    </row>
    <row r="13" spans="1:18" ht="15.75" x14ac:dyDescent="0.25">
      <c r="A13" s="55">
        <v>38684</v>
      </c>
      <c r="B13" s="56" t="s">
        <v>183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s="3" t="s">
        <v>48</v>
      </c>
      <c r="M13" s="17" t="str">
        <f t="shared" si="1"/>
        <v>DaysInPrd</v>
      </c>
      <c r="N13" s="18" t="str">
        <f t="shared" si="2"/>
        <v>P</v>
      </c>
      <c r="O13" s="3">
        <f t="shared" si="0"/>
        <v>28</v>
      </c>
      <c r="R13" t="s">
        <v>29</v>
      </c>
    </row>
    <row r="14" spans="1:18" ht="15.75" x14ac:dyDescent="0.25">
      <c r="A14" s="55">
        <v>46356</v>
      </c>
      <c r="B14" s="56" t="s">
        <v>183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s="3" t="s">
        <v>48</v>
      </c>
      <c r="M14" s="17" t="str">
        <f t="shared" si="1"/>
        <v>DaysInPrd</v>
      </c>
      <c r="N14" s="18" t="str">
        <f t="shared" si="2"/>
        <v>P</v>
      </c>
      <c r="O14" s="3">
        <f t="shared" si="0"/>
        <v>28</v>
      </c>
      <c r="R14" t="s">
        <v>30</v>
      </c>
    </row>
    <row r="15" spans="1:18" ht="15.75" x14ac:dyDescent="0.25">
      <c r="A15" s="55">
        <v>46720</v>
      </c>
      <c r="B15" s="56" t="s">
        <v>183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s="3" t="s">
        <v>48</v>
      </c>
      <c r="M15" s="17" t="str">
        <f t="shared" si="1"/>
        <v>DaysInPrd</v>
      </c>
      <c r="N15" s="18" t="str">
        <f t="shared" si="2"/>
        <v>P</v>
      </c>
      <c r="O15" s="3">
        <f t="shared" si="0"/>
        <v>28</v>
      </c>
      <c r="R15" t="s">
        <v>31</v>
      </c>
    </row>
    <row r="16" spans="1:18" ht="15.75" x14ac:dyDescent="0.25">
      <c r="A16" s="55">
        <v>47084</v>
      </c>
      <c r="B16" s="56" t="s">
        <v>183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s="3" t="s">
        <v>75</v>
      </c>
      <c r="M16" s="17" t="str">
        <f t="shared" si="1"/>
        <v>DaysInPrd</v>
      </c>
      <c r="N16" s="18" t="str">
        <f t="shared" si="2"/>
        <v>P</v>
      </c>
      <c r="O16" s="3">
        <f t="shared" si="0"/>
        <v>35</v>
      </c>
      <c r="R16" t="s">
        <v>32</v>
      </c>
    </row>
    <row r="17" spans="1:18" ht="15.75" x14ac:dyDescent="0.25">
      <c r="A17" s="55">
        <v>47455</v>
      </c>
      <c r="B17" s="56" t="s">
        <v>183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s="3" t="s">
        <v>48</v>
      </c>
      <c r="M17" s="17" t="str">
        <f t="shared" si="1"/>
        <v>DaysInPrd</v>
      </c>
      <c r="N17" s="18" t="str">
        <f t="shared" si="2"/>
        <v>P</v>
      </c>
      <c r="O17" s="3">
        <f t="shared" si="0"/>
        <v>28</v>
      </c>
      <c r="R17" t="s">
        <v>33</v>
      </c>
    </row>
    <row r="18" spans="1:18" ht="15.75" x14ac:dyDescent="0.25">
      <c r="A18" s="55">
        <v>47819</v>
      </c>
      <c r="B18" s="56" t="s">
        <v>183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s="3" t="s">
        <v>48</v>
      </c>
      <c r="M18" s="17" t="str">
        <f t="shared" si="1"/>
        <v>DaysInPrd</v>
      </c>
      <c r="N18" s="18" t="str">
        <f t="shared" si="2"/>
        <v>P</v>
      </c>
      <c r="O18" s="3">
        <f t="shared" si="0"/>
        <v>28</v>
      </c>
      <c r="R18" t="s">
        <v>34</v>
      </c>
    </row>
    <row r="19" spans="1:18" ht="15.75" x14ac:dyDescent="0.25">
      <c r="A19" s="55">
        <v>37255</v>
      </c>
      <c r="B19" s="56" t="s">
        <v>183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s="3" t="s">
        <v>48</v>
      </c>
      <c r="M19" s="17" t="str">
        <f t="shared" si="1"/>
        <v>DaysInPrd</v>
      </c>
      <c r="N19" s="18" t="str">
        <f t="shared" si="2"/>
        <v>P</v>
      </c>
      <c r="O19" s="3">
        <f t="shared" si="0"/>
        <v>28</v>
      </c>
      <c r="R19" t="s">
        <v>35</v>
      </c>
    </row>
    <row r="20" spans="1:18" ht="15.75" x14ac:dyDescent="0.25">
      <c r="A20" s="55">
        <v>37619</v>
      </c>
      <c r="B20" s="56" t="s">
        <v>183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s="3" t="s">
        <v>48</v>
      </c>
      <c r="M20" s="17" t="str">
        <f t="shared" si="1"/>
        <v>DaysInPrd</v>
      </c>
      <c r="N20" s="18" t="str">
        <f t="shared" si="2"/>
        <v>P</v>
      </c>
      <c r="O20" s="3">
        <f t="shared" si="0"/>
        <v>28</v>
      </c>
      <c r="R20" t="s">
        <v>36</v>
      </c>
    </row>
    <row r="21" spans="1:18" ht="15.75" x14ac:dyDescent="0.25">
      <c r="A21" s="55">
        <v>37983</v>
      </c>
      <c r="B21" s="56" t="s">
        <v>183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s="3" t="s">
        <v>48</v>
      </c>
      <c r="M21" s="17" t="str">
        <f t="shared" si="1"/>
        <v>DaysInPrd</v>
      </c>
      <c r="N21" s="18" t="str">
        <f t="shared" si="2"/>
        <v>P</v>
      </c>
      <c r="O21" s="3">
        <f t="shared" si="0"/>
        <v>28</v>
      </c>
      <c r="R21" t="s">
        <v>37</v>
      </c>
    </row>
    <row r="22" spans="1:18" ht="15.75" x14ac:dyDescent="0.25">
      <c r="A22" s="55">
        <v>38347</v>
      </c>
      <c r="B22" s="56" t="s">
        <v>183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s="3" t="s">
        <v>48</v>
      </c>
      <c r="M22" s="17" t="str">
        <f t="shared" si="1"/>
        <v>DaysInPrd</v>
      </c>
      <c r="N22" s="18" t="str">
        <f t="shared" si="2"/>
        <v>P</v>
      </c>
      <c r="O22" s="3">
        <f t="shared" si="0"/>
        <v>28</v>
      </c>
      <c r="R22" t="s">
        <v>38</v>
      </c>
    </row>
    <row r="23" spans="1:18" ht="15.75" x14ac:dyDescent="0.25">
      <c r="A23" s="55">
        <v>38711</v>
      </c>
      <c r="B23" s="56" t="s">
        <v>183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s="3" t="s">
        <v>48</v>
      </c>
      <c r="M23" s="17" t="str">
        <f t="shared" si="1"/>
        <v>DaysInPrd</v>
      </c>
      <c r="N23" s="18" t="str">
        <f t="shared" si="2"/>
        <v>P</v>
      </c>
      <c r="O23" s="3">
        <f t="shared" si="0"/>
        <v>28</v>
      </c>
      <c r="R23" t="s">
        <v>39</v>
      </c>
    </row>
    <row r="24" spans="1:18" ht="15.75" x14ac:dyDescent="0.25">
      <c r="A24" s="55">
        <v>39082</v>
      </c>
      <c r="B24" s="56" t="s">
        <v>183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s="3" t="s">
        <v>75</v>
      </c>
      <c r="M24" s="17" t="str">
        <f t="shared" si="1"/>
        <v>DaysInPrd</v>
      </c>
      <c r="N24" s="18" t="str">
        <f t="shared" si="2"/>
        <v>P</v>
      </c>
      <c r="O24" s="3">
        <f t="shared" si="0"/>
        <v>35</v>
      </c>
      <c r="R24" t="s">
        <v>40</v>
      </c>
    </row>
    <row r="25" spans="1:18" ht="15.75" x14ac:dyDescent="0.25">
      <c r="A25" s="55">
        <v>39446</v>
      </c>
      <c r="B25" s="56" t="s">
        <v>183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s="3" t="s">
        <v>48</v>
      </c>
      <c r="M25" s="17" t="str">
        <f t="shared" si="1"/>
        <v>DaysInPrd</v>
      </c>
      <c r="N25" s="18" t="str">
        <f t="shared" si="2"/>
        <v>P</v>
      </c>
      <c r="O25" s="3">
        <f t="shared" si="0"/>
        <v>28</v>
      </c>
    </row>
    <row r="26" spans="1:18" ht="15.75" x14ac:dyDescent="0.25">
      <c r="A26" s="55">
        <v>39810</v>
      </c>
      <c r="B26" s="56" t="s">
        <v>183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s="3" t="s">
        <v>48</v>
      </c>
      <c r="M26" s="17" t="str">
        <f t="shared" si="1"/>
        <v>DaysInPrd</v>
      </c>
      <c r="N26" s="18" t="str">
        <f t="shared" si="2"/>
        <v>P</v>
      </c>
      <c r="O26" s="3">
        <f t="shared" si="0"/>
        <v>28</v>
      </c>
      <c r="R26" t="s">
        <v>247</v>
      </c>
    </row>
    <row r="27" spans="1:18" ht="15.75" x14ac:dyDescent="0.25">
      <c r="A27" s="55">
        <v>40174</v>
      </c>
      <c r="B27" s="56" t="s">
        <v>183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s="3" t="s">
        <v>48</v>
      </c>
      <c r="M27" s="17" t="str">
        <f t="shared" si="1"/>
        <v>DaysInPrd</v>
      </c>
      <c r="N27" s="18" t="str">
        <f t="shared" si="2"/>
        <v>P</v>
      </c>
      <c r="O27" s="3">
        <f t="shared" si="0"/>
        <v>28</v>
      </c>
      <c r="R27" t="s">
        <v>242</v>
      </c>
    </row>
    <row r="28" spans="1:18" ht="15.75" x14ac:dyDescent="0.25">
      <c r="A28" s="55">
        <v>40538</v>
      </c>
      <c r="B28" s="56" t="s">
        <v>183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s="3" t="s">
        <v>48</v>
      </c>
      <c r="M28" s="17" t="str">
        <f t="shared" si="1"/>
        <v>DaysInPrd</v>
      </c>
      <c r="N28" s="18" t="str">
        <f t="shared" si="2"/>
        <v>P</v>
      </c>
      <c r="O28" s="3">
        <f t="shared" si="0"/>
        <v>28</v>
      </c>
      <c r="R28" t="s">
        <v>243</v>
      </c>
    </row>
    <row r="29" spans="1:18" ht="15.75" x14ac:dyDescent="0.25">
      <c r="A29" s="55">
        <v>40902</v>
      </c>
      <c r="B29" s="56" t="s">
        <v>183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s="3" t="s">
        <v>48</v>
      </c>
      <c r="M29" s="17" t="str">
        <f t="shared" si="1"/>
        <v>DaysInPrd</v>
      </c>
      <c r="N29" s="18" t="str">
        <f t="shared" si="2"/>
        <v>P</v>
      </c>
      <c r="O29" s="3">
        <f t="shared" si="0"/>
        <v>28</v>
      </c>
      <c r="R29" t="s">
        <v>244</v>
      </c>
    </row>
    <row r="30" spans="1:18" ht="15.75" x14ac:dyDescent="0.25">
      <c r="A30" s="55">
        <v>41273</v>
      </c>
      <c r="B30" s="56" t="s">
        <v>183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s="3" t="s">
        <v>75</v>
      </c>
      <c r="M30" s="17" t="str">
        <f t="shared" si="1"/>
        <v>DaysInPrd</v>
      </c>
      <c r="N30" s="18" t="str">
        <f t="shared" si="2"/>
        <v>P</v>
      </c>
      <c r="O30" s="3">
        <f t="shared" si="0"/>
        <v>35</v>
      </c>
      <c r="R30" t="s">
        <v>245</v>
      </c>
    </row>
    <row r="31" spans="1:18" ht="15.75" x14ac:dyDescent="0.25">
      <c r="A31" s="55">
        <v>41637</v>
      </c>
      <c r="B31" s="56" t="s">
        <v>183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s="3" t="s">
        <v>48</v>
      </c>
      <c r="M31" s="17" t="str">
        <f t="shared" si="1"/>
        <v>DaysInPrd</v>
      </c>
      <c r="N31" s="18" t="str">
        <f t="shared" si="2"/>
        <v>P</v>
      </c>
      <c r="O31" s="3">
        <f t="shared" si="0"/>
        <v>28</v>
      </c>
      <c r="R31" t="s">
        <v>246</v>
      </c>
    </row>
    <row r="32" spans="1:18" ht="15.75" x14ac:dyDescent="0.25">
      <c r="A32" s="55">
        <v>42001</v>
      </c>
      <c r="B32" s="56" t="s">
        <v>183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s="3" t="s">
        <v>48</v>
      </c>
      <c r="M32" s="17" t="str">
        <f t="shared" si="1"/>
        <v>DaysInPrd</v>
      </c>
      <c r="N32" s="18" t="str">
        <f t="shared" si="2"/>
        <v>P</v>
      </c>
      <c r="O32" s="3">
        <f t="shared" si="0"/>
        <v>28</v>
      </c>
    </row>
    <row r="33" spans="1:15" ht="15.75" x14ac:dyDescent="0.25">
      <c r="A33" s="55">
        <v>42365</v>
      </c>
      <c r="B33" s="56" t="s">
        <v>183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s="3" t="s">
        <v>48</v>
      </c>
      <c r="M33" s="17" t="str">
        <f t="shared" si="1"/>
        <v>DaysInPrd</v>
      </c>
      <c r="N33" s="18" t="str">
        <f t="shared" si="2"/>
        <v>P</v>
      </c>
      <c r="O33" s="3">
        <f t="shared" si="0"/>
        <v>28</v>
      </c>
    </row>
    <row r="34" spans="1:15" ht="15.75" x14ac:dyDescent="0.25">
      <c r="A34" s="55">
        <v>42729</v>
      </c>
      <c r="B34" s="56" t="s">
        <v>183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s="3" t="s">
        <v>48</v>
      </c>
      <c r="M34" s="17" t="str">
        <f t="shared" si="1"/>
        <v>DaysInPrd</v>
      </c>
      <c r="N34" s="18" t="str">
        <f t="shared" si="2"/>
        <v>P</v>
      </c>
      <c r="O34" s="3">
        <f t="shared" si="0"/>
        <v>28</v>
      </c>
    </row>
    <row r="35" spans="1:15" ht="15.75" x14ac:dyDescent="0.25">
      <c r="A35" s="55">
        <v>37255</v>
      </c>
      <c r="B35" s="56" t="s">
        <v>183</v>
      </c>
      <c r="C35" s="56" t="s">
        <v>109</v>
      </c>
      <c r="F35" s="1">
        <v>37228</v>
      </c>
      <c r="G35" s="1">
        <v>37255</v>
      </c>
      <c r="H35" t="s">
        <v>77</v>
      </c>
      <c r="I35" t="s">
        <v>14</v>
      </c>
      <c r="J35" t="s">
        <v>12</v>
      </c>
      <c r="L35" s="3" t="s">
        <v>48</v>
      </c>
      <c r="M35" s="17" t="str">
        <f t="shared" si="1"/>
        <v>DaysInPrd</v>
      </c>
      <c r="N35" s="18" t="str">
        <f t="shared" si="2"/>
        <v>P</v>
      </c>
      <c r="O35" s="3">
        <f t="shared" si="0"/>
        <v>28</v>
      </c>
    </row>
    <row r="36" spans="1:15" ht="15.75" x14ac:dyDescent="0.25">
      <c r="A36" s="55">
        <v>37619</v>
      </c>
      <c r="B36" s="56" t="s">
        <v>183</v>
      </c>
      <c r="C36" s="56" t="s">
        <v>109</v>
      </c>
      <c r="F36" s="1">
        <v>37592</v>
      </c>
      <c r="G36" s="1">
        <v>37619</v>
      </c>
      <c r="H36" t="s">
        <v>78</v>
      </c>
      <c r="I36" t="s">
        <v>14</v>
      </c>
      <c r="J36" t="s">
        <v>12</v>
      </c>
      <c r="L36" s="3" t="s">
        <v>48</v>
      </c>
      <c r="M36" s="17" t="str">
        <f t="shared" si="1"/>
        <v>DaysInPrd</v>
      </c>
      <c r="N36" s="18" t="str">
        <f t="shared" si="2"/>
        <v>P</v>
      </c>
      <c r="O36" s="3">
        <f t="shared" si="0"/>
        <v>28</v>
      </c>
    </row>
    <row r="37" spans="1:15" ht="15.75" x14ac:dyDescent="0.25">
      <c r="A37" s="55">
        <v>37983</v>
      </c>
      <c r="B37" s="56" t="s">
        <v>183</v>
      </c>
      <c r="C37" s="56" t="s">
        <v>109</v>
      </c>
      <c r="F37" s="1">
        <v>37956</v>
      </c>
      <c r="G37" s="1">
        <v>37983</v>
      </c>
      <c r="H37" t="s">
        <v>80</v>
      </c>
      <c r="I37" t="s">
        <v>14</v>
      </c>
      <c r="J37" t="s">
        <v>12</v>
      </c>
      <c r="L37" s="3" t="s">
        <v>48</v>
      </c>
      <c r="M37" s="17" t="str">
        <f t="shared" si="1"/>
        <v>DaysInPrd</v>
      </c>
      <c r="N37" s="18" t="str">
        <f t="shared" si="2"/>
        <v>P</v>
      </c>
      <c r="O37" s="3">
        <f t="shared" si="0"/>
        <v>28</v>
      </c>
    </row>
    <row r="38" spans="1:15" ht="15.75" x14ac:dyDescent="0.25">
      <c r="A38" s="55">
        <v>38347</v>
      </c>
      <c r="B38" s="56" t="s">
        <v>183</v>
      </c>
      <c r="C38" s="56" t="s">
        <v>109</v>
      </c>
      <c r="F38" s="1">
        <v>38320</v>
      </c>
      <c r="G38" s="1">
        <v>38347</v>
      </c>
      <c r="H38" t="s">
        <v>82</v>
      </c>
      <c r="I38" t="s">
        <v>14</v>
      </c>
      <c r="J38" t="s">
        <v>12</v>
      </c>
      <c r="L38" s="3" t="s">
        <v>48</v>
      </c>
      <c r="M38" s="17" t="str">
        <f t="shared" si="1"/>
        <v>DaysInPrd</v>
      </c>
      <c r="N38" s="18" t="str">
        <f t="shared" si="2"/>
        <v>P</v>
      </c>
      <c r="O38" s="3">
        <f t="shared" si="0"/>
        <v>28</v>
      </c>
    </row>
    <row r="39" spans="1:15" ht="15.75" x14ac:dyDescent="0.25">
      <c r="A39" s="55">
        <v>38711</v>
      </c>
      <c r="B39" s="56" t="s">
        <v>183</v>
      </c>
      <c r="C39" s="56" t="s">
        <v>109</v>
      </c>
      <c r="F39" s="1">
        <v>38684</v>
      </c>
      <c r="G39" s="1">
        <v>38711</v>
      </c>
      <c r="H39" t="s">
        <v>84</v>
      </c>
      <c r="I39" t="s">
        <v>14</v>
      </c>
      <c r="J39" t="s">
        <v>12</v>
      </c>
      <c r="L39" s="3" t="s">
        <v>48</v>
      </c>
      <c r="M39" s="17" t="str">
        <f t="shared" si="1"/>
        <v>DaysInPrd</v>
      </c>
      <c r="N39" s="18" t="str">
        <f t="shared" si="2"/>
        <v>P</v>
      </c>
      <c r="O39" s="3">
        <f t="shared" si="0"/>
        <v>28</v>
      </c>
    </row>
    <row r="40" spans="1:15" ht="15.75" x14ac:dyDescent="0.25">
      <c r="A40" s="55">
        <v>39082</v>
      </c>
      <c r="B40" s="56" t="s">
        <v>183</v>
      </c>
      <c r="C40" s="56" t="s">
        <v>109</v>
      </c>
      <c r="F40" s="1">
        <v>39048</v>
      </c>
      <c r="G40" s="1">
        <v>39082</v>
      </c>
      <c r="H40" t="s">
        <v>86</v>
      </c>
      <c r="I40" t="s">
        <v>14</v>
      </c>
      <c r="J40" t="s">
        <v>12</v>
      </c>
      <c r="L40" s="3" t="s">
        <v>75</v>
      </c>
      <c r="M40" s="17" t="str">
        <f t="shared" si="1"/>
        <v>DaysInPrd</v>
      </c>
      <c r="N40" s="18" t="str">
        <f t="shared" si="2"/>
        <v>P</v>
      </c>
      <c r="O40" s="3">
        <f t="shared" si="0"/>
        <v>35</v>
      </c>
    </row>
    <row r="41" spans="1:15" ht="15.75" x14ac:dyDescent="0.25">
      <c r="A41" s="55">
        <v>39446</v>
      </c>
      <c r="B41" s="56" t="s">
        <v>183</v>
      </c>
      <c r="C41" s="56" t="s">
        <v>109</v>
      </c>
      <c r="F41" s="1">
        <v>39419</v>
      </c>
      <c r="G41" s="1">
        <v>39446</v>
      </c>
      <c r="H41" t="s">
        <v>87</v>
      </c>
      <c r="I41" t="s">
        <v>14</v>
      </c>
      <c r="J41" t="s">
        <v>12</v>
      </c>
      <c r="L41" s="3" t="s">
        <v>48</v>
      </c>
      <c r="M41" s="17" t="str">
        <f t="shared" si="1"/>
        <v>DaysInPrd</v>
      </c>
      <c r="N41" s="18" t="str">
        <f t="shared" si="2"/>
        <v>P</v>
      </c>
      <c r="O41" s="3">
        <f t="shared" si="0"/>
        <v>28</v>
      </c>
    </row>
    <row r="42" spans="1:15" ht="15.75" x14ac:dyDescent="0.25">
      <c r="A42" s="55">
        <v>39810</v>
      </c>
      <c r="B42" s="56" t="s">
        <v>183</v>
      </c>
      <c r="C42" s="56" t="s">
        <v>109</v>
      </c>
      <c r="E42" s="2" t="s">
        <v>71</v>
      </c>
      <c r="F42" s="1">
        <v>39783</v>
      </c>
      <c r="G42" s="1">
        <v>39810</v>
      </c>
      <c r="H42" t="s">
        <v>88</v>
      </c>
      <c r="I42" t="s">
        <v>14</v>
      </c>
      <c r="J42" t="s">
        <v>12</v>
      </c>
      <c r="L42" s="3" t="s">
        <v>48</v>
      </c>
      <c r="M42" s="17" t="str">
        <f t="shared" si="1"/>
        <v>DaysInPrd</v>
      </c>
      <c r="N42" s="18" t="str">
        <f t="shared" si="2"/>
        <v>P</v>
      </c>
      <c r="O42" s="3">
        <f t="shared" si="0"/>
        <v>28</v>
      </c>
    </row>
    <row r="43" spans="1:15" ht="15.75" x14ac:dyDescent="0.25">
      <c r="A43" s="55">
        <v>40174</v>
      </c>
      <c r="B43" s="56" t="s">
        <v>183</v>
      </c>
      <c r="C43" s="56" t="s">
        <v>109</v>
      </c>
      <c r="F43" s="1">
        <v>40147</v>
      </c>
      <c r="G43" s="1">
        <v>40174</v>
      </c>
      <c r="H43" t="s">
        <v>89</v>
      </c>
      <c r="I43" t="s">
        <v>14</v>
      </c>
      <c r="J43" t="s">
        <v>12</v>
      </c>
      <c r="L43" s="3" t="s">
        <v>48</v>
      </c>
      <c r="M43" s="17" t="str">
        <f t="shared" si="1"/>
        <v>DaysInPrd</v>
      </c>
      <c r="N43" s="18" t="str">
        <f t="shared" si="2"/>
        <v>P</v>
      </c>
      <c r="O43" s="3">
        <f t="shared" si="0"/>
        <v>28</v>
      </c>
    </row>
    <row r="44" spans="1:15" ht="15.75" x14ac:dyDescent="0.25">
      <c r="A44" s="55">
        <v>40538</v>
      </c>
      <c r="B44" s="56" t="s">
        <v>183</v>
      </c>
      <c r="C44" s="56" t="s">
        <v>109</v>
      </c>
      <c r="F44" s="1">
        <v>40511</v>
      </c>
      <c r="G44" s="1">
        <v>40538</v>
      </c>
      <c r="H44" t="s">
        <v>90</v>
      </c>
      <c r="I44" t="s">
        <v>14</v>
      </c>
      <c r="J44" t="s">
        <v>12</v>
      </c>
      <c r="L44" s="3" t="s">
        <v>48</v>
      </c>
      <c r="M44" s="17" t="str">
        <f t="shared" si="1"/>
        <v>DaysInPrd</v>
      </c>
      <c r="N44" s="18" t="str">
        <f t="shared" si="2"/>
        <v>P</v>
      </c>
      <c r="O44" s="3">
        <f t="shared" si="0"/>
        <v>28</v>
      </c>
    </row>
    <row r="45" spans="1:15" ht="15.75" x14ac:dyDescent="0.25">
      <c r="A45" s="55">
        <v>40902</v>
      </c>
      <c r="B45" s="56" t="s">
        <v>183</v>
      </c>
      <c r="C45" s="56" t="s">
        <v>109</v>
      </c>
      <c r="F45" s="1">
        <v>40875</v>
      </c>
      <c r="G45" s="1">
        <v>40902</v>
      </c>
      <c r="H45" t="s">
        <v>91</v>
      </c>
      <c r="I45" t="s">
        <v>14</v>
      </c>
      <c r="J45" t="s">
        <v>12</v>
      </c>
      <c r="L45" s="3" t="s">
        <v>48</v>
      </c>
      <c r="M45" s="17" t="str">
        <f t="shared" si="1"/>
        <v>DaysInPrd</v>
      </c>
      <c r="N45" s="18" t="str">
        <f t="shared" si="2"/>
        <v>P</v>
      </c>
      <c r="O45" s="3">
        <f t="shared" si="0"/>
        <v>28</v>
      </c>
    </row>
    <row r="46" spans="1:15" ht="15.75" x14ac:dyDescent="0.25">
      <c r="A46" s="55">
        <v>41273</v>
      </c>
      <c r="B46" s="56" t="s">
        <v>183</v>
      </c>
      <c r="C46" s="56" t="s">
        <v>109</v>
      </c>
      <c r="F46" s="1">
        <v>41239</v>
      </c>
      <c r="G46" s="1">
        <v>41273</v>
      </c>
      <c r="H46" t="s">
        <v>53</v>
      </c>
      <c r="I46" t="s">
        <v>14</v>
      </c>
      <c r="J46" t="s">
        <v>12</v>
      </c>
      <c r="L46" s="3" t="s">
        <v>75</v>
      </c>
      <c r="M46" s="17" t="str">
        <f t="shared" si="1"/>
        <v>DaysInPrd</v>
      </c>
      <c r="N46" s="18" t="str">
        <f t="shared" si="2"/>
        <v>P</v>
      </c>
      <c r="O46" s="3">
        <f t="shared" si="0"/>
        <v>35</v>
      </c>
    </row>
    <row r="47" spans="1:15" ht="15.75" x14ac:dyDescent="0.25">
      <c r="A47" s="55">
        <v>41637</v>
      </c>
      <c r="B47" s="56" t="s">
        <v>183</v>
      </c>
      <c r="C47" s="56" t="s">
        <v>109</v>
      </c>
      <c r="F47" s="1">
        <v>41610</v>
      </c>
      <c r="G47" s="1">
        <v>41637</v>
      </c>
      <c r="H47" t="s">
        <v>67</v>
      </c>
      <c r="I47" t="s">
        <v>14</v>
      </c>
      <c r="J47" t="s">
        <v>12</v>
      </c>
      <c r="L47" s="3" t="s">
        <v>48</v>
      </c>
      <c r="M47" s="17" t="str">
        <f t="shared" si="1"/>
        <v>DaysInPrd</v>
      </c>
      <c r="N47" s="18" t="str">
        <f t="shared" si="2"/>
        <v>P</v>
      </c>
      <c r="O47" s="3">
        <f t="shared" si="0"/>
        <v>28</v>
      </c>
    </row>
    <row r="48" spans="1:15" ht="15.75" x14ac:dyDescent="0.25">
      <c r="A48" s="55">
        <v>42001</v>
      </c>
      <c r="B48" s="56" t="s">
        <v>183</v>
      </c>
      <c r="C48" s="56" t="s">
        <v>109</v>
      </c>
      <c r="F48" s="1">
        <v>41974</v>
      </c>
      <c r="G48" s="1">
        <v>42001</v>
      </c>
      <c r="H48" t="s">
        <v>92</v>
      </c>
      <c r="I48" t="s">
        <v>14</v>
      </c>
      <c r="J48" t="s">
        <v>12</v>
      </c>
      <c r="L48" s="3" t="s">
        <v>48</v>
      </c>
      <c r="M48" s="17" t="str">
        <f t="shared" si="1"/>
        <v>DaysInPrd</v>
      </c>
      <c r="N48" s="18" t="str">
        <f t="shared" si="2"/>
        <v>P</v>
      </c>
      <c r="O48" s="3">
        <f t="shared" si="0"/>
        <v>28</v>
      </c>
    </row>
    <row r="49" spans="1:15" ht="15.75" x14ac:dyDescent="0.25">
      <c r="A49" s="55">
        <v>42365</v>
      </c>
      <c r="B49" s="56" t="s">
        <v>183</v>
      </c>
      <c r="C49" s="56" t="s">
        <v>109</v>
      </c>
      <c r="F49" s="1">
        <v>42338</v>
      </c>
      <c r="G49" s="1">
        <v>42365</v>
      </c>
      <c r="H49" t="s">
        <v>93</v>
      </c>
      <c r="I49" t="s">
        <v>14</v>
      </c>
      <c r="J49" t="s">
        <v>12</v>
      </c>
      <c r="L49" s="3" t="s">
        <v>48</v>
      </c>
      <c r="M49" s="17" t="str">
        <f t="shared" si="1"/>
        <v>DaysInPrd</v>
      </c>
      <c r="N49" s="18" t="str">
        <f t="shared" si="2"/>
        <v>P</v>
      </c>
      <c r="O49" s="3">
        <f t="shared" si="0"/>
        <v>28</v>
      </c>
    </row>
    <row r="50" spans="1:15" ht="15.75" x14ac:dyDescent="0.25">
      <c r="A50" s="55">
        <v>42729</v>
      </c>
      <c r="B50" s="56" t="s">
        <v>183</v>
      </c>
      <c r="C50" s="56" t="s">
        <v>109</v>
      </c>
      <c r="F50" s="1">
        <v>42702</v>
      </c>
      <c r="G50" s="1">
        <v>42729</v>
      </c>
      <c r="H50" t="s">
        <v>16</v>
      </c>
      <c r="I50" t="s">
        <v>14</v>
      </c>
      <c r="J50" t="s">
        <v>12</v>
      </c>
      <c r="L50" s="3" t="s">
        <v>48</v>
      </c>
      <c r="M50" s="17" t="str">
        <f t="shared" si="1"/>
        <v>DaysInPrd</v>
      </c>
      <c r="N50" s="18" t="str">
        <f t="shared" si="2"/>
        <v>P</v>
      </c>
      <c r="O50" s="3">
        <f t="shared" si="0"/>
        <v>28</v>
      </c>
    </row>
    <row r="51" spans="1:15" ht="15.75" x14ac:dyDescent="0.25">
      <c r="A51" s="55">
        <v>39048</v>
      </c>
      <c r="B51" s="56" t="s">
        <v>183</v>
      </c>
      <c r="C51" s="56" t="s">
        <v>111</v>
      </c>
      <c r="F51" s="1">
        <v>39048</v>
      </c>
      <c r="G51" s="1">
        <v>39082</v>
      </c>
      <c r="H51" t="s">
        <v>86</v>
      </c>
      <c r="I51" t="s">
        <v>14</v>
      </c>
      <c r="J51" t="s">
        <v>12</v>
      </c>
      <c r="L51" s="3" t="s">
        <v>75</v>
      </c>
      <c r="M51" s="17" t="str">
        <f t="shared" si="1"/>
        <v>DaysInPrd</v>
      </c>
      <c r="N51" s="18" t="str">
        <f t="shared" si="2"/>
        <v>P</v>
      </c>
      <c r="O51" s="3">
        <f t="shared" si="0"/>
        <v>35</v>
      </c>
    </row>
    <row r="52" spans="1:15" ht="15.75" x14ac:dyDescent="0.25">
      <c r="A52" s="55">
        <v>43066</v>
      </c>
      <c r="B52" s="56" t="s">
        <v>183</v>
      </c>
      <c r="C52" s="56" t="s">
        <v>111</v>
      </c>
      <c r="F52" s="1">
        <v>43066</v>
      </c>
      <c r="G52" s="1">
        <v>43100</v>
      </c>
      <c r="H52" t="s">
        <v>70</v>
      </c>
      <c r="I52" t="s">
        <v>14</v>
      </c>
      <c r="J52" t="s">
        <v>12</v>
      </c>
      <c r="L52" s="3" t="s">
        <v>75</v>
      </c>
      <c r="M52" s="17" t="str">
        <f t="shared" si="1"/>
        <v>DaysInPrd</v>
      </c>
      <c r="N52" s="18" t="str">
        <f t="shared" si="2"/>
        <v>P</v>
      </c>
      <c r="O52" s="3">
        <f t="shared" si="0"/>
        <v>35</v>
      </c>
    </row>
    <row r="53" spans="1:15" ht="15.75" x14ac:dyDescent="0.25">
      <c r="A53" s="55">
        <v>47084</v>
      </c>
      <c r="B53" s="56" t="s">
        <v>183</v>
      </c>
      <c r="C53" s="56" t="s">
        <v>111</v>
      </c>
      <c r="F53" s="1">
        <v>47084</v>
      </c>
      <c r="G53" s="1">
        <v>47118</v>
      </c>
      <c r="H53" t="s">
        <v>103</v>
      </c>
      <c r="I53" t="s">
        <v>14</v>
      </c>
      <c r="J53" t="s">
        <v>12</v>
      </c>
      <c r="L53" s="3" t="s">
        <v>75</v>
      </c>
      <c r="M53" s="17" t="str">
        <f t="shared" si="1"/>
        <v>DaysInPrd</v>
      </c>
      <c r="N53" s="18" t="str">
        <f t="shared" si="2"/>
        <v>P</v>
      </c>
      <c r="O53" s="3">
        <f t="shared" si="0"/>
        <v>35</v>
      </c>
    </row>
    <row r="54" spans="1:15" ht="15.75" x14ac:dyDescent="0.25">
      <c r="A54" s="55">
        <v>39082</v>
      </c>
      <c r="B54" s="56" t="s">
        <v>183</v>
      </c>
      <c r="C54" s="56" t="s">
        <v>112</v>
      </c>
      <c r="F54" s="1">
        <v>39048</v>
      </c>
      <c r="G54" s="1">
        <v>39082</v>
      </c>
      <c r="H54" t="s">
        <v>86</v>
      </c>
      <c r="I54" t="s">
        <v>14</v>
      </c>
      <c r="J54" t="s">
        <v>12</v>
      </c>
      <c r="L54" s="3" t="s">
        <v>75</v>
      </c>
      <c r="M54" s="17" t="str">
        <f t="shared" si="1"/>
        <v>DaysInPrd</v>
      </c>
      <c r="N54" s="18" t="str">
        <f t="shared" si="2"/>
        <v>P</v>
      </c>
      <c r="O54" s="3">
        <f t="shared" si="0"/>
        <v>35</v>
      </c>
    </row>
    <row r="55" spans="1:15" ht="15.75" x14ac:dyDescent="0.25">
      <c r="A55" s="55">
        <v>43100</v>
      </c>
      <c r="B55" s="56" t="s">
        <v>183</v>
      </c>
      <c r="C55" s="56" t="s">
        <v>112</v>
      </c>
      <c r="F55" s="1">
        <v>43066</v>
      </c>
      <c r="G55" s="1">
        <v>43100</v>
      </c>
      <c r="H55" t="s">
        <v>70</v>
      </c>
      <c r="I55" t="s">
        <v>14</v>
      </c>
      <c r="J55" t="s">
        <v>12</v>
      </c>
      <c r="L55" s="3" t="s">
        <v>75</v>
      </c>
      <c r="M55" s="17" t="str">
        <f t="shared" si="1"/>
        <v>DaysInPrd</v>
      </c>
      <c r="N55" s="18" t="str">
        <f t="shared" si="2"/>
        <v>P</v>
      </c>
      <c r="O55" s="3">
        <f t="shared" si="0"/>
        <v>35</v>
      </c>
    </row>
    <row r="56" spans="1:15" ht="15.75" x14ac:dyDescent="0.25">
      <c r="A56" s="55">
        <v>47118</v>
      </c>
      <c r="B56" s="56" t="s">
        <v>183</v>
      </c>
      <c r="C56" s="56" t="s">
        <v>112</v>
      </c>
      <c r="F56" s="1">
        <v>47084</v>
      </c>
      <c r="G56" s="1">
        <v>47118</v>
      </c>
      <c r="H56" t="s">
        <v>103</v>
      </c>
      <c r="I56" t="s">
        <v>14</v>
      </c>
      <c r="J56" t="s">
        <v>12</v>
      </c>
      <c r="L56" s="3" t="s">
        <v>75</v>
      </c>
      <c r="M56" s="17" t="str">
        <f t="shared" si="1"/>
        <v>DaysInPrd</v>
      </c>
      <c r="N56" s="18" t="str">
        <f t="shared" si="2"/>
        <v>P</v>
      </c>
      <c r="O56" s="3">
        <f t="shared" si="0"/>
        <v>35</v>
      </c>
    </row>
    <row r="57" spans="1:15" ht="15.75" x14ac:dyDescent="0.25">
      <c r="A57" s="55">
        <v>39048</v>
      </c>
      <c r="B57" s="56" t="s">
        <v>183</v>
      </c>
      <c r="C57" s="56" t="s">
        <v>111</v>
      </c>
      <c r="F57" s="1">
        <v>39048</v>
      </c>
      <c r="G57" s="1">
        <v>39082</v>
      </c>
      <c r="H57" t="s">
        <v>86</v>
      </c>
      <c r="I57" t="s">
        <v>14</v>
      </c>
      <c r="J57" t="s">
        <v>12</v>
      </c>
      <c r="L57" s="3" t="s">
        <v>75</v>
      </c>
      <c r="M57" s="17" t="str">
        <f t="shared" si="1"/>
        <v>DaysInPrd</v>
      </c>
      <c r="N57" s="18" t="str">
        <f t="shared" si="2"/>
        <v>P</v>
      </c>
      <c r="O57" s="3">
        <f t="shared" si="0"/>
        <v>35</v>
      </c>
    </row>
    <row r="58" spans="1:15" ht="15.75" x14ac:dyDescent="0.25">
      <c r="A58" s="55">
        <v>43066</v>
      </c>
      <c r="B58" s="56" t="s">
        <v>183</v>
      </c>
      <c r="C58" s="56" t="s">
        <v>111</v>
      </c>
      <c r="F58" s="1">
        <v>43066</v>
      </c>
      <c r="G58" s="1">
        <v>43100</v>
      </c>
      <c r="H58" t="s">
        <v>70</v>
      </c>
      <c r="I58" t="s">
        <v>14</v>
      </c>
      <c r="J58" t="s">
        <v>12</v>
      </c>
      <c r="L58" s="3" t="s">
        <v>75</v>
      </c>
      <c r="M58" s="17" t="str">
        <f t="shared" si="1"/>
        <v>DaysInPrd</v>
      </c>
      <c r="N58" s="18" t="str">
        <f t="shared" si="2"/>
        <v>P</v>
      </c>
      <c r="O58" s="3">
        <f t="shared" si="0"/>
        <v>35</v>
      </c>
    </row>
    <row r="59" spans="1:15" ht="15.75" x14ac:dyDescent="0.25">
      <c r="A59" s="55">
        <v>47084</v>
      </c>
      <c r="B59" s="56" t="s">
        <v>183</v>
      </c>
      <c r="C59" s="56" t="s">
        <v>111</v>
      </c>
      <c r="F59" s="1">
        <v>47084</v>
      </c>
      <c r="G59" s="1">
        <v>47118</v>
      </c>
      <c r="H59" t="s">
        <v>103</v>
      </c>
      <c r="I59" t="s">
        <v>14</v>
      </c>
      <c r="J59" t="s">
        <v>12</v>
      </c>
      <c r="L59" s="3" t="s">
        <v>75</v>
      </c>
      <c r="M59" s="17" t="str">
        <f t="shared" si="1"/>
        <v>DaysInPrd</v>
      </c>
      <c r="N59" s="18" t="str">
        <f t="shared" si="2"/>
        <v>P</v>
      </c>
      <c r="O59" s="3">
        <f t="shared" si="0"/>
        <v>35</v>
      </c>
    </row>
    <row r="60" spans="1:15" ht="15.75" x14ac:dyDescent="0.25">
      <c r="A60" s="55">
        <v>39082</v>
      </c>
      <c r="B60" s="56" t="s">
        <v>183</v>
      </c>
      <c r="C60" s="56" t="s">
        <v>112</v>
      </c>
      <c r="F60" s="1">
        <v>39048</v>
      </c>
      <c r="G60" s="1">
        <v>39082</v>
      </c>
      <c r="H60" t="s">
        <v>86</v>
      </c>
      <c r="I60" t="s">
        <v>14</v>
      </c>
      <c r="J60" t="s">
        <v>12</v>
      </c>
      <c r="L60" s="3" t="s">
        <v>75</v>
      </c>
      <c r="M60" s="17" t="str">
        <f t="shared" si="1"/>
        <v>DaysInPrd</v>
      </c>
      <c r="N60" s="18" t="str">
        <f t="shared" si="2"/>
        <v>P</v>
      </c>
      <c r="O60" s="3">
        <f t="shared" si="0"/>
        <v>35</v>
      </c>
    </row>
    <row r="61" spans="1:15" ht="15.75" x14ac:dyDescent="0.25">
      <c r="A61" s="55">
        <v>43100</v>
      </c>
      <c r="B61" s="56" t="s">
        <v>183</v>
      </c>
      <c r="C61" s="56" t="s">
        <v>112</v>
      </c>
      <c r="F61" s="1">
        <v>43066</v>
      </c>
      <c r="G61" s="1">
        <v>43100</v>
      </c>
      <c r="H61" t="s">
        <v>70</v>
      </c>
      <c r="I61" t="s">
        <v>14</v>
      </c>
      <c r="J61" t="s">
        <v>12</v>
      </c>
      <c r="L61" s="3" t="s">
        <v>75</v>
      </c>
      <c r="M61" s="17" t="str">
        <f t="shared" si="1"/>
        <v>DaysInPrd</v>
      </c>
      <c r="N61" s="18" t="str">
        <f t="shared" si="2"/>
        <v>P</v>
      </c>
      <c r="O61" s="3">
        <f t="shared" si="0"/>
        <v>35</v>
      </c>
    </row>
    <row r="62" spans="1:15" ht="15.75" x14ac:dyDescent="0.25">
      <c r="A62" s="55">
        <v>47118</v>
      </c>
      <c r="B62" s="56" t="s">
        <v>183</v>
      </c>
      <c r="C62" s="56" t="s">
        <v>112</v>
      </c>
      <c r="F62" s="1">
        <v>47084</v>
      </c>
      <c r="G62" s="1">
        <v>47118</v>
      </c>
      <c r="H62" t="s">
        <v>103</v>
      </c>
      <c r="I62" t="s">
        <v>14</v>
      </c>
      <c r="J62" t="s">
        <v>12</v>
      </c>
      <c r="L62" s="3" t="s">
        <v>75</v>
      </c>
      <c r="M62" s="17" t="str">
        <f t="shared" si="1"/>
        <v>DaysInPrd</v>
      </c>
      <c r="N62" s="18" t="str">
        <f t="shared" si="2"/>
        <v>P</v>
      </c>
      <c r="O62" s="3">
        <f t="shared" si="0"/>
        <v>35</v>
      </c>
    </row>
    <row r="63" spans="1:15" ht="15.75" x14ac:dyDescent="0.25">
      <c r="A63" s="55">
        <v>39048</v>
      </c>
      <c r="B63" s="56" t="s">
        <v>183</v>
      </c>
      <c r="C63" s="56" t="s">
        <v>111</v>
      </c>
      <c r="F63" s="1">
        <v>39048</v>
      </c>
      <c r="G63" s="1">
        <v>39082</v>
      </c>
      <c r="H63" t="s">
        <v>86</v>
      </c>
      <c r="I63" t="s">
        <v>14</v>
      </c>
      <c r="J63" t="s">
        <v>12</v>
      </c>
      <c r="L63" s="3" t="s">
        <v>75</v>
      </c>
      <c r="M63" s="17" t="str">
        <f t="shared" si="1"/>
        <v>DaysInPrd</v>
      </c>
      <c r="N63" s="18" t="str">
        <f t="shared" si="2"/>
        <v>P</v>
      </c>
      <c r="O63" s="3">
        <f t="shared" si="0"/>
        <v>35</v>
      </c>
    </row>
    <row r="64" spans="1:15" ht="15.75" x14ac:dyDescent="0.25">
      <c r="A64" s="55">
        <v>43066</v>
      </c>
      <c r="B64" s="56" t="s">
        <v>183</v>
      </c>
      <c r="C64" s="56" t="s">
        <v>111</v>
      </c>
      <c r="F64" s="1">
        <v>43066</v>
      </c>
      <c r="G64" s="1">
        <v>43100</v>
      </c>
      <c r="H64" t="s">
        <v>70</v>
      </c>
      <c r="I64" t="s">
        <v>14</v>
      </c>
      <c r="J64" t="s">
        <v>12</v>
      </c>
      <c r="L64" s="3" t="s">
        <v>75</v>
      </c>
      <c r="M64" s="17" t="str">
        <f t="shared" si="1"/>
        <v>DaysInPrd</v>
      </c>
      <c r="N64" s="18" t="str">
        <f t="shared" si="2"/>
        <v>P</v>
      </c>
      <c r="O64" s="3">
        <f t="shared" si="0"/>
        <v>35</v>
      </c>
    </row>
    <row r="65" spans="1:15" ht="15.75" x14ac:dyDescent="0.25">
      <c r="A65" s="55">
        <v>47084</v>
      </c>
      <c r="B65" s="56" t="s">
        <v>183</v>
      </c>
      <c r="C65" s="56" t="s">
        <v>111</v>
      </c>
      <c r="F65" s="1">
        <v>47084</v>
      </c>
      <c r="G65" s="1">
        <v>47118</v>
      </c>
      <c r="H65" t="s">
        <v>103</v>
      </c>
      <c r="I65" t="s">
        <v>14</v>
      </c>
      <c r="J65" t="s">
        <v>12</v>
      </c>
      <c r="L65" s="3" t="s">
        <v>75</v>
      </c>
      <c r="M65" s="17" t="str">
        <f t="shared" si="1"/>
        <v>DaysInPrd</v>
      </c>
      <c r="N65" s="18" t="str">
        <f t="shared" si="2"/>
        <v>P</v>
      </c>
      <c r="O65" s="3">
        <f t="shared" si="0"/>
        <v>35</v>
      </c>
    </row>
    <row r="66" spans="1:15" ht="15.75" x14ac:dyDescent="0.25">
      <c r="A66" s="55">
        <v>39082</v>
      </c>
      <c r="B66" s="56" t="s">
        <v>183</v>
      </c>
      <c r="C66" s="56" t="s">
        <v>112</v>
      </c>
      <c r="F66" s="1">
        <v>39048</v>
      </c>
      <c r="G66" s="1">
        <v>39082</v>
      </c>
      <c r="H66" t="s">
        <v>86</v>
      </c>
      <c r="I66" t="s">
        <v>14</v>
      </c>
      <c r="J66" t="s">
        <v>12</v>
      </c>
      <c r="L66" s="3" t="s">
        <v>75</v>
      </c>
      <c r="M66" s="17" t="str">
        <f t="shared" si="1"/>
        <v>DaysInPrd</v>
      </c>
      <c r="N66" s="18" t="str">
        <f t="shared" si="2"/>
        <v>P</v>
      </c>
      <c r="O66" s="3">
        <f t="shared" si="0"/>
        <v>35</v>
      </c>
    </row>
    <row r="67" spans="1:15" ht="15.75" x14ac:dyDescent="0.25">
      <c r="A67" s="55">
        <v>43100</v>
      </c>
      <c r="B67" s="56" t="s">
        <v>183</v>
      </c>
      <c r="C67" s="56" t="s">
        <v>112</v>
      </c>
      <c r="F67" s="1">
        <v>43066</v>
      </c>
      <c r="G67" s="1">
        <v>43100</v>
      </c>
      <c r="H67" t="s">
        <v>70</v>
      </c>
      <c r="I67" t="s">
        <v>14</v>
      </c>
      <c r="J67" t="s">
        <v>12</v>
      </c>
      <c r="L67" s="3" t="s">
        <v>75</v>
      </c>
      <c r="M67" s="17" t="str">
        <f t="shared" ref="M67:M99" si="3">B67</f>
        <v>DaysInPrd</v>
      </c>
      <c r="N67" s="18" t="str">
        <f t="shared" ref="N67:N99" si="4">IF(VALUE(L67)=VALUE(O67), "P","F")</f>
        <v>P</v>
      </c>
      <c r="O67" s="3">
        <f t="shared" ref="O67:O99" si="5">(G67-F67+1)</f>
        <v>35</v>
      </c>
    </row>
    <row r="68" spans="1:15" ht="15.75" x14ac:dyDescent="0.25">
      <c r="A68" s="55">
        <v>47118</v>
      </c>
      <c r="B68" s="56" t="s">
        <v>183</v>
      </c>
      <c r="C68" s="56" t="s">
        <v>112</v>
      </c>
      <c r="F68" s="1">
        <v>47084</v>
      </c>
      <c r="G68" s="1">
        <v>47118</v>
      </c>
      <c r="H68" t="s">
        <v>103</v>
      </c>
      <c r="I68" t="s">
        <v>14</v>
      </c>
      <c r="J68" t="s">
        <v>12</v>
      </c>
      <c r="L68" s="3" t="s">
        <v>75</v>
      </c>
      <c r="M68" s="17" t="str">
        <f t="shared" si="3"/>
        <v>DaysInPrd</v>
      </c>
      <c r="N68" s="18" t="str">
        <f t="shared" si="4"/>
        <v>P</v>
      </c>
      <c r="O68" s="3">
        <f t="shared" si="5"/>
        <v>35</v>
      </c>
    </row>
    <row r="69" spans="1:15" ht="15.75" x14ac:dyDescent="0.25">
      <c r="A69" s="1">
        <v>43121</v>
      </c>
      <c r="B69" s="56" t="s">
        <v>183</v>
      </c>
      <c r="C69" s="57" t="s">
        <v>138</v>
      </c>
      <c r="F69" s="1">
        <v>43101</v>
      </c>
      <c r="G69" s="1">
        <v>43128</v>
      </c>
      <c r="H69" t="s">
        <v>72</v>
      </c>
      <c r="I69" t="s">
        <v>17</v>
      </c>
      <c r="J69" t="s">
        <v>17</v>
      </c>
      <c r="L69" s="3" t="s">
        <v>48</v>
      </c>
      <c r="M69" s="17" t="str">
        <f t="shared" si="3"/>
        <v>DaysInPrd</v>
      </c>
      <c r="N69" s="18" t="str">
        <f t="shared" si="4"/>
        <v>P</v>
      </c>
      <c r="O69" s="3">
        <f t="shared" si="5"/>
        <v>28</v>
      </c>
    </row>
    <row r="70" spans="1:15" ht="15.75" x14ac:dyDescent="0.25">
      <c r="A70" s="1">
        <v>40183</v>
      </c>
      <c r="B70" s="56" t="s">
        <v>183</v>
      </c>
      <c r="C70" s="57" t="s">
        <v>138</v>
      </c>
      <c r="F70" s="1">
        <v>40175</v>
      </c>
      <c r="G70" s="1">
        <v>40202</v>
      </c>
      <c r="H70" t="s">
        <v>90</v>
      </c>
      <c r="I70" t="s">
        <v>17</v>
      </c>
      <c r="J70" t="s">
        <v>17</v>
      </c>
      <c r="L70" s="3" t="s">
        <v>48</v>
      </c>
      <c r="M70" s="17" t="str">
        <f t="shared" si="3"/>
        <v>DaysInPrd</v>
      </c>
      <c r="N70" s="18" t="str">
        <f t="shared" si="4"/>
        <v>P</v>
      </c>
      <c r="O70" s="3">
        <f t="shared" si="5"/>
        <v>28</v>
      </c>
    </row>
    <row r="71" spans="1:15" ht="15.75" x14ac:dyDescent="0.25">
      <c r="A71" s="1">
        <v>47392</v>
      </c>
      <c r="B71" s="56" t="s">
        <v>183</v>
      </c>
      <c r="C71" s="57" t="s">
        <v>138</v>
      </c>
      <c r="F71" s="1">
        <v>47371</v>
      </c>
      <c r="G71" s="1">
        <v>47398</v>
      </c>
      <c r="H71" t="s">
        <v>105</v>
      </c>
      <c r="I71" t="s">
        <v>144</v>
      </c>
      <c r="J71" t="s">
        <v>54</v>
      </c>
      <c r="L71" s="3" t="s">
        <v>48</v>
      </c>
      <c r="M71" s="17" t="str">
        <f t="shared" si="3"/>
        <v>DaysInPrd</v>
      </c>
      <c r="N71" s="18" t="str">
        <f t="shared" si="4"/>
        <v>P</v>
      </c>
      <c r="O71" s="3">
        <f t="shared" si="5"/>
        <v>28</v>
      </c>
    </row>
    <row r="72" spans="1:15" ht="15.75" x14ac:dyDescent="0.25">
      <c r="A72" s="1">
        <v>40519</v>
      </c>
      <c r="B72" s="56" t="s">
        <v>183</v>
      </c>
      <c r="C72" s="57" t="s">
        <v>138</v>
      </c>
      <c r="F72" s="1">
        <v>40511</v>
      </c>
      <c r="G72" s="1">
        <v>40538</v>
      </c>
      <c r="H72" t="s">
        <v>90</v>
      </c>
      <c r="I72" t="s">
        <v>14</v>
      </c>
      <c r="J72" t="s">
        <v>12</v>
      </c>
      <c r="L72" s="3" t="s">
        <v>48</v>
      </c>
      <c r="M72" s="17" t="str">
        <f t="shared" si="3"/>
        <v>DaysInPrd</v>
      </c>
      <c r="N72" s="18" t="str">
        <f t="shared" si="4"/>
        <v>P</v>
      </c>
      <c r="O72" s="3">
        <f t="shared" si="5"/>
        <v>28</v>
      </c>
    </row>
    <row r="73" spans="1:15" ht="15.75" x14ac:dyDescent="0.25">
      <c r="A73" s="1">
        <v>42518</v>
      </c>
      <c r="B73" s="56" t="s">
        <v>183</v>
      </c>
      <c r="C73" s="57" t="s">
        <v>138</v>
      </c>
      <c r="F73" s="1">
        <v>42506</v>
      </c>
      <c r="G73" s="1">
        <v>42533</v>
      </c>
      <c r="H73" t="s">
        <v>16</v>
      </c>
      <c r="I73" t="s">
        <v>146</v>
      </c>
      <c r="J73" t="s">
        <v>143</v>
      </c>
      <c r="L73" s="3" t="s">
        <v>48</v>
      </c>
      <c r="M73" s="17" t="str">
        <f t="shared" si="3"/>
        <v>DaysInPrd</v>
      </c>
      <c r="N73" s="18" t="str">
        <f t="shared" si="4"/>
        <v>P</v>
      </c>
      <c r="O73" s="3">
        <f t="shared" si="5"/>
        <v>28</v>
      </c>
    </row>
    <row r="74" spans="1:15" ht="15.75" x14ac:dyDescent="0.25">
      <c r="A74" s="1">
        <v>41144</v>
      </c>
      <c r="B74" s="56" t="s">
        <v>183</v>
      </c>
      <c r="C74" s="57" t="s">
        <v>138</v>
      </c>
      <c r="F74" s="1">
        <v>41127</v>
      </c>
      <c r="G74" s="1">
        <v>41154</v>
      </c>
      <c r="H74" t="s">
        <v>53</v>
      </c>
      <c r="I74" t="s">
        <v>141</v>
      </c>
      <c r="J74" t="s">
        <v>54</v>
      </c>
      <c r="L74" s="3" t="s">
        <v>48</v>
      </c>
      <c r="M74" s="17" t="str">
        <f t="shared" si="3"/>
        <v>DaysInPrd</v>
      </c>
      <c r="N74" s="18" t="str">
        <f t="shared" si="4"/>
        <v>P</v>
      </c>
      <c r="O74" s="3">
        <f t="shared" si="5"/>
        <v>28</v>
      </c>
    </row>
    <row r="75" spans="1:15" ht="15.75" x14ac:dyDescent="0.25">
      <c r="A75" s="1">
        <v>47249</v>
      </c>
      <c r="B75" s="56" t="s">
        <v>183</v>
      </c>
      <c r="C75" s="57" t="s">
        <v>138</v>
      </c>
      <c r="F75" s="1">
        <v>47231</v>
      </c>
      <c r="G75" s="1">
        <v>47258</v>
      </c>
      <c r="H75" t="s">
        <v>105</v>
      </c>
      <c r="I75" t="s">
        <v>142</v>
      </c>
      <c r="J75" t="s">
        <v>143</v>
      </c>
      <c r="L75" s="3" t="s">
        <v>48</v>
      </c>
      <c r="M75" s="17" t="str">
        <f t="shared" si="3"/>
        <v>DaysInPrd</v>
      </c>
      <c r="N75" s="18" t="str">
        <f t="shared" si="4"/>
        <v>P</v>
      </c>
      <c r="O75" s="3">
        <f t="shared" si="5"/>
        <v>28</v>
      </c>
    </row>
    <row r="76" spans="1:15" ht="15.75" x14ac:dyDescent="0.25">
      <c r="A76" s="1">
        <v>40045</v>
      </c>
      <c r="B76" s="56" t="s">
        <v>183</v>
      </c>
      <c r="C76" s="57" t="s">
        <v>138</v>
      </c>
      <c r="F76" s="1">
        <v>40035</v>
      </c>
      <c r="G76" s="1">
        <v>40062</v>
      </c>
      <c r="H76" t="s">
        <v>89</v>
      </c>
      <c r="I76" t="s">
        <v>141</v>
      </c>
      <c r="J76" t="s">
        <v>54</v>
      </c>
      <c r="L76" s="3" t="s">
        <v>48</v>
      </c>
      <c r="M76" s="17" t="str">
        <f t="shared" si="3"/>
        <v>DaysInPrd</v>
      </c>
      <c r="N76" s="18" t="str">
        <f t="shared" si="4"/>
        <v>P</v>
      </c>
      <c r="O76" s="3">
        <f t="shared" si="5"/>
        <v>28</v>
      </c>
    </row>
    <row r="77" spans="1:15" ht="15.75" x14ac:dyDescent="0.25">
      <c r="A77" s="1">
        <v>43206</v>
      </c>
      <c r="B77" s="56" t="s">
        <v>183</v>
      </c>
      <c r="C77" s="57" t="s">
        <v>138</v>
      </c>
      <c r="F77" s="1">
        <v>43185</v>
      </c>
      <c r="G77" s="1">
        <v>43212</v>
      </c>
      <c r="H77" t="s">
        <v>72</v>
      </c>
      <c r="I77" t="s">
        <v>12</v>
      </c>
      <c r="J77" t="s">
        <v>17</v>
      </c>
      <c r="L77" s="3" t="s">
        <v>48</v>
      </c>
      <c r="M77" s="17" t="str">
        <f t="shared" si="3"/>
        <v>DaysInPrd</v>
      </c>
      <c r="N77" s="18" t="str">
        <f t="shared" si="4"/>
        <v>P</v>
      </c>
      <c r="O77" s="3">
        <f t="shared" si="5"/>
        <v>28</v>
      </c>
    </row>
    <row r="78" spans="1:15" ht="15.75" x14ac:dyDescent="0.25">
      <c r="A78" s="1">
        <v>37663</v>
      </c>
      <c r="B78" s="56" t="s">
        <v>183</v>
      </c>
      <c r="C78" s="57" t="s">
        <v>138</v>
      </c>
      <c r="F78" s="1">
        <v>37648</v>
      </c>
      <c r="G78" s="1">
        <v>37675</v>
      </c>
      <c r="H78" t="s">
        <v>80</v>
      </c>
      <c r="I78" t="s">
        <v>143</v>
      </c>
      <c r="J78" t="s">
        <v>17</v>
      </c>
      <c r="L78" s="3" t="s">
        <v>48</v>
      </c>
      <c r="M78" s="17" t="str">
        <f t="shared" si="3"/>
        <v>DaysInPrd</v>
      </c>
      <c r="N78" s="18" t="str">
        <f t="shared" si="4"/>
        <v>P</v>
      </c>
      <c r="O78" s="3">
        <f t="shared" si="5"/>
        <v>28</v>
      </c>
    </row>
    <row r="79" spans="1:15" ht="15.75" x14ac:dyDescent="0.25">
      <c r="A79" s="1">
        <v>45045</v>
      </c>
      <c r="B79" s="56" t="s">
        <v>183</v>
      </c>
      <c r="C79" s="57" t="s">
        <v>138</v>
      </c>
      <c r="F79" s="1">
        <v>45033</v>
      </c>
      <c r="G79" s="1">
        <v>45060</v>
      </c>
      <c r="H79" t="s">
        <v>96</v>
      </c>
      <c r="I79" t="s">
        <v>142</v>
      </c>
      <c r="J79" t="s">
        <v>143</v>
      </c>
      <c r="L79" s="3" t="s">
        <v>48</v>
      </c>
      <c r="M79" s="17" t="str">
        <f t="shared" si="3"/>
        <v>DaysInPrd</v>
      </c>
      <c r="N79" s="18" t="str">
        <f t="shared" si="4"/>
        <v>P</v>
      </c>
      <c r="O79" s="3">
        <f t="shared" si="5"/>
        <v>28</v>
      </c>
    </row>
    <row r="80" spans="1:15" ht="15.75" x14ac:dyDescent="0.25">
      <c r="A80" s="1">
        <v>43219</v>
      </c>
      <c r="B80" s="56" t="s">
        <v>183</v>
      </c>
      <c r="C80" s="57" t="s">
        <v>138</v>
      </c>
      <c r="F80" s="1">
        <v>43213</v>
      </c>
      <c r="G80" s="1">
        <v>43240</v>
      </c>
      <c r="H80" t="s">
        <v>72</v>
      </c>
      <c r="I80" t="s">
        <v>142</v>
      </c>
      <c r="J80" t="s">
        <v>143</v>
      </c>
      <c r="L80" s="3" t="s">
        <v>48</v>
      </c>
      <c r="M80" s="17" t="str">
        <f t="shared" si="3"/>
        <v>DaysInPrd</v>
      </c>
      <c r="N80" s="18" t="str">
        <f t="shared" si="4"/>
        <v>P</v>
      </c>
      <c r="O80" s="3">
        <f t="shared" si="5"/>
        <v>28</v>
      </c>
    </row>
    <row r="81" spans="1:15" ht="15.75" x14ac:dyDescent="0.25">
      <c r="A81" s="1">
        <v>38876</v>
      </c>
      <c r="B81" s="56" t="s">
        <v>183</v>
      </c>
      <c r="C81" s="57" t="s">
        <v>138</v>
      </c>
      <c r="F81" s="1">
        <v>38852</v>
      </c>
      <c r="G81" s="1">
        <v>38879</v>
      </c>
      <c r="H81" t="s">
        <v>86</v>
      </c>
      <c r="I81" t="s">
        <v>146</v>
      </c>
      <c r="J81" t="s">
        <v>143</v>
      </c>
      <c r="L81" s="3" t="s">
        <v>48</v>
      </c>
      <c r="M81" s="17" t="str">
        <f t="shared" si="3"/>
        <v>DaysInPrd</v>
      </c>
      <c r="N81" s="18" t="str">
        <f t="shared" si="4"/>
        <v>P</v>
      </c>
      <c r="O81" s="3">
        <f t="shared" si="5"/>
        <v>28</v>
      </c>
    </row>
    <row r="82" spans="1:15" ht="15.75" x14ac:dyDescent="0.25">
      <c r="A82" s="1">
        <v>38411</v>
      </c>
      <c r="B82" s="56" t="s">
        <v>183</v>
      </c>
      <c r="C82" s="57" t="s">
        <v>138</v>
      </c>
      <c r="F82" s="1">
        <v>38404</v>
      </c>
      <c r="G82" s="1">
        <v>38431</v>
      </c>
      <c r="H82" t="s">
        <v>84</v>
      </c>
      <c r="I82" t="s">
        <v>54</v>
      </c>
      <c r="J82" t="s">
        <v>17</v>
      </c>
      <c r="L82" s="3" t="s">
        <v>48</v>
      </c>
      <c r="M82" s="17" t="str">
        <f t="shared" si="3"/>
        <v>DaysInPrd</v>
      </c>
      <c r="N82" s="18" t="str">
        <f t="shared" si="4"/>
        <v>P</v>
      </c>
      <c r="O82" s="3">
        <f t="shared" si="5"/>
        <v>28</v>
      </c>
    </row>
    <row r="83" spans="1:15" ht="15.75" x14ac:dyDescent="0.25">
      <c r="A83" s="1">
        <v>42127</v>
      </c>
      <c r="B83" s="56" t="s">
        <v>183</v>
      </c>
      <c r="C83" s="57" t="s">
        <v>138</v>
      </c>
      <c r="F83" s="1">
        <v>42114</v>
      </c>
      <c r="G83" s="1">
        <v>42141</v>
      </c>
      <c r="H83" t="s">
        <v>93</v>
      </c>
      <c r="I83" t="s">
        <v>142</v>
      </c>
      <c r="J83" t="s">
        <v>143</v>
      </c>
      <c r="L83" s="3" t="s">
        <v>48</v>
      </c>
      <c r="M83" s="17" t="str">
        <f t="shared" si="3"/>
        <v>DaysInPrd</v>
      </c>
      <c r="N83" s="18" t="str">
        <f t="shared" si="4"/>
        <v>P</v>
      </c>
      <c r="O83" s="3">
        <f t="shared" si="5"/>
        <v>28</v>
      </c>
    </row>
    <row r="84" spans="1:15" ht="15.75" x14ac:dyDescent="0.25">
      <c r="A84" s="1">
        <v>47181</v>
      </c>
      <c r="B84" s="56" t="s">
        <v>183</v>
      </c>
      <c r="C84" s="57" t="s">
        <v>138</v>
      </c>
      <c r="F84" s="1">
        <v>47175</v>
      </c>
      <c r="G84" s="1">
        <v>47202</v>
      </c>
      <c r="H84" t="s">
        <v>105</v>
      </c>
      <c r="I84" t="s">
        <v>54</v>
      </c>
      <c r="J84" t="s">
        <v>17</v>
      </c>
      <c r="L84" s="3" t="s">
        <v>48</v>
      </c>
      <c r="M84" s="17" t="str">
        <f t="shared" si="3"/>
        <v>DaysInPrd</v>
      </c>
      <c r="N84" s="18" t="str">
        <f t="shared" si="4"/>
        <v>P</v>
      </c>
      <c r="O84" s="3">
        <f t="shared" si="5"/>
        <v>28</v>
      </c>
    </row>
    <row r="85" spans="1:15" ht="15.75" x14ac:dyDescent="0.25">
      <c r="A85" s="1">
        <v>37378</v>
      </c>
      <c r="B85" s="56" t="s">
        <v>183</v>
      </c>
      <c r="C85" s="57" t="s">
        <v>138</v>
      </c>
      <c r="F85" s="1">
        <v>37368</v>
      </c>
      <c r="G85" s="1">
        <v>37395</v>
      </c>
      <c r="H85" t="s">
        <v>78</v>
      </c>
      <c r="I85" t="s">
        <v>142</v>
      </c>
      <c r="J85" t="s">
        <v>143</v>
      </c>
      <c r="L85" s="3" t="s">
        <v>48</v>
      </c>
      <c r="M85" s="17" t="str">
        <f t="shared" si="3"/>
        <v>DaysInPrd</v>
      </c>
      <c r="N85" s="18" t="str">
        <f t="shared" si="4"/>
        <v>P</v>
      </c>
      <c r="O85" s="3">
        <f t="shared" si="5"/>
        <v>28</v>
      </c>
    </row>
    <row r="86" spans="1:15" ht="15.75" x14ac:dyDescent="0.25">
      <c r="A86" s="1">
        <v>40179</v>
      </c>
      <c r="B86" s="56" t="s">
        <v>183</v>
      </c>
      <c r="C86" s="57" t="s">
        <v>138</v>
      </c>
      <c r="F86" s="1">
        <v>40175</v>
      </c>
      <c r="G86" s="1">
        <v>40202</v>
      </c>
      <c r="H86" t="s">
        <v>90</v>
      </c>
      <c r="I86" t="s">
        <v>17</v>
      </c>
      <c r="J86" t="s">
        <v>17</v>
      </c>
      <c r="L86" s="3" t="s">
        <v>48</v>
      </c>
      <c r="M86" s="17" t="str">
        <f t="shared" si="3"/>
        <v>DaysInPrd</v>
      </c>
      <c r="N86" s="18" t="str">
        <f t="shared" si="4"/>
        <v>P</v>
      </c>
      <c r="O86" s="3">
        <f t="shared" si="5"/>
        <v>28</v>
      </c>
    </row>
    <row r="87" spans="1:15" ht="15.75" x14ac:dyDescent="0.25">
      <c r="A87" s="1">
        <v>44005</v>
      </c>
      <c r="B87" s="56" t="s">
        <v>183</v>
      </c>
      <c r="C87" s="57" t="s">
        <v>138</v>
      </c>
      <c r="F87" s="1">
        <v>43997</v>
      </c>
      <c r="G87" s="1">
        <v>44024</v>
      </c>
      <c r="H87" t="s">
        <v>55</v>
      </c>
      <c r="I87" t="s">
        <v>151</v>
      </c>
      <c r="J87" t="s">
        <v>143</v>
      </c>
      <c r="L87" s="3" t="s">
        <v>48</v>
      </c>
      <c r="M87" s="17" t="str">
        <f t="shared" si="3"/>
        <v>DaysInPrd</v>
      </c>
      <c r="N87" s="18" t="str">
        <f t="shared" si="4"/>
        <v>P</v>
      </c>
      <c r="O87" s="3">
        <f t="shared" si="5"/>
        <v>28</v>
      </c>
    </row>
    <row r="88" spans="1:15" ht="15.75" x14ac:dyDescent="0.25">
      <c r="A88" s="1">
        <v>45385</v>
      </c>
      <c r="B88" s="56" t="s">
        <v>183</v>
      </c>
      <c r="C88" s="57" t="s">
        <v>138</v>
      </c>
      <c r="F88" s="1">
        <v>45376</v>
      </c>
      <c r="G88" s="1">
        <v>45403</v>
      </c>
      <c r="H88" t="s">
        <v>56</v>
      </c>
      <c r="I88" t="s">
        <v>12</v>
      </c>
      <c r="J88" t="s">
        <v>17</v>
      </c>
      <c r="L88" s="3" t="s">
        <v>48</v>
      </c>
      <c r="M88" s="17" t="str">
        <f t="shared" si="3"/>
        <v>DaysInPrd</v>
      </c>
      <c r="N88" s="18" t="str">
        <f t="shared" si="4"/>
        <v>P</v>
      </c>
      <c r="O88" s="3">
        <f t="shared" si="5"/>
        <v>28</v>
      </c>
    </row>
    <row r="89" spans="1:15" ht="15.75" x14ac:dyDescent="0.25">
      <c r="A89" s="1">
        <v>47306</v>
      </c>
      <c r="B89" s="56" t="s">
        <v>183</v>
      </c>
      <c r="C89" s="57" t="s">
        <v>138</v>
      </c>
      <c r="F89" s="1">
        <v>47287</v>
      </c>
      <c r="G89" s="1">
        <v>47314</v>
      </c>
      <c r="H89" t="s">
        <v>105</v>
      </c>
      <c r="I89" t="s">
        <v>151</v>
      </c>
      <c r="J89" t="s">
        <v>143</v>
      </c>
      <c r="L89" s="3" t="s">
        <v>48</v>
      </c>
      <c r="M89" s="17" t="str">
        <f t="shared" si="3"/>
        <v>DaysInPrd</v>
      </c>
      <c r="N89" s="18" t="str">
        <f t="shared" si="4"/>
        <v>P</v>
      </c>
      <c r="O89" s="3">
        <f t="shared" si="5"/>
        <v>28</v>
      </c>
    </row>
    <row r="90" spans="1:15" ht="15.75" x14ac:dyDescent="0.25">
      <c r="A90" s="1">
        <v>43466</v>
      </c>
      <c r="B90" s="56" t="s">
        <v>183</v>
      </c>
      <c r="C90" s="57" t="s">
        <v>138</v>
      </c>
      <c r="F90" s="1">
        <v>43465</v>
      </c>
      <c r="G90" s="1">
        <v>43492</v>
      </c>
      <c r="H90" t="s">
        <v>73</v>
      </c>
      <c r="I90" t="s">
        <v>17</v>
      </c>
      <c r="J90" t="s">
        <v>17</v>
      </c>
      <c r="L90" s="3" t="s">
        <v>48</v>
      </c>
      <c r="M90" s="17" t="str">
        <f t="shared" si="3"/>
        <v>DaysInPrd</v>
      </c>
      <c r="N90" s="18" t="str">
        <f t="shared" si="4"/>
        <v>P</v>
      </c>
      <c r="O90" s="3">
        <f t="shared" si="5"/>
        <v>28</v>
      </c>
    </row>
    <row r="91" spans="1:15" ht="15.75" x14ac:dyDescent="0.25">
      <c r="A91" s="1">
        <v>45762</v>
      </c>
      <c r="B91" s="56" t="s">
        <v>183</v>
      </c>
      <c r="C91" s="57" t="s">
        <v>138</v>
      </c>
      <c r="F91" s="1">
        <v>45740</v>
      </c>
      <c r="G91" s="1">
        <v>45767</v>
      </c>
      <c r="H91" t="s">
        <v>97</v>
      </c>
      <c r="I91" t="s">
        <v>12</v>
      </c>
      <c r="J91" t="s">
        <v>17</v>
      </c>
      <c r="L91" s="3" t="s">
        <v>48</v>
      </c>
      <c r="M91" s="17" t="str">
        <f t="shared" si="3"/>
        <v>DaysInPrd</v>
      </c>
      <c r="N91" s="18" t="str">
        <f t="shared" si="4"/>
        <v>P</v>
      </c>
      <c r="O91" s="3">
        <f t="shared" si="5"/>
        <v>28</v>
      </c>
    </row>
    <row r="92" spans="1:15" ht="15.75" x14ac:dyDescent="0.25">
      <c r="A92" s="1">
        <v>40854</v>
      </c>
      <c r="B92" s="56" t="s">
        <v>183</v>
      </c>
      <c r="C92" s="57" t="s">
        <v>138</v>
      </c>
      <c r="F92" s="1">
        <v>40847</v>
      </c>
      <c r="G92" s="1">
        <v>40874</v>
      </c>
      <c r="H92" t="s">
        <v>91</v>
      </c>
      <c r="I92" t="s">
        <v>13</v>
      </c>
      <c r="J92" t="s">
        <v>12</v>
      </c>
      <c r="L92" s="3" t="s">
        <v>48</v>
      </c>
      <c r="M92" s="17" t="str">
        <f t="shared" si="3"/>
        <v>DaysInPrd</v>
      </c>
      <c r="N92" s="18" t="str">
        <f t="shared" si="4"/>
        <v>P</v>
      </c>
      <c r="O92" s="3">
        <f t="shared" si="5"/>
        <v>28</v>
      </c>
    </row>
    <row r="93" spans="1:15" ht="15.75" x14ac:dyDescent="0.25">
      <c r="A93" s="1">
        <v>40721</v>
      </c>
      <c r="B93" s="56" t="s">
        <v>183</v>
      </c>
      <c r="C93" s="57" t="s">
        <v>138</v>
      </c>
      <c r="F93" s="1">
        <v>40707</v>
      </c>
      <c r="G93" s="1">
        <v>40734</v>
      </c>
      <c r="H93" t="s">
        <v>91</v>
      </c>
      <c r="I93" t="s">
        <v>151</v>
      </c>
      <c r="J93" t="s">
        <v>143</v>
      </c>
      <c r="L93" s="3" t="s">
        <v>48</v>
      </c>
      <c r="M93" s="17" t="str">
        <f t="shared" si="3"/>
        <v>DaysInPrd</v>
      </c>
      <c r="N93" s="18" t="str">
        <f t="shared" si="4"/>
        <v>P</v>
      </c>
      <c r="O93" s="3">
        <f t="shared" si="5"/>
        <v>28</v>
      </c>
    </row>
    <row r="94" spans="1:15" ht="15.75" x14ac:dyDescent="0.25">
      <c r="A94" s="1">
        <v>44000</v>
      </c>
      <c r="B94" s="56" t="s">
        <v>183</v>
      </c>
      <c r="C94" s="57" t="s">
        <v>138</v>
      </c>
      <c r="F94" s="1">
        <v>43997</v>
      </c>
      <c r="G94" s="1">
        <v>44024</v>
      </c>
      <c r="H94" t="s">
        <v>55</v>
      </c>
      <c r="I94" t="s">
        <v>151</v>
      </c>
      <c r="J94" t="s">
        <v>143</v>
      </c>
      <c r="L94" s="3" t="s">
        <v>48</v>
      </c>
      <c r="M94" s="17" t="str">
        <f t="shared" si="3"/>
        <v>DaysInPrd</v>
      </c>
      <c r="N94" s="18" t="str">
        <f t="shared" si="4"/>
        <v>P</v>
      </c>
      <c r="O94" s="3">
        <f t="shared" si="5"/>
        <v>28</v>
      </c>
    </row>
    <row r="95" spans="1:15" ht="15.75" x14ac:dyDescent="0.25">
      <c r="A95" s="1">
        <v>40451</v>
      </c>
      <c r="B95" s="56" t="s">
        <v>183</v>
      </c>
      <c r="C95" s="57" t="s">
        <v>138</v>
      </c>
      <c r="F95" s="1">
        <v>40427</v>
      </c>
      <c r="G95" s="1">
        <v>40454</v>
      </c>
      <c r="H95" t="s">
        <v>90</v>
      </c>
      <c r="I95" t="s">
        <v>144</v>
      </c>
      <c r="J95" t="s">
        <v>54</v>
      </c>
      <c r="L95" s="3" t="s">
        <v>48</v>
      </c>
      <c r="M95" s="17" t="str">
        <f t="shared" si="3"/>
        <v>DaysInPrd</v>
      </c>
      <c r="N95" s="18" t="str">
        <f t="shared" si="4"/>
        <v>P</v>
      </c>
      <c r="O95" s="3">
        <f t="shared" si="5"/>
        <v>28</v>
      </c>
    </row>
    <row r="96" spans="1:15" ht="15.75" x14ac:dyDescent="0.25">
      <c r="A96" s="1">
        <v>43146</v>
      </c>
      <c r="B96" s="56" t="s">
        <v>183</v>
      </c>
      <c r="C96" s="57" t="s">
        <v>138</v>
      </c>
      <c r="F96" s="1">
        <v>43129</v>
      </c>
      <c r="G96" s="1">
        <v>43156</v>
      </c>
      <c r="H96" t="s">
        <v>72</v>
      </c>
      <c r="I96" t="s">
        <v>143</v>
      </c>
      <c r="J96" t="s">
        <v>17</v>
      </c>
      <c r="L96" s="3" t="s">
        <v>48</v>
      </c>
      <c r="M96" s="17" t="str">
        <f t="shared" si="3"/>
        <v>DaysInPrd</v>
      </c>
      <c r="N96" s="18" t="str">
        <f t="shared" si="4"/>
        <v>P</v>
      </c>
      <c r="O96" s="3">
        <f t="shared" si="5"/>
        <v>28</v>
      </c>
    </row>
    <row r="97" spans="1:15" ht="15.75" x14ac:dyDescent="0.25">
      <c r="A97" s="1">
        <v>41024</v>
      </c>
      <c r="B97" s="56" t="s">
        <v>183</v>
      </c>
      <c r="C97" s="57" t="s">
        <v>138</v>
      </c>
      <c r="F97" s="1">
        <v>41015</v>
      </c>
      <c r="G97" s="1">
        <v>41042</v>
      </c>
      <c r="H97" t="s">
        <v>53</v>
      </c>
      <c r="I97" t="s">
        <v>142</v>
      </c>
      <c r="J97" t="s">
        <v>143</v>
      </c>
      <c r="L97" s="3" t="s">
        <v>48</v>
      </c>
      <c r="M97" s="17" t="str">
        <f t="shared" si="3"/>
        <v>DaysInPrd</v>
      </c>
      <c r="N97" s="18" t="str">
        <f t="shared" si="4"/>
        <v>P</v>
      </c>
      <c r="O97" s="3">
        <f t="shared" si="5"/>
        <v>28</v>
      </c>
    </row>
    <row r="98" spans="1:15" ht="15.75" x14ac:dyDescent="0.25">
      <c r="A98" s="1">
        <v>38395</v>
      </c>
      <c r="B98" s="56" t="s">
        <v>183</v>
      </c>
      <c r="C98" s="57" t="s">
        <v>138</v>
      </c>
      <c r="F98" s="1">
        <v>38376</v>
      </c>
      <c r="G98" s="1">
        <v>38403</v>
      </c>
      <c r="H98" t="s">
        <v>84</v>
      </c>
      <c r="I98" t="s">
        <v>143</v>
      </c>
      <c r="J98" t="s">
        <v>17</v>
      </c>
      <c r="L98" s="3" t="s">
        <v>48</v>
      </c>
      <c r="M98" s="17" t="str">
        <f t="shared" si="3"/>
        <v>DaysInPrd</v>
      </c>
      <c r="N98" s="18" t="str">
        <f t="shared" si="4"/>
        <v>P</v>
      </c>
      <c r="O98" s="3">
        <f t="shared" si="5"/>
        <v>28</v>
      </c>
    </row>
    <row r="99" spans="1:15" ht="15.75" x14ac:dyDescent="0.25">
      <c r="A99" s="1">
        <v>37440</v>
      </c>
      <c r="B99" s="56" t="s">
        <v>183</v>
      </c>
      <c r="C99" s="57" t="s">
        <v>138</v>
      </c>
      <c r="F99" s="1">
        <v>37424</v>
      </c>
      <c r="G99" s="1">
        <v>37451</v>
      </c>
      <c r="H99" t="s">
        <v>78</v>
      </c>
      <c r="I99" t="s">
        <v>151</v>
      </c>
      <c r="J99" t="s">
        <v>143</v>
      </c>
      <c r="L99" s="3" t="s">
        <v>48</v>
      </c>
      <c r="M99" s="17" t="str">
        <f t="shared" si="3"/>
        <v>DaysInPrd</v>
      </c>
      <c r="N99" s="18" t="str">
        <f t="shared" si="4"/>
        <v>P</v>
      </c>
      <c r="O99" s="3">
        <f t="shared" si="5"/>
        <v>28</v>
      </c>
    </row>
    <row r="100" spans="1:15" ht="15.75" x14ac:dyDescent="0.25">
      <c r="A100" s="1"/>
      <c r="B100" s="3"/>
      <c r="F100" s="1"/>
      <c r="G100" s="1"/>
      <c r="M100" s="17"/>
      <c r="N100" s="19"/>
    </row>
    <row r="101" spans="1:15" ht="15.75" x14ac:dyDescent="0.25">
      <c r="A101" s="1"/>
      <c r="B101" s="3"/>
      <c r="F101" s="1"/>
      <c r="G101" s="1"/>
      <c r="M101" s="17"/>
      <c r="N101" s="19"/>
    </row>
    <row r="102" spans="1:15" x14ac:dyDescent="0.25">
      <c r="A102" s="1"/>
      <c r="B102" s="3"/>
      <c r="F102" s="1"/>
      <c r="G102" s="1"/>
      <c r="M102" s="1"/>
    </row>
    <row r="103" spans="1:15" x14ac:dyDescent="0.25">
      <c r="A103" s="1"/>
      <c r="B103" s="3"/>
      <c r="F103" s="1"/>
      <c r="G103" s="1"/>
      <c r="M103" s="1"/>
    </row>
    <row r="104" spans="1:15" x14ac:dyDescent="0.25">
      <c r="A104" s="1"/>
      <c r="B104" s="3"/>
      <c r="F104" s="1"/>
      <c r="G104" s="1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</row>
    <row r="110" spans="1:15" x14ac:dyDescent="0.25">
      <c r="A110" s="1"/>
      <c r="B110" s="3"/>
      <c r="F110" s="1"/>
      <c r="G110" s="1"/>
    </row>
    <row r="111" spans="1:15" x14ac:dyDescent="0.25">
      <c r="A111" s="1"/>
      <c r="B111" s="3"/>
      <c r="F111" s="1"/>
      <c r="G111" s="1"/>
    </row>
    <row r="112" spans="1:15" x14ac:dyDescent="0.25">
      <c r="A112" s="1"/>
      <c r="B112" s="3"/>
      <c r="F112" s="1"/>
      <c r="G112" s="1"/>
    </row>
    <row r="113" spans="1:7" x14ac:dyDescent="0.25">
      <c r="A113" s="1"/>
      <c r="B113" s="3"/>
      <c r="F113" s="1"/>
      <c r="G113" s="1"/>
    </row>
    <row r="114" spans="1:7" x14ac:dyDescent="0.25">
      <c r="A114" s="1"/>
      <c r="B114" s="3"/>
      <c r="F114" s="1"/>
      <c r="G114" s="1"/>
    </row>
    <row r="115" spans="1:7" x14ac:dyDescent="0.25">
      <c r="A115" s="1"/>
      <c r="B115" s="3"/>
      <c r="F115" s="1"/>
      <c r="G115" s="1"/>
    </row>
    <row r="116" spans="1:7" x14ac:dyDescent="0.25">
      <c r="A116" s="1"/>
      <c r="B116" s="3"/>
      <c r="F116" s="1"/>
      <c r="G116" s="1"/>
    </row>
    <row r="117" spans="1:7" x14ac:dyDescent="0.25">
      <c r="A117" s="1"/>
      <c r="B117" s="1"/>
      <c r="F117" s="1"/>
      <c r="G117" s="1"/>
    </row>
    <row r="118" spans="1:7" x14ac:dyDescent="0.25">
      <c r="A118" s="1"/>
      <c r="B118" s="1"/>
      <c r="F118" s="1"/>
      <c r="G118" s="1"/>
    </row>
    <row r="119" spans="1:7" x14ac:dyDescent="0.25">
      <c r="A119" s="1"/>
      <c r="B119" s="1"/>
      <c r="F119" s="1"/>
      <c r="G119" s="1"/>
    </row>
    <row r="120" spans="1:7" x14ac:dyDescent="0.25">
      <c r="A120" s="1"/>
      <c r="B120" s="1"/>
      <c r="F120" s="1"/>
      <c r="G120" s="1"/>
    </row>
    <row r="121" spans="1:7" x14ac:dyDescent="0.25">
      <c r="A121" s="1"/>
      <c r="B121" s="1"/>
      <c r="F121" s="1"/>
      <c r="G121" s="1"/>
    </row>
    <row r="122" spans="1:7" x14ac:dyDescent="0.25">
      <c r="A122" s="1"/>
      <c r="B122" s="1"/>
      <c r="F122" s="1"/>
      <c r="G122" s="1"/>
    </row>
    <row r="123" spans="1:7" x14ac:dyDescent="0.25">
      <c r="A123" s="1"/>
      <c r="B123" s="1"/>
      <c r="F123" s="1"/>
      <c r="G123" s="1"/>
    </row>
    <row r="124" spans="1:7" x14ac:dyDescent="0.25">
      <c r="A124" s="1"/>
      <c r="B124" s="1"/>
      <c r="F124" s="1"/>
      <c r="G124" s="1"/>
    </row>
    <row r="125" spans="1:7" x14ac:dyDescent="0.25">
      <c r="A125" s="1"/>
      <c r="B125" s="1"/>
      <c r="F125" s="1"/>
      <c r="G125" s="1"/>
    </row>
    <row r="126" spans="1:7" x14ac:dyDescent="0.25">
      <c r="A126" s="1"/>
      <c r="B126" s="1"/>
      <c r="F126" s="1"/>
      <c r="G126" s="1"/>
    </row>
    <row r="127" spans="1:7" x14ac:dyDescent="0.25">
      <c r="A127" s="1"/>
      <c r="B127" s="1"/>
      <c r="F127" s="1"/>
      <c r="G127" s="1"/>
    </row>
    <row r="128" spans="1:7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G404" s="1"/>
    </row>
    <row r="405" spans="1:7" x14ac:dyDescent="0.25">
      <c r="A405" s="1"/>
      <c r="B405" s="1"/>
      <c r="G405" s="1"/>
    </row>
    <row r="406" spans="1:7" x14ac:dyDescent="0.25">
      <c r="A406" s="1"/>
      <c r="B406" s="1"/>
      <c r="G406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1</xdr:col>
                <xdr:colOff>1362075</xdr:colOff>
                <xdr:row>2</xdr:row>
                <xdr:rowOff>104775</xdr:rowOff>
              </to>
            </anchor>
          </controlPr>
        </control>
      </mc:Choice>
      <mc:Fallback>
        <control shapeId="10241" r:id="rId4" name="ExecuteQueries"/>
      </mc:Fallback>
    </mc:AlternateContent>
    <mc:AlternateContent xmlns:mc="http://schemas.openxmlformats.org/markup-compatibility/2006">
      <mc:Choice Requires="x14">
        <control shapeId="10242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485775</xdr:colOff>
                <xdr:row>2</xdr:row>
                <xdr:rowOff>104775</xdr:rowOff>
              </to>
            </anchor>
          </controlPr>
        </control>
      </mc:Choice>
      <mc:Fallback>
        <control shapeId="10242" r:id="rId6" name="Clear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92D050"/>
  </sheetPr>
  <dimension ref="A1:R412"/>
  <sheetViews>
    <sheetView topLeftCell="A22" workbookViewId="0">
      <selection activeCell="N35" sqref="N35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9.8554687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92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5">
        <v>37953</v>
      </c>
      <c r="B8" s="56" t="s">
        <v>184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22</v>
      </c>
      <c r="M8" s="17" t="str">
        <f>B8</f>
        <v>WksInPrd</v>
      </c>
      <c r="N8" s="18" t="str">
        <f>IF(VALUE(L8)=VALUE(O8), "P","F")</f>
        <v>P</v>
      </c>
      <c r="O8" s="3">
        <f>(G8-F8+1)/7</f>
        <v>4</v>
      </c>
      <c r="R8" t="s">
        <v>24</v>
      </c>
    </row>
    <row r="9" spans="1:18" ht="15.75" x14ac:dyDescent="0.25">
      <c r="A9" s="55">
        <v>37954</v>
      </c>
      <c r="B9" s="56" t="s">
        <v>184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22</v>
      </c>
      <c r="M9" s="17" t="str">
        <f t="shared" ref="M9:M40" si="0">B9</f>
        <v>WksInPrd</v>
      </c>
      <c r="N9" s="19" t="str">
        <f t="shared" ref="N9:N40" si="1">IF(VALUE(L9)=VALUE(O9), "P","F")</f>
        <v>P</v>
      </c>
      <c r="O9" s="3">
        <f t="shared" ref="O9:O72" si="2">(G9-F9+1)/7</f>
        <v>4</v>
      </c>
      <c r="R9" t="s">
        <v>25</v>
      </c>
    </row>
    <row r="10" spans="1:18" ht="15.75" x14ac:dyDescent="0.25">
      <c r="A10" s="55">
        <v>37955</v>
      </c>
      <c r="B10" s="56" t="s">
        <v>184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22</v>
      </c>
      <c r="M10" s="17" t="str">
        <f t="shared" si="0"/>
        <v>WksInPrd</v>
      </c>
      <c r="N10" s="19" t="str">
        <f t="shared" si="1"/>
        <v>P</v>
      </c>
      <c r="O10" s="3">
        <f t="shared" si="2"/>
        <v>4</v>
      </c>
      <c r="R10" t="s">
        <v>26</v>
      </c>
    </row>
    <row r="11" spans="1:18" ht="15.75" x14ac:dyDescent="0.25">
      <c r="A11" s="55">
        <v>37956</v>
      </c>
      <c r="B11" s="56" t="s">
        <v>184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22</v>
      </c>
      <c r="M11" s="17" t="str">
        <f t="shared" si="0"/>
        <v>WksInPrd</v>
      </c>
      <c r="N11" s="19" t="str">
        <f t="shared" si="1"/>
        <v>P</v>
      </c>
      <c r="O11" s="3">
        <f t="shared" si="2"/>
        <v>4</v>
      </c>
      <c r="R11" t="s">
        <v>27</v>
      </c>
    </row>
    <row r="12" spans="1:18" ht="15.75" x14ac:dyDescent="0.25">
      <c r="A12" s="55">
        <v>38320</v>
      </c>
      <c r="B12" s="56" t="s">
        <v>184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22</v>
      </c>
      <c r="M12" s="17" t="str">
        <f t="shared" si="0"/>
        <v>WksInPrd</v>
      </c>
      <c r="N12" s="19" t="str">
        <f t="shared" si="1"/>
        <v>P</v>
      </c>
      <c r="O12" s="3">
        <f t="shared" si="2"/>
        <v>4</v>
      </c>
      <c r="R12" t="s">
        <v>28</v>
      </c>
    </row>
    <row r="13" spans="1:18" ht="15.75" x14ac:dyDescent="0.25">
      <c r="A13" s="55">
        <v>38684</v>
      </c>
      <c r="B13" s="56" t="s">
        <v>184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22</v>
      </c>
      <c r="M13" s="17" t="str">
        <f t="shared" si="0"/>
        <v>WksInPrd</v>
      </c>
      <c r="N13" s="19" t="str">
        <f t="shared" si="1"/>
        <v>P</v>
      </c>
      <c r="O13" s="3">
        <v>4</v>
      </c>
      <c r="R13" t="s">
        <v>29</v>
      </c>
    </row>
    <row r="14" spans="1:18" ht="15.75" x14ac:dyDescent="0.25">
      <c r="A14" s="55">
        <v>46356</v>
      </c>
      <c r="B14" s="56" t="s">
        <v>184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22</v>
      </c>
      <c r="M14" s="17" t="str">
        <f t="shared" si="0"/>
        <v>WksInPrd</v>
      </c>
      <c r="N14" s="19" t="str">
        <f t="shared" si="1"/>
        <v>P</v>
      </c>
      <c r="O14" s="3">
        <f t="shared" si="2"/>
        <v>4</v>
      </c>
      <c r="R14" t="s">
        <v>30</v>
      </c>
    </row>
    <row r="15" spans="1:18" ht="15.75" x14ac:dyDescent="0.25">
      <c r="A15" s="55">
        <v>46720</v>
      </c>
      <c r="B15" s="56" t="s">
        <v>184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22</v>
      </c>
      <c r="M15" s="17" t="str">
        <f t="shared" si="0"/>
        <v>WksInPrd</v>
      </c>
      <c r="N15" s="19" t="str">
        <f t="shared" si="1"/>
        <v>P</v>
      </c>
      <c r="O15" s="3">
        <f t="shared" si="2"/>
        <v>4</v>
      </c>
      <c r="R15" t="s">
        <v>31</v>
      </c>
    </row>
    <row r="16" spans="1:18" ht="15.75" x14ac:dyDescent="0.25">
      <c r="A16" s="55">
        <v>47084</v>
      </c>
      <c r="B16" s="56" t="s">
        <v>184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21</v>
      </c>
      <c r="M16" s="17" t="str">
        <f t="shared" si="0"/>
        <v>WksInPrd</v>
      </c>
      <c r="N16" s="19" t="str">
        <f t="shared" si="1"/>
        <v>P</v>
      </c>
      <c r="O16" s="3">
        <f t="shared" si="2"/>
        <v>5</v>
      </c>
      <c r="R16" t="s">
        <v>32</v>
      </c>
    </row>
    <row r="17" spans="1:18" ht="15.75" x14ac:dyDescent="0.25">
      <c r="A17" s="55">
        <v>47455</v>
      </c>
      <c r="B17" s="56" t="s">
        <v>184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22</v>
      </c>
      <c r="M17" s="17" t="str">
        <f t="shared" si="0"/>
        <v>WksInPrd</v>
      </c>
      <c r="N17" s="19" t="str">
        <f t="shared" si="1"/>
        <v>P</v>
      </c>
      <c r="O17" s="3">
        <f t="shared" si="2"/>
        <v>4</v>
      </c>
      <c r="R17" t="s">
        <v>33</v>
      </c>
    </row>
    <row r="18" spans="1:18" ht="15.75" x14ac:dyDescent="0.25">
      <c r="A18" s="55">
        <v>47819</v>
      </c>
      <c r="B18" s="56" t="s">
        <v>184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22</v>
      </c>
      <c r="M18" s="17" t="str">
        <f t="shared" si="0"/>
        <v>WksInPrd</v>
      </c>
      <c r="N18" s="19" t="str">
        <f t="shared" si="1"/>
        <v>P</v>
      </c>
      <c r="O18" s="3">
        <f t="shared" si="2"/>
        <v>4</v>
      </c>
      <c r="R18" t="s">
        <v>34</v>
      </c>
    </row>
    <row r="19" spans="1:18" ht="15.75" x14ac:dyDescent="0.25">
      <c r="A19" s="55">
        <v>37255</v>
      </c>
      <c r="B19" s="56" t="s">
        <v>184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22</v>
      </c>
      <c r="M19" s="17" t="str">
        <f t="shared" si="0"/>
        <v>WksInPrd</v>
      </c>
      <c r="N19" s="19" t="str">
        <f t="shared" si="1"/>
        <v>P</v>
      </c>
      <c r="O19" s="3">
        <f t="shared" si="2"/>
        <v>4</v>
      </c>
      <c r="R19" t="s">
        <v>35</v>
      </c>
    </row>
    <row r="20" spans="1:18" ht="15.75" x14ac:dyDescent="0.25">
      <c r="A20" s="55">
        <v>37619</v>
      </c>
      <c r="B20" s="56" t="s">
        <v>184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22</v>
      </c>
      <c r="M20" s="17" t="str">
        <f t="shared" si="0"/>
        <v>WksInPrd</v>
      </c>
      <c r="N20" s="19" t="str">
        <f t="shared" si="1"/>
        <v>P</v>
      </c>
      <c r="O20" s="3">
        <f t="shared" si="2"/>
        <v>4</v>
      </c>
      <c r="R20" t="s">
        <v>36</v>
      </c>
    </row>
    <row r="21" spans="1:18" ht="15.75" x14ac:dyDescent="0.25">
      <c r="A21" s="55">
        <v>37983</v>
      </c>
      <c r="B21" s="56" t="s">
        <v>184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22</v>
      </c>
      <c r="M21" s="17" t="str">
        <f t="shared" si="0"/>
        <v>WksInPrd</v>
      </c>
      <c r="N21" s="19" t="str">
        <f t="shared" si="1"/>
        <v>P</v>
      </c>
      <c r="O21" s="3">
        <f t="shared" si="2"/>
        <v>4</v>
      </c>
      <c r="R21" t="s">
        <v>37</v>
      </c>
    </row>
    <row r="22" spans="1:18" ht="15.75" x14ac:dyDescent="0.25">
      <c r="A22" s="55">
        <v>38347</v>
      </c>
      <c r="B22" s="56" t="s">
        <v>184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22</v>
      </c>
      <c r="M22" s="17" t="str">
        <f t="shared" si="0"/>
        <v>WksInPrd</v>
      </c>
      <c r="N22" s="19" t="str">
        <f t="shared" si="1"/>
        <v>P</v>
      </c>
      <c r="O22" s="3">
        <f t="shared" si="2"/>
        <v>4</v>
      </c>
      <c r="R22" t="s">
        <v>38</v>
      </c>
    </row>
    <row r="23" spans="1:18" ht="15.75" x14ac:dyDescent="0.25">
      <c r="A23" s="55">
        <v>38711</v>
      </c>
      <c r="B23" s="56" t="s">
        <v>184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22</v>
      </c>
      <c r="M23" s="17" t="str">
        <f t="shared" si="0"/>
        <v>WksInPrd</v>
      </c>
      <c r="N23" s="19" t="str">
        <f t="shared" si="1"/>
        <v>P</v>
      </c>
      <c r="O23" s="3">
        <f t="shared" si="2"/>
        <v>4</v>
      </c>
      <c r="R23" t="s">
        <v>39</v>
      </c>
    </row>
    <row r="24" spans="1:18" ht="15.75" x14ac:dyDescent="0.25">
      <c r="A24" s="55">
        <v>39082</v>
      </c>
      <c r="B24" s="56" t="s">
        <v>184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21</v>
      </c>
      <c r="M24" s="17" t="str">
        <f t="shared" si="0"/>
        <v>WksInPrd</v>
      </c>
      <c r="N24" s="19" t="str">
        <f t="shared" si="1"/>
        <v>P</v>
      </c>
      <c r="O24" s="3">
        <f t="shared" si="2"/>
        <v>5</v>
      </c>
      <c r="R24" t="s">
        <v>40</v>
      </c>
    </row>
    <row r="25" spans="1:18" ht="15.75" x14ac:dyDescent="0.25">
      <c r="A25" s="55">
        <v>39446</v>
      </c>
      <c r="B25" s="56" t="s">
        <v>184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22</v>
      </c>
      <c r="M25" s="17" t="str">
        <f t="shared" si="0"/>
        <v>WksInPrd</v>
      </c>
      <c r="N25" s="19" t="str">
        <f t="shared" si="1"/>
        <v>P</v>
      </c>
      <c r="O25" s="3">
        <f t="shared" si="2"/>
        <v>4</v>
      </c>
    </row>
    <row r="26" spans="1:18" ht="15.75" x14ac:dyDescent="0.25">
      <c r="A26" s="55">
        <v>39810</v>
      </c>
      <c r="B26" s="56" t="s">
        <v>184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22</v>
      </c>
      <c r="M26" s="17" t="str">
        <f t="shared" si="0"/>
        <v>WksInPrd</v>
      </c>
      <c r="N26" s="19" t="str">
        <f t="shared" si="1"/>
        <v>P</v>
      </c>
      <c r="O26" s="3">
        <f t="shared" si="2"/>
        <v>4</v>
      </c>
      <c r="R26" t="s">
        <v>247</v>
      </c>
    </row>
    <row r="27" spans="1:18" ht="15.75" x14ac:dyDescent="0.25">
      <c r="A27" s="55">
        <v>40174</v>
      </c>
      <c r="B27" s="56" t="s">
        <v>184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22</v>
      </c>
      <c r="M27" s="17" t="str">
        <f t="shared" si="0"/>
        <v>WksInPrd</v>
      </c>
      <c r="N27" s="19" t="str">
        <f t="shared" si="1"/>
        <v>P</v>
      </c>
      <c r="O27" s="3">
        <f t="shared" si="2"/>
        <v>4</v>
      </c>
      <c r="R27" t="s">
        <v>242</v>
      </c>
    </row>
    <row r="28" spans="1:18" ht="15.75" x14ac:dyDescent="0.25">
      <c r="A28" s="55">
        <v>40538</v>
      </c>
      <c r="B28" s="56" t="s">
        <v>184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22</v>
      </c>
      <c r="M28" s="17" t="str">
        <f t="shared" si="0"/>
        <v>WksInPrd</v>
      </c>
      <c r="N28" s="19" t="str">
        <f t="shared" si="1"/>
        <v>P</v>
      </c>
      <c r="O28" s="3">
        <f t="shared" si="2"/>
        <v>4</v>
      </c>
      <c r="R28" t="s">
        <v>243</v>
      </c>
    </row>
    <row r="29" spans="1:18" ht="15.75" x14ac:dyDescent="0.25">
      <c r="A29" s="55">
        <v>40902</v>
      </c>
      <c r="B29" s="56" t="s">
        <v>184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22</v>
      </c>
      <c r="M29" s="17" t="str">
        <f t="shared" si="0"/>
        <v>WksInPrd</v>
      </c>
      <c r="N29" s="19" t="str">
        <f t="shared" si="1"/>
        <v>P</v>
      </c>
      <c r="O29" s="3">
        <f t="shared" si="2"/>
        <v>4</v>
      </c>
      <c r="R29" t="s">
        <v>244</v>
      </c>
    </row>
    <row r="30" spans="1:18" ht="15.75" x14ac:dyDescent="0.25">
      <c r="A30" s="55">
        <v>41273</v>
      </c>
      <c r="B30" s="56" t="s">
        <v>184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21</v>
      </c>
      <c r="M30" s="17" t="str">
        <f t="shared" si="0"/>
        <v>WksInPrd</v>
      </c>
      <c r="N30" s="19" t="str">
        <f t="shared" si="1"/>
        <v>P</v>
      </c>
      <c r="O30" s="3">
        <f t="shared" si="2"/>
        <v>5</v>
      </c>
      <c r="R30" t="s">
        <v>245</v>
      </c>
    </row>
    <row r="31" spans="1:18" ht="15.75" x14ac:dyDescent="0.25">
      <c r="A31" s="55">
        <v>41637</v>
      </c>
      <c r="B31" s="56" t="s">
        <v>184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22</v>
      </c>
      <c r="M31" s="17" t="str">
        <f t="shared" si="0"/>
        <v>WksInPrd</v>
      </c>
      <c r="N31" s="19" t="str">
        <f t="shared" si="1"/>
        <v>P</v>
      </c>
      <c r="O31" s="3">
        <f t="shared" si="2"/>
        <v>4</v>
      </c>
      <c r="R31" t="s">
        <v>246</v>
      </c>
    </row>
    <row r="32" spans="1:18" ht="15.75" x14ac:dyDescent="0.25">
      <c r="A32" s="55">
        <v>42001</v>
      </c>
      <c r="B32" s="56" t="s">
        <v>184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22</v>
      </c>
      <c r="M32" s="17" t="str">
        <f t="shared" si="0"/>
        <v>WksInPrd</v>
      </c>
      <c r="N32" s="19" t="str">
        <f t="shared" si="1"/>
        <v>P</v>
      </c>
      <c r="O32" s="3">
        <f t="shared" si="2"/>
        <v>4</v>
      </c>
    </row>
    <row r="33" spans="1:15" ht="15.75" x14ac:dyDescent="0.25">
      <c r="A33" s="55">
        <v>42365</v>
      </c>
      <c r="B33" s="56" t="s">
        <v>184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22</v>
      </c>
      <c r="M33" s="17" t="str">
        <f t="shared" si="0"/>
        <v>WksInPrd</v>
      </c>
      <c r="N33" s="19" t="str">
        <f t="shared" si="1"/>
        <v>P</v>
      </c>
      <c r="O33" s="3">
        <f t="shared" si="2"/>
        <v>4</v>
      </c>
    </row>
    <row r="34" spans="1:15" ht="15.75" x14ac:dyDescent="0.25">
      <c r="A34" s="55">
        <v>42729</v>
      </c>
      <c r="B34" s="56" t="s">
        <v>184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22</v>
      </c>
      <c r="M34" s="17" t="str">
        <f t="shared" si="0"/>
        <v>WksInPrd</v>
      </c>
      <c r="N34" s="19" t="str">
        <f t="shared" si="1"/>
        <v>P</v>
      </c>
      <c r="O34" s="3">
        <f t="shared" si="2"/>
        <v>4</v>
      </c>
    </row>
    <row r="35" spans="1:15" ht="15.75" x14ac:dyDescent="0.25">
      <c r="A35" s="55">
        <v>37255</v>
      </c>
      <c r="B35" s="56" t="s">
        <v>184</v>
      </c>
      <c r="C35" s="56" t="s">
        <v>109</v>
      </c>
      <c r="F35" s="1">
        <v>37228</v>
      </c>
      <c r="G35" s="1">
        <v>37255</v>
      </c>
      <c r="H35" t="s">
        <v>77</v>
      </c>
      <c r="I35" t="s">
        <v>14</v>
      </c>
      <c r="J35" t="s">
        <v>12</v>
      </c>
      <c r="L35" t="s">
        <v>22</v>
      </c>
      <c r="M35" s="17" t="str">
        <f t="shared" si="0"/>
        <v>WksInPrd</v>
      </c>
      <c r="N35" s="19" t="str">
        <f t="shared" si="1"/>
        <v>P</v>
      </c>
      <c r="O35" s="3">
        <f t="shared" si="2"/>
        <v>4</v>
      </c>
    </row>
    <row r="36" spans="1:15" ht="15.75" x14ac:dyDescent="0.25">
      <c r="A36" s="55">
        <v>37619</v>
      </c>
      <c r="B36" s="56" t="s">
        <v>184</v>
      </c>
      <c r="C36" s="56" t="s">
        <v>109</v>
      </c>
      <c r="F36" s="1">
        <v>37592</v>
      </c>
      <c r="G36" s="1">
        <v>37619</v>
      </c>
      <c r="H36" t="s">
        <v>78</v>
      </c>
      <c r="I36" t="s">
        <v>14</v>
      </c>
      <c r="J36" t="s">
        <v>12</v>
      </c>
      <c r="L36" t="s">
        <v>22</v>
      </c>
      <c r="M36" s="17" t="str">
        <f t="shared" si="0"/>
        <v>WksInPrd</v>
      </c>
      <c r="N36" s="19" t="str">
        <f t="shared" si="1"/>
        <v>P</v>
      </c>
      <c r="O36" s="3">
        <f t="shared" si="2"/>
        <v>4</v>
      </c>
    </row>
    <row r="37" spans="1:15" ht="15.75" x14ac:dyDescent="0.25">
      <c r="A37" s="55">
        <v>37983</v>
      </c>
      <c r="B37" s="56" t="s">
        <v>184</v>
      </c>
      <c r="C37" s="56" t="s">
        <v>109</v>
      </c>
      <c r="F37" s="1">
        <v>37956</v>
      </c>
      <c r="G37" s="1">
        <v>37983</v>
      </c>
      <c r="H37" t="s">
        <v>80</v>
      </c>
      <c r="I37" t="s">
        <v>14</v>
      </c>
      <c r="J37" t="s">
        <v>12</v>
      </c>
      <c r="L37" t="s">
        <v>22</v>
      </c>
      <c r="M37" s="17" t="str">
        <f t="shared" si="0"/>
        <v>WksInPrd</v>
      </c>
      <c r="N37" s="19" t="str">
        <f t="shared" si="1"/>
        <v>P</v>
      </c>
      <c r="O37" s="3">
        <f t="shared" si="2"/>
        <v>4</v>
      </c>
    </row>
    <row r="38" spans="1:15" ht="15.75" x14ac:dyDescent="0.25">
      <c r="A38" s="55">
        <v>38347</v>
      </c>
      <c r="B38" s="56" t="s">
        <v>184</v>
      </c>
      <c r="C38" s="56" t="s">
        <v>109</v>
      </c>
      <c r="F38" s="1">
        <v>38320</v>
      </c>
      <c r="G38" s="1">
        <v>38347</v>
      </c>
      <c r="H38" t="s">
        <v>82</v>
      </c>
      <c r="I38" t="s">
        <v>14</v>
      </c>
      <c r="J38" t="s">
        <v>12</v>
      </c>
      <c r="L38" t="s">
        <v>22</v>
      </c>
      <c r="M38" s="17" t="str">
        <f t="shared" si="0"/>
        <v>WksInPrd</v>
      </c>
      <c r="N38" s="19" t="str">
        <f t="shared" si="1"/>
        <v>P</v>
      </c>
      <c r="O38" s="3">
        <f t="shared" si="2"/>
        <v>4</v>
      </c>
    </row>
    <row r="39" spans="1:15" ht="15.75" x14ac:dyDescent="0.25">
      <c r="A39" s="55">
        <v>38711</v>
      </c>
      <c r="B39" s="56" t="s">
        <v>184</v>
      </c>
      <c r="C39" s="56" t="s">
        <v>109</v>
      </c>
      <c r="F39" s="1">
        <v>38684</v>
      </c>
      <c r="G39" s="1">
        <v>38711</v>
      </c>
      <c r="H39" t="s">
        <v>84</v>
      </c>
      <c r="I39" t="s">
        <v>14</v>
      </c>
      <c r="J39" t="s">
        <v>12</v>
      </c>
      <c r="L39" t="s">
        <v>22</v>
      </c>
      <c r="M39" s="17" t="str">
        <f t="shared" si="0"/>
        <v>WksInPrd</v>
      </c>
      <c r="N39" s="19" t="str">
        <f t="shared" si="1"/>
        <v>P</v>
      </c>
      <c r="O39" s="3">
        <f t="shared" si="2"/>
        <v>4</v>
      </c>
    </row>
    <row r="40" spans="1:15" ht="15.75" x14ac:dyDescent="0.25">
      <c r="A40" s="55">
        <v>39082</v>
      </c>
      <c r="B40" s="56" t="s">
        <v>184</v>
      </c>
      <c r="C40" s="56" t="s">
        <v>109</v>
      </c>
      <c r="F40" s="1">
        <v>39048</v>
      </c>
      <c r="G40" s="1">
        <v>39082</v>
      </c>
      <c r="H40" t="s">
        <v>86</v>
      </c>
      <c r="I40" t="s">
        <v>14</v>
      </c>
      <c r="J40" t="s">
        <v>12</v>
      </c>
      <c r="L40" t="s">
        <v>21</v>
      </c>
      <c r="M40" s="17" t="str">
        <f t="shared" si="0"/>
        <v>WksInPrd</v>
      </c>
      <c r="N40" s="19" t="str">
        <f t="shared" si="1"/>
        <v>P</v>
      </c>
      <c r="O40" s="3">
        <f t="shared" si="2"/>
        <v>5</v>
      </c>
    </row>
    <row r="41" spans="1:15" ht="15.75" x14ac:dyDescent="0.25">
      <c r="A41" s="55">
        <v>39446</v>
      </c>
      <c r="B41" s="56" t="s">
        <v>184</v>
      </c>
      <c r="C41" s="56" t="s">
        <v>109</v>
      </c>
      <c r="F41" s="1">
        <v>39419</v>
      </c>
      <c r="G41" s="1">
        <v>39446</v>
      </c>
      <c r="H41" t="s">
        <v>87</v>
      </c>
      <c r="I41" t="s">
        <v>14</v>
      </c>
      <c r="J41" t="s">
        <v>12</v>
      </c>
      <c r="L41" t="s">
        <v>22</v>
      </c>
      <c r="M41" s="17" t="str">
        <f t="shared" ref="M41:M99" si="3">B41</f>
        <v>WksInPrd</v>
      </c>
      <c r="N41" s="19" t="str">
        <f t="shared" ref="N41:N99" si="4">IF(VALUE(L41)=VALUE(O41), "P","F")</f>
        <v>P</v>
      </c>
      <c r="O41" s="3">
        <f t="shared" si="2"/>
        <v>4</v>
      </c>
    </row>
    <row r="42" spans="1:15" ht="15.75" x14ac:dyDescent="0.25">
      <c r="A42" s="55">
        <v>39810</v>
      </c>
      <c r="B42" s="56" t="s">
        <v>184</v>
      </c>
      <c r="C42" s="56" t="s">
        <v>109</v>
      </c>
      <c r="E42" s="2" t="s">
        <v>71</v>
      </c>
      <c r="F42" s="1">
        <v>39783</v>
      </c>
      <c r="G42" s="1">
        <v>39810</v>
      </c>
      <c r="H42" t="s">
        <v>88</v>
      </c>
      <c r="I42" t="s">
        <v>14</v>
      </c>
      <c r="J42" t="s">
        <v>12</v>
      </c>
      <c r="L42" t="s">
        <v>22</v>
      </c>
      <c r="M42" s="17" t="str">
        <f t="shared" si="3"/>
        <v>WksInPrd</v>
      </c>
      <c r="N42" s="19" t="str">
        <f t="shared" si="4"/>
        <v>P</v>
      </c>
      <c r="O42" s="3">
        <f t="shared" si="2"/>
        <v>4</v>
      </c>
    </row>
    <row r="43" spans="1:15" ht="15.75" x14ac:dyDescent="0.25">
      <c r="A43" s="55">
        <v>40174</v>
      </c>
      <c r="B43" s="56" t="s">
        <v>184</v>
      </c>
      <c r="C43" s="56" t="s">
        <v>109</v>
      </c>
      <c r="F43" s="1">
        <v>40147</v>
      </c>
      <c r="G43" s="1">
        <v>40174</v>
      </c>
      <c r="H43" t="s">
        <v>89</v>
      </c>
      <c r="I43" t="s">
        <v>14</v>
      </c>
      <c r="J43" t="s">
        <v>12</v>
      </c>
      <c r="L43" t="s">
        <v>22</v>
      </c>
      <c r="M43" s="17" t="str">
        <f t="shared" si="3"/>
        <v>WksInPrd</v>
      </c>
      <c r="N43" s="19" t="str">
        <f t="shared" si="4"/>
        <v>P</v>
      </c>
      <c r="O43" s="3">
        <f t="shared" si="2"/>
        <v>4</v>
      </c>
    </row>
    <row r="44" spans="1:15" ht="15.75" x14ac:dyDescent="0.25">
      <c r="A44" s="55">
        <v>40538</v>
      </c>
      <c r="B44" s="56" t="s">
        <v>184</v>
      </c>
      <c r="C44" s="56" t="s">
        <v>109</v>
      </c>
      <c r="F44" s="1">
        <v>40511</v>
      </c>
      <c r="G44" s="1">
        <v>40538</v>
      </c>
      <c r="H44" t="s">
        <v>90</v>
      </c>
      <c r="I44" t="s">
        <v>14</v>
      </c>
      <c r="J44" t="s">
        <v>12</v>
      </c>
      <c r="L44" t="s">
        <v>22</v>
      </c>
      <c r="M44" s="17" t="str">
        <f t="shared" si="3"/>
        <v>WksInPrd</v>
      </c>
      <c r="N44" s="19" t="str">
        <f t="shared" si="4"/>
        <v>P</v>
      </c>
      <c r="O44" s="3">
        <f t="shared" si="2"/>
        <v>4</v>
      </c>
    </row>
    <row r="45" spans="1:15" ht="15.75" x14ac:dyDescent="0.25">
      <c r="A45" s="55">
        <v>40902</v>
      </c>
      <c r="B45" s="56" t="s">
        <v>184</v>
      </c>
      <c r="C45" s="56" t="s">
        <v>109</v>
      </c>
      <c r="F45" s="1">
        <v>40875</v>
      </c>
      <c r="G45" s="1">
        <v>40902</v>
      </c>
      <c r="H45" t="s">
        <v>91</v>
      </c>
      <c r="I45" t="s">
        <v>14</v>
      </c>
      <c r="J45" t="s">
        <v>12</v>
      </c>
      <c r="L45" t="s">
        <v>22</v>
      </c>
      <c r="M45" s="17" t="str">
        <f t="shared" si="3"/>
        <v>WksInPrd</v>
      </c>
      <c r="N45" s="19" t="str">
        <f t="shared" si="4"/>
        <v>P</v>
      </c>
      <c r="O45" s="3">
        <f t="shared" si="2"/>
        <v>4</v>
      </c>
    </row>
    <row r="46" spans="1:15" ht="15.75" x14ac:dyDescent="0.25">
      <c r="A46" s="55">
        <v>41273</v>
      </c>
      <c r="B46" s="56" t="s">
        <v>184</v>
      </c>
      <c r="C46" s="56" t="s">
        <v>109</v>
      </c>
      <c r="F46" s="1">
        <v>41239</v>
      </c>
      <c r="G46" s="1">
        <v>41273</v>
      </c>
      <c r="H46" t="s">
        <v>53</v>
      </c>
      <c r="I46" t="s">
        <v>14</v>
      </c>
      <c r="J46" t="s">
        <v>12</v>
      </c>
      <c r="L46" t="s">
        <v>21</v>
      </c>
      <c r="M46" s="17" t="str">
        <f t="shared" si="3"/>
        <v>WksInPrd</v>
      </c>
      <c r="N46" s="19" t="str">
        <f t="shared" si="4"/>
        <v>P</v>
      </c>
      <c r="O46" s="3">
        <f t="shared" si="2"/>
        <v>5</v>
      </c>
    </row>
    <row r="47" spans="1:15" ht="15.75" x14ac:dyDescent="0.25">
      <c r="A47" s="55">
        <v>41637</v>
      </c>
      <c r="B47" s="56" t="s">
        <v>184</v>
      </c>
      <c r="C47" s="56" t="s">
        <v>109</v>
      </c>
      <c r="F47" s="1">
        <v>41610</v>
      </c>
      <c r="G47" s="1">
        <v>41637</v>
      </c>
      <c r="H47" t="s">
        <v>67</v>
      </c>
      <c r="I47" t="s">
        <v>14</v>
      </c>
      <c r="J47" t="s">
        <v>12</v>
      </c>
      <c r="L47" t="s">
        <v>22</v>
      </c>
      <c r="M47" s="17" t="str">
        <f t="shared" si="3"/>
        <v>WksInPrd</v>
      </c>
      <c r="N47" s="19" t="str">
        <f t="shared" si="4"/>
        <v>P</v>
      </c>
      <c r="O47" s="3">
        <f t="shared" si="2"/>
        <v>4</v>
      </c>
    </row>
    <row r="48" spans="1:15" ht="15.75" x14ac:dyDescent="0.25">
      <c r="A48" s="55">
        <v>42001</v>
      </c>
      <c r="B48" s="56" t="s">
        <v>184</v>
      </c>
      <c r="C48" s="56" t="s">
        <v>109</v>
      </c>
      <c r="F48" s="1">
        <v>41974</v>
      </c>
      <c r="G48" s="1">
        <v>42001</v>
      </c>
      <c r="H48" t="s">
        <v>92</v>
      </c>
      <c r="I48" t="s">
        <v>14</v>
      </c>
      <c r="J48" t="s">
        <v>12</v>
      </c>
      <c r="L48" t="s">
        <v>22</v>
      </c>
      <c r="M48" s="17" t="str">
        <f t="shared" si="3"/>
        <v>WksInPrd</v>
      </c>
      <c r="N48" s="19" t="str">
        <f t="shared" si="4"/>
        <v>P</v>
      </c>
      <c r="O48" s="3">
        <f t="shared" si="2"/>
        <v>4</v>
      </c>
    </row>
    <row r="49" spans="1:15" ht="15.75" x14ac:dyDescent="0.25">
      <c r="A49" s="55">
        <v>42365</v>
      </c>
      <c r="B49" s="56" t="s">
        <v>184</v>
      </c>
      <c r="C49" s="56" t="s">
        <v>109</v>
      </c>
      <c r="F49" s="1">
        <v>42338</v>
      </c>
      <c r="G49" s="1">
        <v>42365</v>
      </c>
      <c r="H49" t="s">
        <v>93</v>
      </c>
      <c r="I49" t="s">
        <v>14</v>
      </c>
      <c r="J49" t="s">
        <v>12</v>
      </c>
      <c r="L49" t="s">
        <v>22</v>
      </c>
      <c r="M49" s="17" t="str">
        <f t="shared" si="3"/>
        <v>WksInPrd</v>
      </c>
      <c r="N49" s="19" t="str">
        <f t="shared" si="4"/>
        <v>P</v>
      </c>
      <c r="O49" s="3">
        <f t="shared" si="2"/>
        <v>4</v>
      </c>
    </row>
    <row r="50" spans="1:15" ht="15.75" x14ac:dyDescent="0.25">
      <c r="A50" s="55">
        <v>42729</v>
      </c>
      <c r="B50" s="56" t="s">
        <v>184</v>
      </c>
      <c r="C50" s="56" t="s">
        <v>109</v>
      </c>
      <c r="F50" s="1">
        <v>42702</v>
      </c>
      <c r="G50" s="1">
        <v>42729</v>
      </c>
      <c r="H50" t="s">
        <v>16</v>
      </c>
      <c r="I50" t="s">
        <v>14</v>
      </c>
      <c r="J50" t="s">
        <v>12</v>
      </c>
      <c r="L50" t="s">
        <v>22</v>
      </c>
      <c r="M50" s="17" t="str">
        <f t="shared" si="3"/>
        <v>WksInPrd</v>
      </c>
      <c r="N50" s="19" t="str">
        <f t="shared" si="4"/>
        <v>P</v>
      </c>
      <c r="O50" s="3">
        <f t="shared" si="2"/>
        <v>4</v>
      </c>
    </row>
    <row r="51" spans="1:15" ht="15.75" x14ac:dyDescent="0.25">
      <c r="A51" s="55">
        <v>39048</v>
      </c>
      <c r="B51" s="56" t="s">
        <v>184</v>
      </c>
      <c r="C51" s="56" t="s">
        <v>111</v>
      </c>
      <c r="F51" s="1">
        <v>39048</v>
      </c>
      <c r="G51" s="1">
        <v>39082</v>
      </c>
      <c r="H51" t="s">
        <v>86</v>
      </c>
      <c r="I51" t="s">
        <v>14</v>
      </c>
      <c r="J51" t="s">
        <v>12</v>
      </c>
      <c r="L51" t="s">
        <v>21</v>
      </c>
      <c r="M51" s="17" t="str">
        <f t="shared" si="3"/>
        <v>WksInPrd</v>
      </c>
      <c r="N51" s="19" t="str">
        <f t="shared" si="4"/>
        <v>P</v>
      </c>
      <c r="O51" s="3">
        <f t="shared" si="2"/>
        <v>5</v>
      </c>
    </row>
    <row r="52" spans="1:15" ht="15.75" x14ac:dyDescent="0.25">
      <c r="A52" s="55">
        <v>43066</v>
      </c>
      <c r="B52" s="56" t="s">
        <v>184</v>
      </c>
      <c r="C52" s="56" t="s">
        <v>111</v>
      </c>
      <c r="F52" s="1">
        <v>43066</v>
      </c>
      <c r="G52" s="1">
        <v>43100</v>
      </c>
      <c r="H52" t="s">
        <v>70</v>
      </c>
      <c r="I52" t="s">
        <v>14</v>
      </c>
      <c r="J52" t="s">
        <v>12</v>
      </c>
      <c r="L52" t="s">
        <v>21</v>
      </c>
      <c r="M52" s="17" t="str">
        <f t="shared" si="3"/>
        <v>WksInPrd</v>
      </c>
      <c r="N52" s="19" t="str">
        <f t="shared" si="4"/>
        <v>P</v>
      </c>
      <c r="O52" s="3">
        <f t="shared" si="2"/>
        <v>5</v>
      </c>
    </row>
    <row r="53" spans="1:15" ht="15.75" x14ac:dyDescent="0.25">
      <c r="A53" s="55">
        <v>47084</v>
      </c>
      <c r="B53" s="56" t="s">
        <v>184</v>
      </c>
      <c r="C53" s="56" t="s">
        <v>111</v>
      </c>
      <c r="F53" s="1">
        <v>47084</v>
      </c>
      <c r="G53" s="1">
        <v>47118</v>
      </c>
      <c r="H53" t="s">
        <v>103</v>
      </c>
      <c r="I53" t="s">
        <v>14</v>
      </c>
      <c r="J53" t="s">
        <v>12</v>
      </c>
      <c r="L53" t="s">
        <v>21</v>
      </c>
      <c r="M53" s="17" t="str">
        <f t="shared" si="3"/>
        <v>WksInPrd</v>
      </c>
      <c r="N53" s="19" t="str">
        <f t="shared" si="4"/>
        <v>P</v>
      </c>
      <c r="O53" s="3">
        <f t="shared" si="2"/>
        <v>5</v>
      </c>
    </row>
    <row r="54" spans="1:15" ht="15.75" x14ac:dyDescent="0.25">
      <c r="A54" s="55">
        <v>39082</v>
      </c>
      <c r="B54" s="56" t="s">
        <v>184</v>
      </c>
      <c r="C54" s="56" t="s">
        <v>112</v>
      </c>
      <c r="F54" s="1">
        <v>39048</v>
      </c>
      <c r="G54" s="1">
        <v>39082</v>
      </c>
      <c r="H54" t="s">
        <v>86</v>
      </c>
      <c r="I54" t="s">
        <v>14</v>
      </c>
      <c r="J54" t="s">
        <v>12</v>
      </c>
      <c r="L54" t="s">
        <v>21</v>
      </c>
      <c r="M54" s="17" t="str">
        <f t="shared" si="3"/>
        <v>WksInPrd</v>
      </c>
      <c r="N54" s="19" t="str">
        <f t="shared" si="4"/>
        <v>P</v>
      </c>
      <c r="O54" s="3">
        <f t="shared" si="2"/>
        <v>5</v>
      </c>
    </row>
    <row r="55" spans="1:15" ht="15.75" x14ac:dyDescent="0.25">
      <c r="A55" s="55">
        <v>43100</v>
      </c>
      <c r="B55" s="56" t="s">
        <v>184</v>
      </c>
      <c r="C55" s="56" t="s">
        <v>112</v>
      </c>
      <c r="F55" s="1">
        <v>43066</v>
      </c>
      <c r="G55" s="1">
        <v>43100</v>
      </c>
      <c r="H55" t="s">
        <v>70</v>
      </c>
      <c r="I55" t="s">
        <v>14</v>
      </c>
      <c r="J55" t="s">
        <v>12</v>
      </c>
      <c r="L55" t="s">
        <v>21</v>
      </c>
      <c r="M55" s="17" t="str">
        <f t="shared" si="3"/>
        <v>WksInPrd</v>
      </c>
      <c r="N55" s="19" t="str">
        <f t="shared" si="4"/>
        <v>P</v>
      </c>
      <c r="O55" s="3">
        <f t="shared" si="2"/>
        <v>5</v>
      </c>
    </row>
    <row r="56" spans="1:15" ht="15.75" x14ac:dyDescent="0.25">
      <c r="A56" s="55">
        <v>47118</v>
      </c>
      <c r="B56" s="56" t="s">
        <v>184</v>
      </c>
      <c r="C56" s="56" t="s">
        <v>112</v>
      </c>
      <c r="F56" s="1">
        <v>47084</v>
      </c>
      <c r="G56" s="1">
        <v>47118</v>
      </c>
      <c r="H56" t="s">
        <v>103</v>
      </c>
      <c r="I56" t="s">
        <v>14</v>
      </c>
      <c r="J56" t="s">
        <v>12</v>
      </c>
      <c r="L56" t="s">
        <v>21</v>
      </c>
      <c r="M56" s="17" t="str">
        <f t="shared" si="3"/>
        <v>WksInPrd</v>
      </c>
      <c r="N56" s="19" t="str">
        <f t="shared" si="4"/>
        <v>P</v>
      </c>
      <c r="O56" s="3">
        <f t="shared" si="2"/>
        <v>5</v>
      </c>
    </row>
    <row r="57" spans="1:15" ht="15.75" x14ac:dyDescent="0.25">
      <c r="A57" s="55">
        <v>39048</v>
      </c>
      <c r="B57" s="56" t="s">
        <v>184</v>
      </c>
      <c r="C57" s="56" t="s">
        <v>111</v>
      </c>
      <c r="F57" s="1">
        <v>39048</v>
      </c>
      <c r="G57" s="1">
        <v>39082</v>
      </c>
      <c r="H57" t="s">
        <v>86</v>
      </c>
      <c r="I57" t="s">
        <v>14</v>
      </c>
      <c r="J57" t="s">
        <v>12</v>
      </c>
      <c r="L57" t="s">
        <v>21</v>
      </c>
      <c r="M57" s="17" t="str">
        <f t="shared" si="3"/>
        <v>WksInPrd</v>
      </c>
      <c r="N57" s="19" t="str">
        <f t="shared" si="4"/>
        <v>P</v>
      </c>
      <c r="O57" s="3">
        <f t="shared" si="2"/>
        <v>5</v>
      </c>
    </row>
    <row r="58" spans="1:15" ht="15.75" x14ac:dyDescent="0.25">
      <c r="A58" s="55">
        <v>43066</v>
      </c>
      <c r="B58" s="56" t="s">
        <v>184</v>
      </c>
      <c r="C58" s="56" t="s">
        <v>111</v>
      </c>
      <c r="F58" s="1">
        <v>43066</v>
      </c>
      <c r="G58" s="1">
        <v>43100</v>
      </c>
      <c r="H58" t="s">
        <v>70</v>
      </c>
      <c r="I58" t="s">
        <v>14</v>
      </c>
      <c r="J58" t="s">
        <v>12</v>
      </c>
      <c r="L58" t="s">
        <v>21</v>
      </c>
      <c r="M58" s="17" t="str">
        <f t="shared" si="3"/>
        <v>WksInPrd</v>
      </c>
      <c r="N58" s="19" t="str">
        <f t="shared" si="4"/>
        <v>P</v>
      </c>
      <c r="O58" s="3">
        <f t="shared" si="2"/>
        <v>5</v>
      </c>
    </row>
    <row r="59" spans="1:15" ht="15.75" x14ac:dyDescent="0.25">
      <c r="A59" s="55">
        <v>47084</v>
      </c>
      <c r="B59" s="56" t="s">
        <v>184</v>
      </c>
      <c r="C59" s="56" t="s">
        <v>111</v>
      </c>
      <c r="F59" s="1">
        <v>47084</v>
      </c>
      <c r="G59" s="1">
        <v>47118</v>
      </c>
      <c r="H59" t="s">
        <v>103</v>
      </c>
      <c r="I59" t="s">
        <v>14</v>
      </c>
      <c r="J59" t="s">
        <v>12</v>
      </c>
      <c r="L59" t="s">
        <v>21</v>
      </c>
      <c r="M59" s="17" t="str">
        <f t="shared" si="3"/>
        <v>WksInPrd</v>
      </c>
      <c r="N59" s="19" t="str">
        <f t="shared" si="4"/>
        <v>P</v>
      </c>
      <c r="O59" s="3">
        <f t="shared" si="2"/>
        <v>5</v>
      </c>
    </row>
    <row r="60" spans="1:15" ht="15.75" x14ac:dyDescent="0.25">
      <c r="A60" s="55">
        <v>39082</v>
      </c>
      <c r="B60" s="56" t="s">
        <v>184</v>
      </c>
      <c r="C60" s="56" t="s">
        <v>112</v>
      </c>
      <c r="F60" s="1">
        <v>39048</v>
      </c>
      <c r="G60" s="1">
        <v>39082</v>
      </c>
      <c r="H60" t="s">
        <v>86</v>
      </c>
      <c r="I60" t="s">
        <v>14</v>
      </c>
      <c r="J60" t="s">
        <v>12</v>
      </c>
      <c r="L60" t="s">
        <v>21</v>
      </c>
      <c r="M60" s="17" t="str">
        <f t="shared" si="3"/>
        <v>WksInPrd</v>
      </c>
      <c r="N60" s="19" t="str">
        <f t="shared" si="4"/>
        <v>P</v>
      </c>
      <c r="O60" s="3">
        <f t="shared" si="2"/>
        <v>5</v>
      </c>
    </row>
    <row r="61" spans="1:15" ht="15.75" x14ac:dyDescent="0.25">
      <c r="A61" s="55">
        <v>43100</v>
      </c>
      <c r="B61" s="56" t="s">
        <v>184</v>
      </c>
      <c r="C61" s="56" t="s">
        <v>112</v>
      </c>
      <c r="F61" s="1">
        <v>43066</v>
      </c>
      <c r="G61" s="1">
        <v>43100</v>
      </c>
      <c r="H61" t="s">
        <v>70</v>
      </c>
      <c r="I61" t="s">
        <v>14</v>
      </c>
      <c r="J61" t="s">
        <v>12</v>
      </c>
      <c r="L61" t="s">
        <v>21</v>
      </c>
      <c r="M61" s="17" t="str">
        <f t="shared" si="3"/>
        <v>WksInPrd</v>
      </c>
      <c r="N61" s="19" t="str">
        <f t="shared" si="4"/>
        <v>P</v>
      </c>
      <c r="O61" s="3">
        <f t="shared" si="2"/>
        <v>5</v>
      </c>
    </row>
    <row r="62" spans="1:15" ht="15.75" x14ac:dyDescent="0.25">
      <c r="A62" s="55">
        <v>47118</v>
      </c>
      <c r="B62" s="56" t="s">
        <v>184</v>
      </c>
      <c r="C62" s="56" t="s">
        <v>112</v>
      </c>
      <c r="F62" s="1">
        <v>47084</v>
      </c>
      <c r="G62" s="1">
        <v>47118</v>
      </c>
      <c r="H62" t="s">
        <v>103</v>
      </c>
      <c r="I62" t="s">
        <v>14</v>
      </c>
      <c r="J62" t="s">
        <v>12</v>
      </c>
      <c r="L62" t="s">
        <v>21</v>
      </c>
      <c r="M62" s="17" t="str">
        <f t="shared" si="3"/>
        <v>WksInPrd</v>
      </c>
      <c r="N62" s="19" t="str">
        <f t="shared" si="4"/>
        <v>P</v>
      </c>
      <c r="O62" s="3">
        <f t="shared" si="2"/>
        <v>5</v>
      </c>
    </row>
    <row r="63" spans="1:15" ht="15.75" x14ac:dyDescent="0.25">
      <c r="A63" s="55">
        <v>39048</v>
      </c>
      <c r="B63" s="56" t="s">
        <v>184</v>
      </c>
      <c r="C63" s="56" t="s">
        <v>111</v>
      </c>
      <c r="F63" s="1">
        <v>39048</v>
      </c>
      <c r="G63" s="1">
        <v>39082</v>
      </c>
      <c r="H63" t="s">
        <v>86</v>
      </c>
      <c r="I63" t="s">
        <v>14</v>
      </c>
      <c r="J63" t="s">
        <v>12</v>
      </c>
      <c r="L63" t="s">
        <v>21</v>
      </c>
      <c r="M63" s="17" t="str">
        <f t="shared" si="3"/>
        <v>WksInPrd</v>
      </c>
      <c r="N63" s="19" t="str">
        <f t="shared" si="4"/>
        <v>P</v>
      </c>
      <c r="O63" s="3">
        <f t="shared" si="2"/>
        <v>5</v>
      </c>
    </row>
    <row r="64" spans="1:15" ht="15.75" x14ac:dyDescent="0.25">
      <c r="A64" s="55">
        <v>43066</v>
      </c>
      <c r="B64" s="56" t="s">
        <v>184</v>
      </c>
      <c r="C64" s="56" t="s">
        <v>111</v>
      </c>
      <c r="F64" s="1">
        <v>43066</v>
      </c>
      <c r="G64" s="1">
        <v>43100</v>
      </c>
      <c r="H64" t="s">
        <v>70</v>
      </c>
      <c r="I64" t="s">
        <v>14</v>
      </c>
      <c r="J64" t="s">
        <v>12</v>
      </c>
      <c r="L64" t="s">
        <v>21</v>
      </c>
      <c r="M64" s="17" t="str">
        <f t="shared" si="3"/>
        <v>WksInPrd</v>
      </c>
      <c r="N64" s="19" t="str">
        <f t="shared" si="4"/>
        <v>P</v>
      </c>
      <c r="O64" s="3">
        <f t="shared" si="2"/>
        <v>5</v>
      </c>
    </row>
    <row r="65" spans="1:15" ht="15.75" x14ac:dyDescent="0.25">
      <c r="A65" s="55">
        <v>47084</v>
      </c>
      <c r="B65" s="56" t="s">
        <v>184</v>
      </c>
      <c r="C65" s="56" t="s">
        <v>111</v>
      </c>
      <c r="F65" s="1">
        <v>47084</v>
      </c>
      <c r="G65" s="1">
        <v>47118</v>
      </c>
      <c r="H65" t="s">
        <v>103</v>
      </c>
      <c r="I65" t="s">
        <v>14</v>
      </c>
      <c r="J65" t="s">
        <v>12</v>
      </c>
      <c r="L65" t="s">
        <v>21</v>
      </c>
      <c r="M65" s="17" t="str">
        <f t="shared" si="3"/>
        <v>WksInPrd</v>
      </c>
      <c r="N65" s="19" t="str">
        <f t="shared" si="4"/>
        <v>P</v>
      </c>
      <c r="O65" s="3">
        <f t="shared" si="2"/>
        <v>5</v>
      </c>
    </row>
    <row r="66" spans="1:15" ht="15.75" x14ac:dyDescent="0.25">
      <c r="A66" s="55">
        <v>39082</v>
      </c>
      <c r="B66" s="56" t="s">
        <v>184</v>
      </c>
      <c r="C66" s="56" t="s">
        <v>112</v>
      </c>
      <c r="F66" s="1">
        <v>39048</v>
      </c>
      <c r="G66" s="1">
        <v>39082</v>
      </c>
      <c r="H66" t="s">
        <v>86</v>
      </c>
      <c r="I66" t="s">
        <v>14</v>
      </c>
      <c r="J66" t="s">
        <v>12</v>
      </c>
      <c r="L66" t="s">
        <v>21</v>
      </c>
      <c r="M66" s="17" t="str">
        <f t="shared" si="3"/>
        <v>WksInPrd</v>
      </c>
      <c r="N66" s="19" t="str">
        <f t="shared" si="4"/>
        <v>P</v>
      </c>
      <c r="O66" s="3">
        <f t="shared" si="2"/>
        <v>5</v>
      </c>
    </row>
    <row r="67" spans="1:15" ht="15.75" x14ac:dyDescent="0.25">
      <c r="A67" s="55">
        <v>43100</v>
      </c>
      <c r="B67" s="56" t="s">
        <v>184</v>
      </c>
      <c r="C67" s="56" t="s">
        <v>112</v>
      </c>
      <c r="F67" s="1">
        <v>43066</v>
      </c>
      <c r="G67" s="1">
        <v>43100</v>
      </c>
      <c r="H67" t="s">
        <v>70</v>
      </c>
      <c r="I67" t="s">
        <v>14</v>
      </c>
      <c r="J67" t="s">
        <v>12</v>
      </c>
      <c r="L67" t="s">
        <v>21</v>
      </c>
      <c r="M67" s="17" t="str">
        <f t="shared" si="3"/>
        <v>WksInPrd</v>
      </c>
      <c r="N67" s="19" t="str">
        <f t="shared" si="4"/>
        <v>P</v>
      </c>
      <c r="O67" s="3">
        <f t="shared" si="2"/>
        <v>5</v>
      </c>
    </row>
    <row r="68" spans="1:15" ht="15.75" x14ac:dyDescent="0.25">
      <c r="A68" s="55">
        <v>47118</v>
      </c>
      <c r="B68" s="56" t="s">
        <v>184</v>
      </c>
      <c r="C68" s="56" t="s">
        <v>112</v>
      </c>
      <c r="F68" s="1">
        <v>47084</v>
      </c>
      <c r="G68" s="1">
        <v>47118</v>
      </c>
      <c r="H68" t="s">
        <v>103</v>
      </c>
      <c r="I68" t="s">
        <v>14</v>
      </c>
      <c r="J68" t="s">
        <v>12</v>
      </c>
      <c r="L68" t="s">
        <v>21</v>
      </c>
      <c r="M68" s="17" t="str">
        <f t="shared" si="3"/>
        <v>WksInPrd</v>
      </c>
      <c r="N68" s="19" t="str">
        <f t="shared" si="4"/>
        <v>P</v>
      </c>
      <c r="O68" s="3">
        <f t="shared" si="2"/>
        <v>5</v>
      </c>
    </row>
    <row r="69" spans="1:15" ht="15.75" x14ac:dyDescent="0.25">
      <c r="A69" s="1">
        <v>45675</v>
      </c>
      <c r="B69" s="56" t="s">
        <v>184</v>
      </c>
      <c r="C69" s="57" t="s">
        <v>138</v>
      </c>
      <c r="F69" s="1">
        <v>45656</v>
      </c>
      <c r="G69" s="1">
        <v>45683</v>
      </c>
      <c r="H69" t="s">
        <v>97</v>
      </c>
      <c r="I69" t="s">
        <v>17</v>
      </c>
      <c r="J69" t="s">
        <v>17</v>
      </c>
      <c r="L69" t="s">
        <v>22</v>
      </c>
      <c r="M69" s="17" t="str">
        <f t="shared" si="3"/>
        <v>WksInPrd</v>
      </c>
      <c r="N69" s="19" t="str">
        <f t="shared" si="4"/>
        <v>P</v>
      </c>
      <c r="O69" s="3">
        <f t="shared" si="2"/>
        <v>4</v>
      </c>
    </row>
    <row r="70" spans="1:15" ht="15.75" x14ac:dyDescent="0.25">
      <c r="A70" s="1">
        <v>41674</v>
      </c>
      <c r="B70" s="56" t="s">
        <v>184</v>
      </c>
      <c r="C70" s="57" t="s">
        <v>138</v>
      </c>
      <c r="F70" s="1">
        <v>41666</v>
      </c>
      <c r="G70" s="1">
        <v>41693</v>
      </c>
      <c r="H70" t="s">
        <v>92</v>
      </c>
      <c r="I70" t="s">
        <v>143</v>
      </c>
      <c r="J70" t="s">
        <v>17</v>
      </c>
      <c r="L70" t="s">
        <v>22</v>
      </c>
      <c r="M70" s="17" t="str">
        <f t="shared" si="3"/>
        <v>WksInPrd</v>
      </c>
      <c r="N70" s="19" t="str">
        <f t="shared" si="4"/>
        <v>P</v>
      </c>
      <c r="O70" s="3">
        <f t="shared" si="2"/>
        <v>4</v>
      </c>
    </row>
    <row r="71" spans="1:15" ht="15.75" x14ac:dyDescent="0.25">
      <c r="A71" s="1">
        <v>46643</v>
      </c>
      <c r="B71" s="56" t="s">
        <v>184</v>
      </c>
      <c r="C71" s="57" t="s">
        <v>138</v>
      </c>
      <c r="F71" s="1">
        <v>46636</v>
      </c>
      <c r="G71" s="1">
        <v>46663</v>
      </c>
      <c r="H71" t="s">
        <v>101</v>
      </c>
      <c r="I71" t="s">
        <v>144</v>
      </c>
      <c r="J71" t="s">
        <v>54</v>
      </c>
      <c r="L71" t="s">
        <v>22</v>
      </c>
      <c r="M71" s="17" t="str">
        <f t="shared" si="3"/>
        <v>WksInPrd</v>
      </c>
      <c r="N71" s="19" t="str">
        <f t="shared" si="4"/>
        <v>P</v>
      </c>
      <c r="O71" s="3">
        <f t="shared" si="2"/>
        <v>4</v>
      </c>
    </row>
    <row r="72" spans="1:15" ht="15.75" x14ac:dyDescent="0.25">
      <c r="A72" s="1">
        <v>43587</v>
      </c>
      <c r="B72" s="56" t="s">
        <v>184</v>
      </c>
      <c r="C72" s="57" t="s">
        <v>138</v>
      </c>
      <c r="F72" s="1">
        <v>43577</v>
      </c>
      <c r="G72" s="1">
        <v>43604</v>
      </c>
      <c r="H72" t="s">
        <v>73</v>
      </c>
      <c r="I72" t="s">
        <v>142</v>
      </c>
      <c r="J72" t="s">
        <v>143</v>
      </c>
      <c r="L72" t="s">
        <v>22</v>
      </c>
      <c r="M72" s="17" t="str">
        <f t="shared" si="3"/>
        <v>WksInPrd</v>
      </c>
      <c r="N72" s="19" t="str">
        <f t="shared" si="4"/>
        <v>P</v>
      </c>
      <c r="O72" s="3">
        <f t="shared" si="2"/>
        <v>4</v>
      </c>
    </row>
    <row r="73" spans="1:15" ht="15.75" x14ac:dyDescent="0.25">
      <c r="A73" s="1">
        <v>46479</v>
      </c>
      <c r="B73" s="56" t="s">
        <v>184</v>
      </c>
      <c r="C73" s="57" t="s">
        <v>138</v>
      </c>
      <c r="F73" s="1">
        <v>46468</v>
      </c>
      <c r="G73" s="1">
        <v>46495</v>
      </c>
      <c r="H73" t="s">
        <v>101</v>
      </c>
      <c r="I73" t="s">
        <v>12</v>
      </c>
      <c r="J73" t="s">
        <v>17</v>
      </c>
      <c r="L73" t="s">
        <v>22</v>
      </c>
      <c r="M73" s="17" t="str">
        <f t="shared" si="3"/>
        <v>WksInPrd</v>
      </c>
      <c r="N73" s="19" t="str">
        <f t="shared" si="4"/>
        <v>P</v>
      </c>
      <c r="O73" s="3">
        <f t="shared" ref="O73:O99" si="5">(G73-F73+1)/7</f>
        <v>4</v>
      </c>
    </row>
    <row r="74" spans="1:15" ht="15.75" x14ac:dyDescent="0.25">
      <c r="A74" s="1">
        <v>39320</v>
      </c>
      <c r="B74" s="56" t="s">
        <v>184</v>
      </c>
      <c r="C74" s="57" t="s">
        <v>138</v>
      </c>
      <c r="F74" s="1">
        <v>39307</v>
      </c>
      <c r="G74" s="1">
        <v>39334</v>
      </c>
      <c r="H74" t="s">
        <v>87</v>
      </c>
      <c r="I74" t="s">
        <v>141</v>
      </c>
      <c r="J74" t="s">
        <v>54</v>
      </c>
      <c r="L74" t="s">
        <v>22</v>
      </c>
      <c r="M74" s="17" t="str">
        <f t="shared" si="3"/>
        <v>WksInPrd</v>
      </c>
      <c r="N74" s="19" t="str">
        <f t="shared" si="4"/>
        <v>P</v>
      </c>
      <c r="O74" s="3">
        <f t="shared" si="5"/>
        <v>4</v>
      </c>
    </row>
    <row r="75" spans="1:15" ht="15.75" x14ac:dyDescent="0.25">
      <c r="A75" s="1">
        <v>46875</v>
      </c>
      <c r="B75" s="56" t="s">
        <v>184</v>
      </c>
      <c r="C75" s="57" t="s">
        <v>138</v>
      </c>
      <c r="F75" s="1">
        <v>46860</v>
      </c>
      <c r="G75" s="1">
        <v>46887</v>
      </c>
      <c r="H75" t="s">
        <v>103</v>
      </c>
      <c r="I75" t="s">
        <v>142</v>
      </c>
      <c r="J75" t="s">
        <v>143</v>
      </c>
      <c r="L75" t="s">
        <v>22</v>
      </c>
      <c r="M75" s="17" t="str">
        <f t="shared" si="3"/>
        <v>WksInPrd</v>
      </c>
      <c r="N75" s="19" t="str">
        <f t="shared" si="4"/>
        <v>P</v>
      </c>
      <c r="O75" s="3">
        <f t="shared" si="5"/>
        <v>4</v>
      </c>
    </row>
    <row r="76" spans="1:15" ht="15.75" x14ac:dyDescent="0.25">
      <c r="A76" s="1">
        <v>44781</v>
      </c>
      <c r="B76" s="56" t="s">
        <v>184</v>
      </c>
      <c r="C76" s="57" t="s">
        <v>138</v>
      </c>
      <c r="F76" s="1">
        <v>44781</v>
      </c>
      <c r="G76" s="1">
        <v>44808</v>
      </c>
      <c r="H76" t="s">
        <v>95</v>
      </c>
      <c r="I76" t="s">
        <v>141</v>
      </c>
      <c r="J76" t="s">
        <v>54</v>
      </c>
      <c r="L76" t="s">
        <v>22</v>
      </c>
      <c r="M76" s="17" t="str">
        <f t="shared" si="3"/>
        <v>WksInPrd</v>
      </c>
      <c r="N76" s="19" t="str">
        <f t="shared" si="4"/>
        <v>P</v>
      </c>
      <c r="O76" s="3">
        <f t="shared" si="5"/>
        <v>4</v>
      </c>
    </row>
    <row r="77" spans="1:15" ht="15.75" x14ac:dyDescent="0.25">
      <c r="A77" s="1">
        <v>39845</v>
      </c>
      <c r="B77" s="56" t="s">
        <v>184</v>
      </c>
      <c r="C77" s="57" t="s">
        <v>138</v>
      </c>
      <c r="F77" s="1">
        <v>39839</v>
      </c>
      <c r="G77" s="1">
        <v>39866</v>
      </c>
      <c r="H77" t="s">
        <v>89</v>
      </c>
      <c r="I77" t="s">
        <v>143</v>
      </c>
      <c r="J77" t="s">
        <v>17</v>
      </c>
      <c r="L77" t="s">
        <v>22</v>
      </c>
      <c r="M77" s="17" t="str">
        <f t="shared" si="3"/>
        <v>WksInPrd</v>
      </c>
      <c r="N77" s="19" t="str">
        <f t="shared" si="4"/>
        <v>P</v>
      </c>
      <c r="O77" s="3">
        <f t="shared" si="5"/>
        <v>4</v>
      </c>
    </row>
    <row r="78" spans="1:15" ht="15.75" x14ac:dyDescent="0.25">
      <c r="A78" s="1">
        <v>44555</v>
      </c>
      <c r="B78" s="56" t="s">
        <v>184</v>
      </c>
      <c r="C78" s="57" t="s">
        <v>138</v>
      </c>
      <c r="F78" s="1">
        <v>44529</v>
      </c>
      <c r="G78" s="1">
        <v>44556</v>
      </c>
      <c r="H78" t="s">
        <v>74</v>
      </c>
      <c r="I78" t="s">
        <v>14</v>
      </c>
      <c r="J78" t="s">
        <v>12</v>
      </c>
      <c r="L78" t="s">
        <v>22</v>
      </c>
      <c r="M78" s="17" t="str">
        <f t="shared" si="3"/>
        <v>WksInPrd</v>
      </c>
      <c r="N78" s="19" t="str">
        <f t="shared" si="4"/>
        <v>P</v>
      </c>
      <c r="O78" s="3">
        <f t="shared" si="5"/>
        <v>4</v>
      </c>
    </row>
    <row r="79" spans="1:15" ht="15.75" x14ac:dyDescent="0.25">
      <c r="A79" s="1">
        <v>39763</v>
      </c>
      <c r="B79" s="56" t="s">
        <v>184</v>
      </c>
      <c r="C79" s="57" t="s">
        <v>138</v>
      </c>
      <c r="F79" s="1">
        <v>39755</v>
      </c>
      <c r="G79" s="1">
        <v>39782</v>
      </c>
      <c r="H79" t="s">
        <v>88</v>
      </c>
      <c r="I79" t="s">
        <v>13</v>
      </c>
      <c r="J79" t="s">
        <v>12</v>
      </c>
      <c r="L79" t="s">
        <v>22</v>
      </c>
      <c r="M79" s="17" t="str">
        <f t="shared" si="3"/>
        <v>WksInPrd</v>
      </c>
      <c r="N79" s="19" t="str">
        <f t="shared" si="4"/>
        <v>P</v>
      </c>
      <c r="O79" s="3">
        <f t="shared" si="5"/>
        <v>4</v>
      </c>
    </row>
    <row r="80" spans="1:15" ht="15.75" x14ac:dyDescent="0.25">
      <c r="A80" s="1">
        <v>47145</v>
      </c>
      <c r="B80" s="56" t="s">
        <v>184</v>
      </c>
      <c r="C80" s="57" t="s">
        <v>138</v>
      </c>
      <c r="F80" s="1">
        <v>47119</v>
      </c>
      <c r="G80" s="1">
        <v>47146</v>
      </c>
      <c r="H80" t="s">
        <v>105</v>
      </c>
      <c r="I80" t="s">
        <v>17</v>
      </c>
      <c r="J80" t="s">
        <v>17</v>
      </c>
      <c r="L80" t="s">
        <v>22</v>
      </c>
      <c r="M80" s="17" t="str">
        <f t="shared" si="3"/>
        <v>WksInPrd</v>
      </c>
      <c r="N80" s="19" t="str">
        <f t="shared" si="4"/>
        <v>P</v>
      </c>
      <c r="O80" s="3">
        <f t="shared" si="5"/>
        <v>4</v>
      </c>
    </row>
    <row r="81" spans="1:15" ht="15.75" x14ac:dyDescent="0.25">
      <c r="A81" s="1">
        <v>41087</v>
      </c>
      <c r="B81" s="56" t="s">
        <v>184</v>
      </c>
      <c r="C81" s="57" t="s">
        <v>138</v>
      </c>
      <c r="F81" s="1">
        <v>41071</v>
      </c>
      <c r="G81" s="1">
        <v>41098</v>
      </c>
      <c r="H81" t="s">
        <v>53</v>
      </c>
      <c r="I81" t="s">
        <v>151</v>
      </c>
      <c r="J81" t="s">
        <v>143</v>
      </c>
      <c r="L81" t="s">
        <v>22</v>
      </c>
      <c r="M81" s="17" t="str">
        <f t="shared" si="3"/>
        <v>WksInPrd</v>
      </c>
      <c r="N81" s="19" t="str">
        <f t="shared" si="4"/>
        <v>P</v>
      </c>
      <c r="O81" s="3">
        <f t="shared" si="5"/>
        <v>4</v>
      </c>
    </row>
    <row r="82" spans="1:15" ht="15.75" x14ac:dyDescent="0.25">
      <c r="A82" s="1">
        <v>40349</v>
      </c>
      <c r="B82" s="56" t="s">
        <v>184</v>
      </c>
      <c r="C82" s="57" t="s">
        <v>138</v>
      </c>
      <c r="F82" s="1">
        <v>40343</v>
      </c>
      <c r="G82" s="1">
        <v>40370</v>
      </c>
      <c r="H82" t="s">
        <v>90</v>
      </c>
      <c r="I82" t="s">
        <v>151</v>
      </c>
      <c r="J82" t="s">
        <v>143</v>
      </c>
      <c r="L82" t="s">
        <v>22</v>
      </c>
      <c r="M82" s="17" t="str">
        <f t="shared" si="3"/>
        <v>WksInPrd</v>
      </c>
      <c r="N82" s="19" t="str">
        <f t="shared" si="4"/>
        <v>P</v>
      </c>
      <c r="O82" s="3">
        <f t="shared" si="5"/>
        <v>4</v>
      </c>
    </row>
    <row r="83" spans="1:15" ht="15.75" x14ac:dyDescent="0.25">
      <c r="A83" s="1">
        <v>37378</v>
      </c>
      <c r="B83" s="56" t="s">
        <v>184</v>
      </c>
      <c r="C83" s="57" t="s">
        <v>138</v>
      </c>
      <c r="F83" s="1">
        <v>37368</v>
      </c>
      <c r="G83" s="1">
        <v>37395</v>
      </c>
      <c r="H83" t="s">
        <v>78</v>
      </c>
      <c r="I83" t="s">
        <v>142</v>
      </c>
      <c r="J83" t="s">
        <v>143</v>
      </c>
      <c r="L83" t="s">
        <v>22</v>
      </c>
      <c r="M83" s="17" t="str">
        <f t="shared" si="3"/>
        <v>WksInPrd</v>
      </c>
      <c r="N83" s="19" t="str">
        <f t="shared" si="4"/>
        <v>P</v>
      </c>
      <c r="O83" s="3">
        <f t="shared" si="5"/>
        <v>4</v>
      </c>
    </row>
    <row r="84" spans="1:15" ht="15.75" x14ac:dyDescent="0.25">
      <c r="A84" s="1">
        <v>38047</v>
      </c>
      <c r="B84" s="56" t="s">
        <v>184</v>
      </c>
      <c r="C84" s="57" t="s">
        <v>138</v>
      </c>
      <c r="F84" s="1">
        <v>38040</v>
      </c>
      <c r="G84" s="1">
        <v>38067</v>
      </c>
      <c r="H84" t="s">
        <v>82</v>
      </c>
      <c r="I84" t="s">
        <v>54</v>
      </c>
      <c r="J84" t="s">
        <v>17</v>
      </c>
      <c r="L84" t="s">
        <v>22</v>
      </c>
      <c r="M84" s="17" t="str">
        <f t="shared" si="3"/>
        <v>WksInPrd</v>
      </c>
      <c r="N84" s="19" t="str">
        <f t="shared" si="4"/>
        <v>P</v>
      </c>
      <c r="O84" s="3">
        <f t="shared" si="5"/>
        <v>4</v>
      </c>
    </row>
    <row r="85" spans="1:15" ht="15.75" x14ac:dyDescent="0.25">
      <c r="A85" s="1">
        <v>43455</v>
      </c>
      <c r="B85" s="56" t="s">
        <v>184</v>
      </c>
      <c r="C85" s="57" t="s">
        <v>138</v>
      </c>
      <c r="F85" s="1">
        <v>43437</v>
      </c>
      <c r="G85" s="1">
        <v>43464</v>
      </c>
      <c r="H85" t="s">
        <v>72</v>
      </c>
      <c r="I85" t="s">
        <v>14</v>
      </c>
      <c r="J85" t="s">
        <v>12</v>
      </c>
      <c r="L85" t="s">
        <v>22</v>
      </c>
      <c r="M85" s="17" t="str">
        <f t="shared" si="3"/>
        <v>WksInPrd</v>
      </c>
      <c r="N85" s="19" t="str">
        <f t="shared" si="4"/>
        <v>P</v>
      </c>
      <c r="O85" s="3">
        <f t="shared" si="5"/>
        <v>4</v>
      </c>
    </row>
    <row r="86" spans="1:15" ht="15.75" x14ac:dyDescent="0.25">
      <c r="A86" s="1">
        <v>41977</v>
      </c>
      <c r="B86" s="56" t="s">
        <v>184</v>
      </c>
      <c r="C86" s="57" t="s">
        <v>138</v>
      </c>
      <c r="F86" s="1">
        <v>41974</v>
      </c>
      <c r="G86" s="1">
        <v>42001</v>
      </c>
      <c r="H86" t="s">
        <v>92</v>
      </c>
      <c r="I86" t="s">
        <v>14</v>
      </c>
      <c r="J86" t="s">
        <v>12</v>
      </c>
      <c r="L86" t="s">
        <v>22</v>
      </c>
      <c r="M86" s="17" t="str">
        <f t="shared" si="3"/>
        <v>WksInPrd</v>
      </c>
      <c r="N86" s="19" t="str">
        <f t="shared" si="4"/>
        <v>P</v>
      </c>
      <c r="O86" s="3">
        <f t="shared" si="5"/>
        <v>4</v>
      </c>
    </row>
    <row r="87" spans="1:15" ht="15.75" x14ac:dyDescent="0.25">
      <c r="A87" s="1">
        <v>43712</v>
      </c>
      <c r="B87" s="56" t="s">
        <v>184</v>
      </c>
      <c r="C87" s="57" t="s">
        <v>138</v>
      </c>
      <c r="F87" s="1">
        <v>43689</v>
      </c>
      <c r="G87" s="1">
        <v>43716</v>
      </c>
      <c r="H87" t="s">
        <v>73</v>
      </c>
      <c r="I87" t="s">
        <v>141</v>
      </c>
      <c r="J87" t="s">
        <v>54</v>
      </c>
      <c r="L87" t="s">
        <v>22</v>
      </c>
      <c r="M87" s="17" t="str">
        <f t="shared" si="3"/>
        <v>WksInPrd</v>
      </c>
      <c r="N87" s="19" t="str">
        <f t="shared" si="4"/>
        <v>P</v>
      </c>
      <c r="O87" s="3">
        <f t="shared" si="5"/>
        <v>4</v>
      </c>
    </row>
    <row r="88" spans="1:15" ht="15.75" x14ac:dyDescent="0.25">
      <c r="A88" s="1">
        <v>43743</v>
      </c>
      <c r="B88" s="56" t="s">
        <v>184</v>
      </c>
      <c r="C88" s="57" t="s">
        <v>138</v>
      </c>
      <c r="F88" s="1">
        <v>43717</v>
      </c>
      <c r="G88" s="1">
        <v>43744</v>
      </c>
      <c r="H88" t="s">
        <v>73</v>
      </c>
      <c r="I88" t="s">
        <v>144</v>
      </c>
      <c r="J88" t="s">
        <v>54</v>
      </c>
      <c r="L88" t="s">
        <v>22</v>
      </c>
      <c r="M88" s="17" t="str">
        <f t="shared" si="3"/>
        <v>WksInPrd</v>
      </c>
      <c r="N88" s="19" t="str">
        <f t="shared" si="4"/>
        <v>P</v>
      </c>
      <c r="O88" s="3">
        <f t="shared" si="5"/>
        <v>4</v>
      </c>
    </row>
    <row r="89" spans="1:15" ht="15.75" x14ac:dyDescent="0.25">
      <c r="A89" s="1">
        <v>46019</v>
      </c>
      <c r="B89" s="56" t="s">
        <v>184</v>
      </c>
      <c r="C89" s="57" t="s">
        <v>138</v>
      </c>
      <c r="F89" s="1">
        <v>45992</v>
      </c>
      <c r="G89" s="1">
        <v>46019</v>
      </c>
      <c r="H89" t="s">
        <v>97</v>
      </c>
      <c r="I89" t="s">
        <v>14</v>
      </c>
      <c r="J89" t="s">
        <v>12</v>
      </c>
      <c r="L89" t="s">
        <v>22</v>
      </c>
      <c r="M89" s="17" t="str">
        <f t="shared" si="3"/>
        <v>WksInPrd</v>
      </c>
      <c r="N89" s="19" t="str">
        <f t="shared" si="4"/>
        <v>P</v>
      </c>
      <c r="O89" s="3">
        <f t="shared" si="5"/>
        <v>4</v>
      </c>
    </row>
    <row r="90" spans="1:15" ht="15.75" x14ac:dyDescent="0.25">
      <c r="A90" s="1">
        <v>43986</v>
      </c>
      <c r="B90" s="56" t="s">
        <v>184</v>
      </c>
      <c r="C90" s="57" t="s">
        <v>138</v>
      </c>
      <c r="F90" s="1">
        <v>43969</v>
      </c>
      <c r="G90" s="1">
        <v>43996</v>
      </c>
      <c r="H90" t="s">
        <v>55</v>
      </c>
      <c r="I90" t="s">
        <v>146</v>
      </c>
      <c r="J90" t="s">
        <v>143</v>
      </c>
      <c r="L90" t="s">
        <v>22</v>
      </c>
      <c r="M90" s="17" t="str">
        <f t="shared" si="3"/>
        <v>WksInPrd</v>
      </c>
      <c r="N90" s="19" t="str">
        <f t="shared" si="4"/>
        <v>P</v>
      </c>
      <c r="O90" s="3">
        <f t="shared" si="5"/>
        <v>4</v>
      </c>
    </row>
    <row r="91" spans="1:15" ht="15.75" x14ac:dyDescent="0.25">
      <c r="A91" s="1">
        <v>45219</v>
      </c>
      <c r="B91" s="56" t="s">
        <v>184</v>
      </c>
      <c r="C91" s="57" t="s">
        <v>138</v>
      </c>
      <c r="F91" s="1">
        <v>45201</v>
      </c>
      <c r="G91" s="1">
        <v>45228</v>
      </c>
      <c r="H91" t="s">
        <v>96</v>
      </c>
      <c r="I91" t="s">
        <v>150</v>
      </c>
      <c r="J91" t="s">
        <v>12</v>
      </c>
      <c r="L91" t="s">
        <v>22</v>
      </c>
      <c r="M91" s="17" t="str">
        <f t="shared" si="3"/>
        <v>WksInPrd</v>
      </c>
      <c r="N91" s="19" t="str">
        <f t="shared" si="4"/>
        <v>P</v>
      </c>
      <c r="O91" s="3">
        <f t="shared" si="5"/>
        <v>4</v>
      </c>
    </row>
    <row r="92" spans="1:15" ht="15.75" x14ac:dyDescent="0.25">
      <c r="A92" s="1">
        <v>45127</v>
      </c>
      <c r="B92" s="56" t="s">
        <v>184</v>
      </c>
      <c r="C92" s="57" t="s">
        <v>138</v>
      </c>
      <c r="F92" s="1">
        <v>45117</v>
      </c>
      <c r="G92" s="1">
        <v>45144</v>
      </c>
      <c r="H92" t="s">
        <v>96</v>
      </c>
      <c r="I92" t="s">
        <v>148</v>
      </c>
      <c r="J92" t="s">
        <v>54</v>
      </c>
      <c r="L92" t="s">
        <v>22</v>
      </c>
      <c r="M92" s="17" t="str">
        <f t="shared" si="3"/>
        <v>WksInPrd</v>
      </c>
      <c r="N92" s="19" t="str">
        <f t="shared" si="4"/>
        <v>P</v>
      </c>
      <c r="O92" s="3">
        <f t="shared" si="5"/>
        <v>4</v>
      </c>
    </row>
    <row r="93" spans="1:15" ht="15.75" x14ac:dyDescent="0.25">
      <c r="A93" s="1">
        <v>39224</v>
      </c>
      <c r="B93" s="56" t="s">
        <v>184</v>
      </c>
      <c r="C93" s="57" t="s">
        <v>138</v>
      </c>
      <c r="F93" s="1">
        <v>39223</v>
      </c>
      <c r="G93" s="1">
        <v>39250</v>
      </c>
      <c r="H93" t="s">
        <v>87</v>
      </c>
      <c r="I93" t="s">
        <v>146</v>
      </c>
      <c r="J93" t="s">
        <v>143</v>
      </c>
      <c r="L93" t="s">
        <v>22</v>
      </c>
      <c r="M93" s="17" t="str">
        <f t="shared" si="3"/>
        <v>WksInPrd</v>
      </c>
      <c r="N93" s="19" t="str">
        <f t="shared" si="4"/>
        <v>P</v>
      </c>
      <c r="O93" s="3">
        <f t="shared" si="5"/>
        <v>4</v>
      </c>
    </row>
    <row r="94" spans="1:15" ht="15.75" x14ac:dyDescent="0.25">
      <c r="A94" s="1">
        <v>44441</v>
      </c>
      <c r="B94" s="56" t="s">
        <v>184</v>
      </c>
      <c r="C94" s="57" t="s">
        <v>138</v>
      </c>
      <c r="F94" s="1">
        <v>44417</v>
      </c>
      <c r="G94" s="1">
        <v>44444</v>
      </c>
      <c r="H94" t="s">
        <v>74</v>
      </c>
      <c r="I94" t="s">
        <v>141</v>
      </c>
      <c r="J94" t="s">
        <v>54</v>
      </c>
      <c r="L94" t="s">
        <v>22</v>
      </c>
      <c r="M94" s="17" t="str">
        <f t="shared" si="3"/>
        <v>WksInPrd</v>
      </c>
      <c r="N94" s="19" t="str">
        <f t="shared" si="4"/>
        <v>P</v>
      </c>
      <c r="O94" s="3">
        <f t="shared" si="5"/>
        <v>4</v>
      </c>
    </row>
    <row r="95" spans="1:15" ht="15.75" x14ac:dyDescent="0.25">
      <c r="A95" s="1">
        <v>42793</v>
      </c>
      <c r="B95" s="56" t="s">
        <v>184</v>
      </c>
      <c r="C95" s="57" t="s">
        <v>138</v>
      </c>
      <c r="F95" s="1">
        <v>42786</v>
      </c>
      <c r="G95" s="1">
        <v>42813</v>
      </c>
      <c r="H95" t="s">
        <v>70</v>
      </c>
      <c r="I95" t="s">
        <v>54</v>
      </c>
      <c r="J95" t="s">
        <v>17</v>
      </c>
      <c r="L95" t="s">
        <v>22</v>
      </c>
      <c r="M95" s="17" t="str">
        <f t="shared" si="3"/>
        <v>WksInPrd</v>
      </c>
      <c r="N95" s="19" t="str">
        <f t="shared" si="4"/>
        <v>P</v>
      </c>
      <c r="O95" s="3">
        <f t="shared" si="5"/>
        <v>4</v>
      </c>
    </row>
    <row r="96" spans="1:15" ht="15.75" x14ac:dyDescent="0.25">
      <c r="A96" s="1">
        <v>44924</v>
      </c>
      <c r="B96" s="56" t="s">
        <v>184</v>
      </c>
      <c r="C96" s="57" t="s">
        <v>138</v>
      </c>
      <c r="F96" s="1">
        <v>44921</v>
      </c>
      <c r="G96" s="1">
        <v>44948</v>
      </c>
      <c r="H96" t="s">
        <v>96</v>
      </c>
      <c r="I96" t="s">
        <v>17</v>
      </c>
      <c r="J96" t="s">
        <v>17</v>
      </c>
      <c r="L96" t="s">
        <v>22</v>
      </c>
      <c r="M96" s="17" t="str">
        <f t="shared" si="3"/>
        <v>WksInPrd</v>
      </c>
      <c r="N96" s="19" t="str">
        <f t="shared" si="4"/>
        <v>P</v>
      </c>
      <c r="O96" s="3">
        <f t="shared" si="5"/>
        <v>4</v>
      </c>
    </row>
    <row r="97" spans="1:15" ht="15.75" x14ac:dyDescent="0.25">
      <c r="A97" s="1">
        <v>45923</v>
      </c>
      <c r="B97" s="56" t="s">
        <v>184</v>
      </c>
      <c r="C97" s="57" t="s">
        <v>138</v>
      </c>
      <c r="F97" s="1">
        <v>45908</v>
      </c>
      <c r="G97" s="1">
        <v>45935</v>
      </c>
      <c r="H97" t="s">
        <v>97</v>
      </c>
      <c r="I97" t="s">
        <v>144</v>
      </c>
      <c r="J97" t="s">
        <v>54</v>
      </c>
      <c r="L97" t="s">
        <v>22</v>
      </c>
      <c r="M97" s="17" t="str">
        <f t="shared" si="3"/>
        <v>WksInPrd</v>
      </c>
      <c r="N97" s="19" t="str">
        <f t="shared" si="4"/>
        <v>P</v>
      </c>
      <c r="O97" s="3">
        <f t="shared" si="5"/>
        <v>4</v>
      </c>
    </row>
    <row r="98" spans="1:15" ht="15.75" x14ac:dyDescent="0.25">
      <c r="A98" s="1">
        <v>38725</v>
      </c>
      <c r="B98" s="56" t="s">
        <v>184</v>
      </c>
      <c r="C98" s="57" t="s">
        <v>138</v>
      </c>
      <c r="F98" s="1">
        <v>38712</v>
      </c>
      <c r="G98" s="1">
        <v>38739</v>
      </c>
      <c r="H98" t="s">
        <v>86</v>
      </c>
      <c r="I98" t="s">
        <v>17</v>
      </c>
      <c r="J98" t="s">
        <v>17</v>
      </c>
      <c r="L98" t="s">
        <v>22</v>
      </c>
      <c r="M98" s="17" t="str">
        <f t="shared" si="3"/>
        <v>WksInPrd</v>
      </c>
      <c r="N98" s="19" t="str">
        <f t="shared" si="4"/>
        <v>P</v>
      </c>
      <c r="O98" s="3">
        <f t="shared" si="5"/>
        <v>4</v>
      </c>
    </row>
    <row r="99" spans="1:15" ht="15.75" x14ac:dyDescent="0.25">
      <c r="A99" s="1">
        <v>40433</v>
      </c>
      <c r="B99" s="56" t="s">
        <v>184</v>
      </c>
      <c r="C99" s="57" t="s">
        <v>138</v>
      </c>
      <c r="F99" s="1">
        <v>40427</v>
      </c>
      <c r="G99" s="1">
        <v>40454</v>
      </c>
      <c r="H99" t="s">
        <v>90</v>
      </c>
      <c r="I99" t="s">
        <v>144</v>
      </c>
      <c r="J99" t="s">
        <v>54</v>
      </c>
      <c r="L99" t="s">
        <v>22</v>
      </c>
      <c r="M99" s="17" t="str">
        <f t="shared" si="3"/>
        <v>WksInPrd</v>
      </c>
      <c r="N99" s="19" t="str">
        <f t="shared" si="4"/>
        <v>P</v>
      </c>
      <c r="O99" s="3">
        <f t="shared" si="5"/>
        <v>4</v>
      </c>
    </row>
    <row r="100" spans="1:15" x14ac:dyDescent="0.25">
      <c r="A100" s="1"/>
      <c r="B100" s="3"/>
      <c r="F100" s="1"/>
      <c r="G100" s="1"/>
      <c r="M100" s="1"/>
    </row>
    <row r="101" spans="1:15" x14ac:dyDescent="0.25">
      <c r="A101" s="1"/>
      <c r="B101" s="3"/>
      <c r="F101" s="1"/>
      <c r="G101" s="1"/>
      <c r="M101" s="1"/>
    </row>
    <row r="102" spans="1:15" x14ac:dyDescent="0.25">
      <c r="A102" s="1"/>
      <c r="B102" s="3"/>
      <c r="F102" s="1"/>
      <c r="G102" s="1"/>
      <c r="M102" s="1"/>
    </row>
    <row r="103" spans="1:15" x14ac:dyDescent="0.25">
      <c r="A103" s="1"/>
      <c r="B103" s="3"/>
      <c r="F103" s="1"/>
      <c r="G103" s="1"/>
      <c r="M103" s="1"/>
    </row>
    <row r="104" spans="1:15" x14ac:dyDescent="0.25">
      <c r="A104" s="1"/>
      <c r="B104" s="3"/>
      <c r="F104" s="1"/>
      <c r="G104" s="1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99">
    <cfRule type="cellIs" dxfId="22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15361" r:id="rId4" name="ExecuteQueries"/>
      </mc:Fallback>
    </mc:AlternateContent>
    <mc:AlternateContent xmlns:mc="http://schemas.openxmlformats.org/markup-compatibility/2006">
      <mc:Choice Requires="x14">
        <control shapeId="15362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400050</xdr:colOff>
                <xdr:row>2</xdr:row>
                <xdr:rowOff>104775</xdr:rowOff>
              </to>
            </anchor>
          </controlPr>
        </control>
      </mc:Choice>
      <mc:Fallback>
        <control shapeId="15362" r:id="rId6" name="Clear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C000"/>
  </sheetPr>
  <dimension ref="A1:R412"/>
  <sheetViews>
    <sheetView topLeftCell="A58" workbookViewId="0">
      <selection activeCell="N78" sqref="N78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6.285156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55.710937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92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5">
        <v>37953</v>
      </c>
      <c r="B8" s="56" t="s">
        <v>185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22</v>
      </c>
      <c r="M8" s="17" t="str">
        <f>B8</f>
        <v>CurrQtr</v>
      </c>
      <c r="N8" s="18" t="str">
        <f>IF(VALUE(L8)=VALUE(O8), "P","F")</f>
        <v>P</v>
      </c>
      <c r="O8" s="3" t="str">
        <f>J8</f>
        <v>04</v>
      </c>
      <c r="R8" t="s">
        <v>24</v>
      </c>
    </row>
    <row r="9" spans="1:18" ht="15.75" x14ac:dyDescent="0.25">
      <c r="A9" s="55">
        <v>37954</v>
      </c>
      <c r="B9" s="56" t="s">
        <v>185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22</v>
      </c>
      <c r="M9" s="17" t="str">
        <f t="shared" ref="M9:M39" si="0">B9</f>
        <v>CurrQtr</v>
      </c>
      <c r="N9" s="19" t="str">
        <f t="shared" ref="N9:N39" si="1">IF(VALUE(L9)=VALUE(O9), "P","F")</f>
        <v>P</v>
      </c>
      <c r="O9" s="3" t="str">
        <f t="shared" ref="O9:O72" si="2">J9</f>
        <v>04</v>
      </c>
      <c r="R9" t="s">
        <v>25</v>
      </c>
    </row>
    <row r="10" spans="1:18" ht="15.75" x14ac:dyDescent="0.25">
      <c r="A10" s="55">
        <v>37955</v>
      </c>
      <c r="B10" s="56" t="s">
        <v>185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22</v>
      </c>
      <c r="M10" s="17" t="str">
        <f t="shared" si="0"/>
        <v>CurrQtr</v>
      </c>
      <c r="N10" s="19" t="str">
        <f t="shared" si="1"/>
        <v>P</v>
      </c>
      <c r="O10" s="3" t="str">
        <f t="shared" si="2"/>
        <v>04</v>
      </c>
      <c r="R10" t="s">
        <v>26</v>
      </c>
    </row>
    <row r="11" spans="1:18" ht="15.75" x14ac:dyDescent="0.25">
      <c r="A11" s="55">
        <v>37956</v>
      </c>
      <c r="B11" s="56" t="s">
        <v>185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22</v>
      </c>
      <c r="M11" s="17" t="str">
        <f t="shared" si="0"/>
        <v>CurrQtr</v>
      </c>
      <c r="N11" s="19" t="str">
        <f t="shared" si="1"/>
        <v>P</v>
      </c>
      <c r="O11" s="3" t="str">
        <f t="shared" si="2"/>
        <v>04</v>
      </c>
      <c r="R11" t="s">
        <v>27</v>
      </c>
    </row>
    <row r="12" spans="1:18" ht="15.75" x14ac:dyDescent="0.25">
      <c r="A12" s="55">
        <v>38320</v>
      </c>
      <c r="B12" s="56" t="s">
        <v>185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22</v>
      </c>
      <c r="M12" s="17" t="str">
        <f t="shared" si="0"/>
        <v>CurrQtr</v>
      </c>
      <c r="N12" s="19" t="str">
        <f t="shared" si="1"/>
        <v>P</v>
      </c>
      <c r="O12" s="3" t="str">
        <f t="shared" si="2"/>
        <v>04</v>
      </c>
      <c r="R12" t="s">
        <v>28</v>
      </c>
    </row>
    <row r="13" spans="1:18" ht="15.75" x14ac:dyDescent="0.25">
      <c r="A13" s="55">
        <v>38684</v>
      </c>
      <c r="B13" s="56" t="s">
        <v>185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22</v>
      </c>
      <c r="M13" s="17" t="str">
        <f t="shared" si="0"/>
        <v>CurrQtr</v>
      </c>
      <c r="N13" s="19" t="str">
        <f t="shared" si="1"/>
        <v>P</v>
      </c>
      <c r="O13" s="3" t="str">
        <f t="shared" si="2"/>
        <v>04</v>
      </c>
      <c r="R13" t="s">
        <v>29</v>
      </c>
    </row>
    <row r="14" spans="1:18" ht="15.75" x14ac:dyDescent="0.25">
      <c r="A14" s="55">
        <v>46356</v>
      </c>
      <c r="B14" s="56" t="s">
        <v>185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22</v>
      </c>
      <c r="M14" s="17" t="str">
        <f t="shared" si="0"/>
        <v>CurrQtr</v>
      </c>
      <c r="N14" s="19" t="str">
        <f t="shared" si="1"/>
        <v>P</v>
      </c>
      <c r="O14" s="3" t="str">
        <f t="shared" si="2"/>
        <v>04</v>
      </c>
      <c r="R14" t="s">
        <v>30</v>
      </c>
    </row>
    <row r="15" spans="1:18" ht="15.75" x14ac:dyDescent="0.25">
      <c r="A15" s="55">
        <v>46720</v>
      </c>
      <c r="B15" s="56" t="s">
        <v>185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22</v>
      </c>
      <c r="M15" s="17" t="str">
        <f t="shared" si="0"/>
        <v>CurrQtr</v>
      </c>
      <c r="N15" s="19" t="str">
        <f t="shared" si="1"/>
        <v>P</v>
      </c>
      <c r="O15" s="3" t="str">
        <f t="shared" si="2"/>
        <v>04</v>
      </c>
      <c r="R15" t="s">
        <v>31</v>
      </c>
    </row>
    <row r="16" spans="1:18" ht="15.75" x14ac:dyDescent="0.25">
      <c r="A16" s="55">
        <v>47084</v>
      </c>
      <c r="B16" s="56" t="s">
        <v>185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22</v>
      </c>
      <c r="M16" s="17" t="str">
        <f t="shared" si="0"/>
        <v>CurrQtr</v>
      </c>
      <c r="N16" s="19" t="str">
        <f t="shared" si="1"/>
        <v>P</v>
      </c>
      <c r="O16" s="3" t="str">
        <f t="shared" si="2"/>
        <v>04</v>
      </c>
      <c r="R16" t="s">
        <v>32</v>
      </c>
    </row>
    <row r="17" spans="1:18" ht="15.75" x14ac:dyDescent="0.25">
      <c r="A17" s="55">
        <v>47455</v>
      </c>
      <c r="B17" s="56" t="s">
        <v>185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22</v>
      </c>
      <c r="M17" s="17" t="str">
        <f t="shared" si="0"/>
        <v>CurrQtr</v>
      </c>
      <c r="N17" s="19" t="str">
        <f t="shared" si="1"/>
        <v>P</v>
      </c>
      <c r="O17" s="3" t="str">
        <f t="shared" si="2"/>
        <v>04</v>
      </c>
      <c r="R17" t="s">
        <v>33</v>
      </c>
    </row>
    <row r="18" spans="1:18" ht="15.75" x14ac:dyDescent="0.25">
      <c r="A18" s="55">
        <v>47819</v>
      </c>
      <c r="B18" s="56" t="s">
        <v>185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22</v>
      </c>
      <c r="M18" s="17" t="str">
        <f t="shared" si="0"/>
        <v>CurrQtr</v>
      </c>
      <c r="N18" s="19" t="str">
        <f t="shared" si="1"/>
        <v>P</v>
      </c>
      <c r="O18" s="3" t="str">
        <f t="shared" si="2"/>
        <v>04</v>
      </c>
      <c r="R18" t="s">
        <v>34</v>
      </c>
    </row>
    <row r="19" spans="1:18" ht="15.75" x14ac:dyDescent="0.25">
      <c r="A19" s="55">
        <v>37255</v>
      </c>
      <c r="B19" s="56" t="s">
        <v>185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22</v>
      </c>
      <c r="M19" s="17" t="str">
        <f t="shared" si="0"/>
        <v>CurrQtr</v>
      </c>
      <c r="N19" s="19" t="str">
        <f t="shared" si="1"/>
        <v>P</v>
      </c>
      <c r="O19" s="3" t="str">
        <f t="shared" si="2"/>
        <v>04</v>
      </c>
      <c r="R19" t="s">
        <v>35</v>
      </c>
    </row>
    <row r="20" spans="1:18" ht="15.75" x14ac:dyDescent="0.25">
      <c r="A20" s="55">
        <v>37619</v>
      </c>
      <c r="B20" s="56" t="s">
        <v>185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22</v>
      </c>
      <c r="M20" s="17" t="str">
        <f t="shared" si="0"/>
        <v>CurrQtr</v>
      </c>
      <c r="N20" s="19" t="str">
        <f t="shared" si="1"/>
        <v>P</v>
      </c>
      <c r="O20" s="3" t="str">
        <f t="shared" si="2"/>
        <v>04</v>
      </c>
      <c r="R20" t="s">
        <v>36</v>
      </c>
    </row>
    <row r="21" spans="1:18" ht="15.75" x14ac:dyDescent="0.25">
      <c r="A21" s="55">
        <v>37983</v>
      </c>
      <c r="B21" s="56" t="s">
        <v>185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22</v>
      </c>
      <c r="M21" s="17" t="str">
        <f t="shared" si="0"/>
        <v>CurrQtr</v>
      </c>
      <c r="N21" s="19" t="str">
        <f t="shared" si="1"/>
        <v>P</v>
      </c>
      <c r="O21" s="3" t="str">
        <f t="shared" si="2"/>
        <v>04</v>
      </c>
      <c r="R21" t="s">
        <v>37</v>
      </c>
    </row>
    <row r="22" spans="1:18" ht="15.75" x14ac:dyDescent="0.25">
      <c r="A22" s="55">
        <v>38347</v>
      </c>
      <c r="B22" s="56" t="s">
        <v>185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22</v>
      </c>
      <c r="M22" s="17" t="str">
        <f t="shared" si="0"/>
        <v>CurrQtr</v>
      </c>
      <c r="N22" s="19" t="str">
        <f t="shared" si="1"/>
        <v>P</v>
      </c>
      <c r="O22" s="3" t="str">
        <f t="shared" si="2"/>
        <v>04</v>
      </c>
      <c r="R22" t="s">
        <v>38</v>
      </c>
    </row>
    <row r="23" spans="1:18" ht="15.75" x14ac:dyDescent="0.25">
      <c r="A23" s="55">
        <v>38711</v>
      </c>
      <c r="B23" s="56" t="s">
        <v>185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22</v>
      </c>
      <c r="M23" s="17" t="str">
        <f t="shared" si="0"/>
        <v>CurrQtr</v>
      </c>
      <c r="N23" s="19" t="str">
        <f t="shared" si="1"/>
        <v>P</v>
      </c>
      <c r="O23" s="3" t="str">
        <f t="shared" si="2"/>
        <v>04</v>
      </c>
      <c r="R23" t="s">
        <v>39</v>
      </c>
    </row>
    <row r="24" spans="1:18" ht="15.75" x14ac:dyDescent="0.25">
      <c r="A24" s="55">
        <v>39082</v>
      </c>
      <c r="B24" s="56" t="s">
        <v>185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22</v>
      </c>
      <c r="M24" s="17" t="str">
        <f t="shared" si="0"/>
        <v>CurrQtr</v>
      </c>
      <c r="N24" s="19" t="str">
        <f t="shared" si="1"/>
        <v>P</v>
      </c>
      <c r="O24" s="3" t="str">
        <f t="shared" si="2"/>
        <v>04</v>
      </c>
      <c r="R24" t="s">
        <v>40</v>
      </c>
    </row>
    <row r="25" spans="1:18" ht="15.75" x14ac:dyDescent="0.25">
      <c r="A25" s="55">
        <v>39446</v>
      </c>
      <c r="B25" s="56" t="s">
        <v>185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22</v>
      </c>
      <c r="M25" s="17" t="str">
        <f t="shared" si="0"/>
        <v>CurrQtr</v>
      </c>
      <c r="N25" s="19" t="str">
        <f t="shared" si="1"/>
        <v>P</v>
      </c>
      <c r="O25" s="3" t="str">
        <f t="shared" si="2"/>
        <v>04</v>
      </c>
    </row>
    <row r="26" spans="1:18" ht="15.75" x14ac:dyDescent="0.25">
      <c r="A26" s="55">
        <v>39810</v>
      </c>
      <c r="B26" s="56" t="s">
        <v>185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22</v>
      </c>
      <c r="M26" s="17" t="str">
        <f t="shared" si="0"/>
        <v>CurrQtr</v>
      </c>
      <c r="N26" s="19" t="str">
        <f t="shared" si="1"/>
        <v>P</v>
      </c>
      <c r="O26" s="3" t="str">
        <f t="shared" si="2"/>
        <v>04</v>
      </c>
      <c r="R26" t="s">
        <v>247</v>
      </c>
    </row>
    <row r="27" spans="1:18" ht="15.75" x14ac:dyDescent="0.25">
      <c r="A27" s="55">
        <v>40174</v>
      </c>
      <c r="B27" s="56" t="s">
        <v>185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22</v>
      </c>
      <c r="M27" s="17" t="str">
        <f t="shared" si="0"/>
        <v>CurrQtr</v>
      </c>
      <c r="N27" s="19" t="str">
        <f t="shared" si="1"/>
        <v>P</v>
      </c>
      <c r="O27" s="3" t="str">
        <f t="shared" si="2"/>
        <v>04</v>
      </c>
      <c r="R27" t="s">
        <v>242</v>
      </c>
    </row>
    <row r="28" spans="1:18" ht="15.75" x14ac:dyDescent="0.25">
      <c r="A28" s="55">
        <v>40538</v>
      </c>
      <c r="B28" s="56" t="s">
        <v>185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22</v>
      </c>
      <c r="M28" s="17" t="str">
        <f t="shared" si="0"/>
        <v>CurrQtr</v>
      </c>
      <c r="N28" s="19" t="str">
        <f t="shared" si="1"/>
        <v>P</v>
      </c>
      <c r="O28" s="3" t="str">
        <f t="shared" si="2"/>
        <v>04</v>
      </c>
      <c r="R28" t="s">
        <v>243</v>
      </c>
    </row>
    <row r="29" spans="1:18" ht="15.75" x14ac:dyDescent="0.25">
      <c r="A29" s="55">
        <v>40902</v>
      </c>
      <c r="B29" s="56" t="s">
        <v>185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22</v>
      </c>
      <c r="M29" s="17" t="str">
        <f t="shared" si="0"/>
        <v>CurrQtr</v>
      </c>
      <c r="N29" s="19" t="str">
        <f t="shared" si="1"/>
        <v>P</v>
      </c>
      <c r="O29" s="3" t="str">
        <f t="shared" si="2"/>
        <v>04</v>
      </c>
      <c r="R29" t="s">
        <v>244</v>
      </c>
    </row>
    <row r="30" spans="1:18" ht="15.75" x14ac:dyDescent="0.25">
      <c r="A30" s="55">
        <v>41273</v>
      </c>
      <c r="B30" s="56" t="s">
        <v>185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22</v>
      </c>
      <c r="M30" s="17" t="str">
        <f t="shared" si="0"/>
        <v>CurrQtr</v>
      </c>
      <c r="N30" s="19" t="str">
        <f t="shared" si="1"/>
        <v>P</v>
      </c>
      <c r="O30" s="3" t="str">
        <f t="shared" si="2"/>
        <v>04</v>
      </c>
      <c r="R30" t="s">
        <v>245</v>
      </c>
    </row>
    <row r="31" spans="1:18" ht="15.75" x14ac:dyDescent="0.25">
      <c r="A31" s="55">
        <v>41637</v>
      </c>
      <c r="B31" s="56" t="s">
        <v>185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22</v>
      </c>
      <c r="M31" s="17" t="str">
        <f t="shared" si="0"/>
        <v>CurrQtr</v>
      </c>
      <c r="N31" s="19" t="str">
        <f t="shared" si="1"/>
        <v>P</v>
      </c>
      <c r="O31" s="3" t="str">
        <f t="shared" si="2"/>
        <v>04</v>
      </c>
      <c r="R31" t="s">
        <v>246</v>
      </c>
    </row>
    <row r="32" spans="1:18" ht="15.75" x14ac:dyDescent="0.25">
      <c r="A32" s="55">
        <v>42001</v>
      </c>
      <c r="B32" s="56" t="s">
        <v>185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22</v>
      </c>
      <c r="M32" s="17" t="str">
        <f t="shared" si="0"/>
        <v>CurrQtr</v>
      </c>
      <c r="N32" s="19" t="str">
        <f t="shared" si="1"/>
        <v>P</v>
      </c>
      <c r="O32" s="3" t="str">
        <f t="shared" si="2"/>
        <v>04</v>
      </c>
    </row>
    <row r="33" spans="1:15" ht="15.75" x14ac:dyDescent="0.25">
      <c r="A33" s="55">
        <v>42365</v>
      </c>
      <c r="B33" s="56" t="s">
        <v>185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22</v>
      </c>
      <c r="M33" s="17" t="str">
        <f t="shared" si="0"/>
        <v>CurrQtr</v>
      </c>
      <c r="N33" s="19" t="str">
        <f t="shared" si="1"/>
        <v>P</v>
      </c>
      <c r="O33" s="3" t="str">
        <f t="shared" si="2"/>
        <v>04</v>
      </c>
    </row>
    <row r="34" spans="1:15" ht="15.75" x14ac:dyDescent="0.25">
      <c r="A34" s="55">
        <v>42729</v>
      </c>
      <c r="B34" s="56" t="s">
        <v>185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22</v>
      </c>
      <c r="M34" s="17" t="str">
        <f t="shared" si="0"/>
        <v>CurrQtr</v>
      </c>
      <c r="N34" s="19" t="str">
        <f t="shared" si="1"/>
        <v>P</v>
      </c>
      <c r="O34" s="3" t="str">
        <f t="shared" si="2"/>
        <v>04</v>
      </c>
    </row>
    <row r="35" spans="1:15" ht="15.75" x14ac:dyDescent="0.25">
      <c r="A35" s="55">
        <v>37255</v>
      </c>
      <c r="B35" s="56" t="s">
        <v>185</v>
      </c>
      <c r="C35" s="56" t="s">
        <v>109</v>
      </c>
      <c r="F35" s="1">
        <v>37228</v>
      </c>
      <c r="G35" s="1">
        <v>37255</v>
      </c>
      <c r="H35" t="s">
        <v>77</v>
      </c>
      <c r="I35" t="s">
        <v>14</v>
      </c>
      <c r="J35" t="s">
        <v>12</v>
      </c>
      <c r="L35" t="s">
        <v>22</v>
      </c>
      <c r="M35" s="17" t="str">
        <f t="shared" si="0"/>
        <v>CurrQtr</v>
      </c>
      <c r="N35" s="19" t="str">
        <f t="shared" si="1"/>
        <v>P</v>
      </c>
      <c r="O35" s="3" t="str">
        <f t="shared" si="2"/>
        <v>04</v>
      </c>
    </row>
    <row r="36" spans="1:15" ht="15.75" x14ac:dyDescent="0.25">
      <c r="A36" s="55">
        <v>37619</v>
      </c>
      <c r="B36" s="56" t="s">
        <v>185</v>
      </c>
      <c r="C36" s="56" t="s">
        <v>109</v>
      </c>
      <c r="F36" s="1">
        <v>37592</v>
      </c>
      <c r="G36" s="1">
        <v>37619</v>
      </c>
      <c r="H36" t="s">
        <v>78</v>
      </c>
      <c r="I36" t="s">
        <v>14</v>
      </c>
      <c r="J36" t="s">
        <v>12</v>
      </c>
      <c r="L36" t="s">
        <v>22</v>
      </c>
      <c r="M36" s="17" t="str">
        <f t="shared" si="0"/>
        <v>CurrQtr</v>
      </c>
      <c r="N36" s="19" t="str">
        <f t="shared" si="1"/>
        <v>P</v>
      </c>
      <c r="O36" s="3" t="str">
        <f t="shared" si="2"/>
        <v>04</v>
      </c>
    </row>
    <row r="37" spans="1:15" ht="15.75" x14ac:dyDescent="0.25">
      <c r="A37" s="55">
        <v>37983</v>
      </c>
      <c r="B37" s="56" t="s">
        <v>185</v>
      </c>
      <c r="C37" s="56" t="s">
        <v>109</v>
      </c>
      <c r="F37" s="1">
        <v>37956</v>
      </c>
      <c r="G37" s="1">
        <v>37983</v>
      </c>
      <c r="H37" t="s">
        <v>80</v>
      </c>
      <c r="I37" t="s">
        <v>14</v>
      </c>
      <c r="J37" t="s">
        <v>12</v>
      </c>
      <c r="L37" t="s">
        <v>22</v>
      </c>
      <c r="M37" s="17" t="str">
        <f t="shared" si="0"/>
        <v>CurrQtr</v>
      </c>
      <c r="N37" s="19" t="str">
        <f t="shared" si="1"/>
        <v>P</v>
      </c>
      <c r="O37" s="3" t="str">
        <f t="shared" si="2"/>
        <v>04</v>
      </c>
    </row>
    <row r="38" spans="1:15" ht="15.75" x14ac:dyDescent="0.25">
      <c r="A38" s="55">
        <v>38347</v>
      </c>
      <c r="B38" s="56" t="s">
        <v>185</v>
      </c>
      <c r="C38" s="56" t="s">
        <v>109</v>
      </c>
      <c r="F38" s="1">
        <v>38320</v>
      </c>
      <c r="G38" s="1">
        <v>38347</v>
      </c>
      <c r="H38" t="s">
        <v>82</v>
      </c>
      <c r="I38" t="s">
        <v>14</v>
      </c>
      <c r="J38" t="s">
        <v>12</v>
      </c>
      <c r="L38" t="s">
        <v>22</v>
      </c>
      <c r="M38" s="17" t="str">
        <f t="shared" si="0"/>
        <v>CurrQtr</v>
      </c>
      <c r="N38" s="19" t="str">
        <f t="shared" si="1"/>
        <v>P</v>
      </c>
      <c r="O38" s="3" t="str">
        <f t="shared" si="2"/>
        <v>04</v>
      </c>
    </row>
    <row r="39" spans="1:15" ht="15.75" x14ac:dyDescent="0.25">
      <c r="A39" s="55">
        <v>38711</v>
      </c>
      <c r="B39" s="56" t="s">
        <v>185</v>
      </c>
      <c r="C39" s="56" t="s">
        <v>109</v>
      </c>
      <c r="F39" s="1">
        <v>38684</v>
      </c>
      <c r="G39" s="1">
        <v>38711</v>
      </c>
      <c r="H39" t="s">
        <v>84</v>
      </c>
      <c r="I39" t="s">
        <v>14</v>
      </c>
      <c r="J39" t="s">
        <v>12</v>
      </c>
      <c r="L39" t="s">
        <v>22</v>
      </c>
      <c r="M39" s="17" t="str">
        <f t="shared" si="0"/>
        <v>CurrQtr</v>
      </c>
      <c r="N39" s="19" t="str">
        <f t="shared" si="1"/>
        <v>P</v>
      </c>
      <c r="O39" s="3" t="str">
        <f t="shared" si="2"/>
        <v>04</v>
      </c>
    </row>
    <row r="40" spans="1:15" ht="15.75" x14ac:dyDescent="0.25">
      <c r="A40" s="55">
        <v>39082</v>
      </c>
      <c r="B40" s="56" t="s">
        <v>185</v>
      </c>
      <c r="C40" s="56" t="s">
        <v>109</v>
      </c>
      <c r="F40" s="1">
        <v>39048</v>
      </c>
      <c r="G40" s="1">
        <v>39082</v>
      </c>
      <c r="H40" t="s">
        <v>86</v>
      </c>
      <c r="I40" t="s">
        <v>14</v>
      </c>
      <c r="J40" t="s">
        <v>12</v>
      </c>
      <c r="L40" t="s">
        <v>22</v>
      </c>
      <c r="M40" s="17" t="str">
        <f t="shared" ref="M40:M99" si="3">B40</f>
        <v>CurrQtr</v>
      </c>
      <c r="N40" s="19" t="str">
        <f t="shared" ref="N40:N99" si="4">IF(VALUE(L40)=VALUE(O40), "P","F")</f>
        <v>P</v>
      </c>
      <c r="O40" s="3" t="str">
        <f t="shared" si="2"/>
        <v>04</v>
      </c>
    </row>
    <row r="41" spans="1:15" ht="15.75" x14ac:dyDescent="0.25">
      <c r="A41" s="55">
        <v>39446</v>
      </c>
      <c r="B41" s="56" t="s">
        <v>185</v>
      </c>
      <c r="C41" s="56" t="s">
        <v>109</v>
      </c>
      <c r="F41" s="1">
        <v>39419</v>
      </c>
      <c r="G41" s="1">
        <v>39446</v>
      </c>
      <c r="H41" t="s">
        <v>87</v>
      </c>
      <c r="I41" t="s">
        <v>14</v>
      </c>
      <c r="J41" t="s">
        <v>12</v>
      </c>
      <c r="L41" t="s">
        <v>22</v>
      </c>
      <c r="M41" s="17" t="str">
        <f t="shared" si="3"/>
        <v>CurrQtr</v>
      </c>
      <c r="N41" s="19" t="str">
        <f t="shared" si="4"/>
        <v>P</v>
      </c>
      <c r="O41" s="3" t="str">
        <f t="shared" si="2"/>
        <v>04</v>
      </c>
    </row>
    <row r="42" spans="1:15" ht="15.75" x14ac:dyDescent="0.25">
      <c r="A42" s="55">
        <v>39810</v>
      </c>
      <c r="B42" s="56" t="s">
        <v>185</v>
      </c>
      <c r="C42" s="56" t="s">
        <v>109</v>
      </c>
      <c r="E42" s="2" t="s">
        <v>71</v>
      </c>
      <c r="F42" s="1">
        <v>39783</v>
      </c>
      <c r="G42" s="1">
        <v>39810</v>
      </c>
      <c r="H42" t="s">
        <v>88</v>
      </c>
      <c r="I42" t="s">
        <v>14</v>
      </c>
      <c r="J42" t="s">
        <v>12</v>
      </c>
      <c r="L42" t="s">
        <v>22</v>
      </c>
      <c r="M42" s="17" t="str">
        <f t="shared" si="3"/>
        <v>CurrQtr</v>
      </c>
      <c r="N42" s="19" t="str">
        <f t="shared" si="4"/>
        <v>P</v>
      </c>
      <c r="O42" s="3" t="str">
        <f t="shared" si="2"/>
        <v>04</v>
      </c>
    </row>
    <row r="43" spans="1:15" ht="15.75" x14ac:dyDescent="0.25">
      <c r="A43" s="55">
        <v>40174</v>
      </c>
      <c r="B43" s="56" t="s">
        <v>185</v>
      </c>
      <c r="C43" s="56" t="s">
        <v>109</v>
      </c>
      <c r="F43" s="1">
        <v>40147</v>
      </c>
      <c r="G43" s="1">
        <v>40174</v>
      </c>
      <c r="H43" t="s">
        <v>89</v>
      </c>
      <c r="I43" t="s">
        <v>14</v>
      </c>
      <c r="J43" t="s">
        <v>12</v>
      </c>
      <c r="L43" t="s">
        <v>22</v>
      </c>
      <c r="M43" s="17" t="str">
        <f t="shared" si="3"/>
        <v>CurrQtr</v>
      </c>
      <c r="N43" s="19" t="str">
        <f t="shared" si="4"/>
        <v>P</v>
      </c>
      <c r="O43" s="3" t="str">
        <f t="shared" si="2"/>
        <v>04</v>
      </c>
    </row>
    <row r="44" spans="1:15" ht="15.75" x14ac:dyDescent="0.25">
      <c r="A44" s="55">
        <v>40538</v>
      </c>
      <c r="B44" s="56" t="s">
        <v>185</v>
      </c>
      <c r="C44" s="56" t="s">
        <v>109</v>
      </c>
      <c r="F44" s="1">
        <v>40511</v>
      </c>
      <c r="G44" s="1">
        <v>40538</v>
      </c>
      <c r="H44" t="s">
        <v>90</v>
      </c>
      <c r="I44" t="s">
        <v>14</v>
      </c>
      <c r="J44" t="s">
        <v>12</v>
      </c>
      <c r="L44" t="s">
        <v>22</v>
      </c>
      <c r="M44" s="17" t="str">
        <f t="shared" si="3"/>
        <v>CurrQtr</v>
      </c>
      <c r="N44" s="19" t="str">
        <f t="shared" si="4"/>
        <v>P</v>
      </c>
      <c r="O44" s="3" t="str">
        <f t="shared" si="2"/>
        <v>04</v>
      </c>
    </row>
    <row r="45" spans="1:15" ht="15.75" x14ac:dyDescent="0.25">
      <c r="A45" s="55">
        <v>40902</v>
      </c>
      <c r="B45" s="56" t="s">
        <v>185</v>
      </c>
      <c r="C45" s="56" t="s">
        <v>109</v>
      </c>
      <c r="F45" s="1">
        <v>40875</v>
      </c>
      <c r="G45" s="1">
        <v>40902</v>
      </c>
      <c r="H45" t="s">
        <v>91</v>
      </c>
      <c r="I45" t="s">
        <v>14</v>
      </c>
      <c r="J45" t="s">
        <v>12</v>
      </c>
      <c r="L45" t="s">
        <v>22</v>
      </c>
      <c r="M45" s="17" t="str">
        <f t="shared" si="3"/>
        <v>CurrQtr</v>
      </c>
      <c r="N45" s="19" t="str">
        <f t="shared" si="4"/>
        <v>P</v>
      </c>
      <c r="O45" s="3" t="str">
        <f t="shared" si="2"/>
        <v>04</v>
      </c>
    </row>
    <row r="46" spans="1:15" ht="15.75" x14ac:dyDescent="0.25">
      <c r="A46" s="55">
        <v>41273</v>
      </c>
      <c r="B46" s="56" t="s">
        <v>185</v>
      </c>
      <c r="C46" s="56" t="s">
        <v>109</v>
      </c>
      <c r="F46" s="1">
        <v>41239</v>
      </c>
      <c r="G46" s="1">
        <v>41273</v>
      </c>
      <c r="H46" t="s">
        <v>53</v>
      </c>
      <c r="I46" t="s">
        <v>14</v>
      </c>
      <c r="J46" t="s">
        <v>12</v>
      </c>
      <c r="L46" t="s">
        <v>22</v>
      </c>
      <c r="M46" s="17" t="str">
        <f t="shared" si="3"/>
        <v>CurrQtr</v>
      </c>
      <c r="N46" s="19" t="str">
        <f t="shared" si="4"/>
        <v>P</v>
      </c>
      <c r="O46" s="3" t="str">
        <f t="shared" si="2"/>
        <v>04</v>
      </c>
    </row>
    <row r="47" spans="1:15" ht="15.75" x14ac:dyDescent="0.25">
      <c r="A47" s="55">
        <v>41637</v>
      </c>
      <c r="B47" s="56" t="s">
        <v>185</v>
      </c>
      <c r="C47" s="56" t="s">
        <v>109</v>
      </c>
      <c r="F47" s="1">
        <v>41610</v>
      </c>
      <c r="G47" s="1">
        <v>41637</v>
      </c>
      <c r="H47" t="s">
        <v>67</v>
      </c>
      <c r="I47" t="s">
        <v>14</v>
      </c>
      <c r="J47" t="s">
        <v>12</v>
      </c>
      <c r="L47" t="s">
        <v>22</v>
      </c>
      <c r="M47" s="17" t="str">
        <f t="shared" si="3"/>
        <v>CurrQtr</v>
      </c>
      <c r="N47" s="19" t="str">
        <f t="shared" si="4"/>
        <v>P</v>
      </c>
      <c r="O47" s="3" t="str">
        <f t="shared" si="2"/>
        <v>04</v>
      </c>
    </row>
    <row r="48" spans="1:15" ht="15.75" x14ac:dyDescent="0.25">
      <c r="A48" s="55">
        <v>42001</v>
      </c>
      <c r="B48" s="56" t="s">
        <v>185</v>
      </c>
      <c r="C48" s="56" t="s">
        <v>109</v>
      </c>
      <c r="F48" s="1">
        <v>41974</v>
      </c>
      <c r="G48" s="1">
        <v>42001</v>
      </c>
      <c r="H48" t="s">
        <v>92</v>
      </c>
      <c r="I48" t="s">
        <v>14</v>
      </c>
      <c r="J48" t="s">
        <v>12</v>
      </c>
      <c r="L48" t="s">
        <v>22</v>
      </c>
      <c r="M48" s="17" t="str">
        <f t="shared" si="3"/>
        <v>CurrQtr</v>
      </c>
      <c r="N48" s="19" t="str">
        <f t="shared" si="4"/>
        <v>P</v>
      </c>
      <c r="O48" s="3" t="str">
        <f t="shared" si="2"/>
        <v>04</v>
      </c>
    </row>
    <row r="49" spans="1:15" ht="15.75" x14ac:dyDescent="0.25">
      <c r="A49" s="55">
        <v>42365</v>
      </c>
      <c r="B49" s="56" t="s">
        <v>185</v>
      </c>
      <c r="C49" s="56" t="s">
        <v>109</v>
      </c>
      <c r="F49" s="1">
        <v>42338</v>
      </c>
      <c r="G49" s="1">
        <v>42365</v>
      </c>
      <c r="H49" t="s">
        <v>93</v>
      </c>
      <c r="I49" t="s">
        <v>14</v>
      </c>
      <c r="J49" t="s">
        <v>12</v>
      </c>
      <c r="L49" t="s">
        <v>22</v>
      </c>
      <c r="M49" s="17" t="str">
        <f t="shared" si="3"/>
        <v>CurrQtr</v>
      </c>
      <c r="N49" s="19" t="str">
        <f t="shared" si="4"/>
        <v>P</v>
      </c>
      <c r="O49" s="3" t="str">
        <f t="shared" si="2"/>
        <v>04</v>
      </c>
    </row>
    <row r="50" spans="1:15" ht="15.75" x14ac:dyDescent="0.25">
      <c r="A50" s="55">
        <v>42729</v>
      </c>
      <c r="B50" s="56" t="s">
        <v>185</v>
      </c>
      <c r="C50" s="56" t="s">
        <v>109</v>
      </c>
      <c r="F50" s="1">
        <v>42702</v>
      </c>
      <c r="G50" s="1">
        <v>42729</v>
      </c>
      <c r="H50" t="s">
        <v>16</v>
      </c>
      <c r="I50" t="s">
        <v>14</v>
      </c>
      <c r="J50" t="s">
        <v>12</v>
      </c>
      <c r="L50" t="s">
        <v>22</v>
      </c>
      <c r="M50" s="17" t="str">
        <f t="shared" si="3"/>
        <v>CurrQtr</v>
      </c>
      <c r="N50" s="19" t="str">
        <f t="shared" si="4"/>
        <v>P</v>
      </c>
      <c r="O50" s="3" t="str">
        <f t="shared" si="2"/>
        <v>04</v>
      </c>
    </row>
    <row r="51" spans="1:15" ht="15.75" x14ac:dyDescent="0.25">
      <c r="A51" s="55">
        <v>39048</v>
      </c>
      <c r="B51" s="56" t="s">
        <v>185</v>
      </c>
      <c r="C51" s="56" t="s">
        <v>111</v>
      </c>
      <c r="F51" s="1">
        <v>39048</v>
      </c>
      <c r="G51" s="1">
        <v>39082</v>
      </c>
      <c r="H51" t="s">
        <v>86</v>
      </c>
      <c r="I51" t="s">
        <v>14</v>
      </c>
      <c r="J51" t="s">
        <v>12</v>
      </c>
      <c r="L51" t="s">
        <v>22</v>
      </c>
      <c r="M51" s="17" t="str">
        <f t="shared" si="3"/>
        <v>CurrQtr</v>
      </c>
      <c r="N51" s="19" t="str">
        <f t="shared" si="4"/>
        <v>P</v>
      </c>
      <c r="O51" s="3" t="str">
        <f t="shared" si="2"/>
        <v>04</v>
      </c>
    </row>
    <row r="52" spans="1:15" ht="15.75" x14ac:dyDescent="0.25">
      <c r="A52" s="55">
        <v>43066</v>
      </c>
      <c r="B52" s="56" t="s">
        <v>185</v>
      </c>
      <c r="C52" s="56" t="s">
        <v>111</v>
      </c>
      <c r="F52" s="1">
        <v>43066</v>
      </c>
      <c r="G52" s="1">
        <v>43100</v>
      </c>
      <c r="H52" t="s">
        <v>70</v>
      </c>
      <c r="I52" t="s">
        <v>14</v>
      </c>
      <c r="J52" t="s">
        <v>12</v>
      </c>
      <c r="L52" t="s">
        <v>22</v>
      </c>
      <c r="M52" s="17" t="str">
        <f t="shared" si="3"/>
        <v>CurrQtr</v>
      </c>
      <c r="N52" s="19" t="str">
        <f t="shared" si="4"/>
        <v>P</v>
      </c>
      <c r="O52" s="3" t="str">
        <f t="shared" si="2"/>
        <v>04</v>
      </c>
    </row>
    <row r="53" spans="1:15" ht="15.75" x14ac:dyDescent="0.25">
      <c r="A53" s="55">
        <v>47084</v>
      </c>
      <c r="B53" s="56" t="s">
        <v>185</v>
      </c>
      <c r="C53" s="56" t="s">
        <v>111</v>
      </c>
      <c r="F53" s="1">
        <v>47084</v>
      </c>
      <c r="G53" s="1">
        <v>47118</v>
      </c>
      <c r="H53" t="s">
        <v>103</v>
      </c>
      <c r="I53" t="s">
        <v>14</v>
      </c>
      <c r="J53" t="s">
        <v>12</v>
      </c>
      <c r="L53" t="s">
        <v>22</v>
      </c>
      <c r="M53" s="17" t="str">
        <f t="shared" si="3"/>
        <v>CurrQtr</v>
      </c>
      <c r="N53" s="19" t="str">
        <f t="shared" si="4"/>
        <v>P</v>
      </c>
      <c r="O53" s="3" t="str">
        <f t="shared" si="2"/>
        <v>04</v>
      </c>
    </row>
    <row r="54" spans="1:15" ht="15.75" x14ac:dyDescent="0.25">
      <c r="A54" s="55">
        <v>39082</v>
      </c>
      <c r="B54" s="56" t="s">
        <v>185</v>
      </c>
      <c r="C54" s="56" t="s">
        <v>112</v>
      </c>
      <c r="F54" s="1">
        <v>39048</v>
      </c>
      <c r="G54" s="1">
        <v>39082</v>
      </c>
      <c r="H54" t="s">
        <v>86</v>
      </c>
      <c r="I54" t="s">
        <v>14</v>
      </c>
      <c r="J54" t="s">
        <v>12</v>
      </c>
      <c r="L54" t="s">
        <v>22</v>
      </c>
      <c r="M54" s="17" t="str">
        <f t="shared" si="3"/>
        <v>CurrQtr</v>
      </c>
      <c r="N54" s="19" t="str">
        <f t="shared" si="4"/>
        <v>P</v>
      </c>
      <c r="O54" s="3" t="str">
        <f t="shared" si="2"/>
        <v>04</v>
      </c>
    </row>
    <row r="55" spans="1:15" ht="15.75" x14ac:dyDescent="0.25">
      <c r="A55" s="55">
        <v>43100</v>
      </c>
      <c r="B55" s="56" t="s">
        <v>185</v>
      </c>
      <c r="C55" s="56" t="s">
        <v>112</v>
      </c>
      <c r="F55" s="1">
        <v>43066</v>
      </c>
      <c r="G55" s="1">
        <v>43100</v>
      </c>
      <c r="H55" t="s">
        <v>70</v>
      </c>
      <c r="I55" t="s">
        <v>14</v>
      </c>
      <c r="J55" t="s">
        <v>12</v>
      </c>
      <c r="L55" t="s">
        <v>22</v>
      </c>
      <c r="M55" s="17" t="str">
        <f t="shared" si="3"/>
        <v>CurrQtr</v>
      </c>
      <c r="N55" s="19" t="str">
        <f t="shared" si="4"/>
        <v>P</v>
      </c>
      <c r="O55" s="3" t="str">
        <f t="shared" si="2"/>
        <v>04</v>
      </c>
    </row>
    <row r="56" spans="1:15" ht="15.75" x14ac:dyDescent="0.25">
      <c r="A56" s="55">
        <v>47118</v>
      </c>
      <c r="B56" s="56" t="s">
        <v>185</v>
      </c>
      <c r="C56" s="56" t="s">
        <v>112</v>
      </c>
      <c r="F56" s="1">
        <v>47084</v>
      </c>
      <c r="G56" s="1">
        <v>47118</v>
      </c>
      <c r="H56" t="s">
        <v>103</v>
      </c>
      <c r="I56" t="s">
        <v>14</v>
      </c>
      <c r="J56" t="s">
        <v>12</v>
      </c>
      <c r="L56" t="s">
        <v>22</v>
      </c>
      <c r="M56" s="17" t="str">
        <f t="shared" si="3"/>
        <v>CurrQtr</v>
      </c>
      <c r="N56" s="19" t="str">
        <f t="shared" si="4"/>
        <v>P</v>
      </c>
      <c r="O56" s="3" t="str">
        <f t="shared" si="2"/>
        <v>04</v>
      </c>
    </row>
    <row r="57" spans="1:15" ht="15.75" x14ac:dyDescent="0.25">
      <c r="A57" s="55">
        <v>39048</v>
      </c>
      <c r="B57" s="56" t="s">
        <v>185</v>
      </c>
      <c r="C57" s="56" t="s">
        <v>111</v>
      </c>
      <c r="F57" s="1">
        <v>39048</v>
      </c>
      <c r="G57" s="1">
        <v>39082</v>
      </c>
      <c r="H57" t="s">
        <v>86</v>
      </c>
      <c r="I57" t="s">
        <v>14</v>
      </c>
      <c r="J57" t="s">
        <v>12</v>
      </c>
      <c r="L57" t="s">
        <v>22</v>
      </c>
      <c r="M57" s="17" t="str">
        <f t="shared" si="3"/>
        <v>CurrQtr</v>
      </c>
      <c r="N57" s="19" t="str">
        <f t="shared" si="4"/>
        <v>P</v>
      </c>
      <c r="O57" s="3" t="str">
        <f t="shared" si="2"/>
        <v>04</v>
      </c>
    </row>
    <row r="58" spans="1:15" ht="15.75" x14ac:dyDescent="0.25">
      <c r="A58" s="55">
        <v>43066</v>
      </c>
      <c r="B58" s="56" t="s">
        <v>185</v>
      </c>
      <c r="C58" s="56" t="s">
        <v>111</v>
      </c>
      <c r="F58" s="1">
        <v>43066</v>
      </c>
      <c r="G58" s="1">
        <v>43100</v>
      </c>
      <c r="H58" t="s">
        <v>70</v>
      </c>
      <c r="I58" t="s">
        <v>14</v>
      </c>
      <c r="J58" t="s">
        <v>12</v>
      </c>
      <c r="L58" t="s">
        <v>22</v>
      </c>
      <c r="M58" s="17" t="str">
        <f t="shared" si="3"/>
        <v>CurrQtr</v>
      </c>
      <c r="N58" s="19" t="str">
        <f t="shared" si="4"/>
        <v>P</v>
      </c>
      <c r="O58" s="3" t="str">
        <f t="shared" si="2"/>
        <v>04</v>
      </c>
    </row>
    <row r="59" spans="1:15" ht="15.75" x14ac:dyDescent="0.25">
      <c r="A59" s="55">
        <v>47084</v>
      </c>
      <c r="B59" s="56" t="s">
        <v>185</v>
      </c>
      <c r="C59" s="56" t="s">
        <v>111</v>
      </c>
      <c r="F59" s="1">
        <v>47084</v>
      </c>
      <c r="G59" s="1">
        <v>47118</v>
      </c>
      <c r="H59" t="s">
        <v>103</v>
      </c>
      <c r="I59" t="s">
        <v>14</v>
      </c>
      <c r="J59" t="s">
        <v>12</v>
      </c>
      <c r="L59" t="s">
        <v>22</v>
      </c>
      <c r="M59" s="17" t="str">
        <f t="shared" si="3"/>
        <v>CurrQtr</v>
      </c>
      <c r="N59" s="19" t="str">
        <f t="shared" si="4"/>
        <v>P</v>
      </c>
      <c r="O59" s="3" t="str">
        <f t="shared" si="2"/>
        <v>04</v>
      </c>
    </row>
    <row r="60" spans="1:15" ht="15.75" x14ac:dyDescent="0.25">
      <c r="A60" s="55">
        <v>39082</v>
      </c>
      <c r="B60" s="56" t="s">
        <v>185</v>
      </c>
      <c r="C60" s="56" t="s">
        <v>112</v>
      </c>
      <c r="F60" s="1">
        <v>39048</v>
      </c>
      <c r="G60" s="1">
        <v>39082</v>
      </c>
      <c r="H60" t="s">
        <v>86</v>
      </c>
      <c r="I60" t="s">
        <v>14</v>
      </c>
      <c r="J60" t="s">
        <v>12</v>
      </c>
      <c r="L60" t="s">
        <v>22</v>
      </c>
      <c r="M60" s="17" t="str">
        <f t="shared" si="3"/>
        <v>CurrQtr</v>
      </c>
      <c r="N60" s="19" t="str">
        <f t="shared" si="4"/>
        <v>P</v>
      </c>
      <c r="O60" s="3" t="str">
        <f t="shared" si="2"/>
        <v>04</v>
      </c>
    </row>
    <row r="61" spans="1:15" ht="15.75" x14ac:dyDescent="0.25">
      <c r="A61" s="55">
        <v>43100</v>
      </c>
      <c r="B61" s="56" t="s">
        <v>185</v>
      </c>
      <c r="C61" s="56" t="s">
        <v>112</v>
      </c>
      <c r="F61" s="1">
        <v>43066</v>
      </c>
      <c r="G61" s="1">
        <v>43100</v>
      </c>
      <c r="H61" t="s">
        <v>70</v>
      </c>
      <c r="I61" t="s">
        <v>14</v>
      </c>
      <c r="J61" t="s">
        <v>12</v>
      </c>
      <c r="L61" t="s">
        <v>22</v>
      </c>
      <c r="M61" s="17" t="str">
        <f t="shared" si="3"/>
        <v>CurrQtr</v>
      </c>
      <c r="N61" s="19" t="str">
        <f t="shared" si="4"/>
        <v>P</v>
      </c>
      <c r="O61" s="3" t="str">
        <f t="shared" si="2"/>
        <v>04</v>
      </c>
    </row>
    <row r="62" spans="1:15" ht="15.75" x14ac:dyDescent="0.25">
      <c r="A62" s="55">
        <v>47118</v>
      </c>
      <c r="B62" s="56" t="s">
        <v>185</v>
      </c>
      <c r="C62" s="56" t="s">
        <v>112</v>
      </c>
      <c r="F62" s="1">
        <v>47084</v>
      </c>
      <c r="G62" s="1">
        <v>47118</v>
      </c>
      <c r="H62" t="s">
        <v>103</v>
      </c>
      <c r="I62" t="s">
        <v>14</v>
      </c>
      <c r="J62" t="s">
        <v>12</v>
      </c>
      <c r="L62" t="s">
        <v>22</v>
      </c>
      <c r="M62" s="17" t="str">
        <f t="shared" si="3"/>
        <v>CurrQtr</v>
      </c>
      <c r="N62" s="19" t="str">
        <f t="shared" si="4"/>
        <v>P</v>
      </c>
      <c r="O62" s="3" t="str">
        <f t="shared" si="2"/>
        <v>04</v>
      </c>
    </row>
    <row r="63" spans="1:15" ht="15.75" x14ac:dyDescent="0.25">
      <c r="A63" s="55">
        <v>39048</v>
      </c>
      <c r="B63" s="56" t="s">
        <v>185</v>
      </c>
      <c r="C63" s="56" t="s">
        <v>111</v>
      </c>
      <c r="F63" s="1">
        <v>39048</v>
      </c>
      <c r="G63" s="1">
        <v>39082</v>
      </c>
      <c r="H63" t="s">
        <v>86</v>
      </c>
      <c r="I63" t="s">
        <v>14</v>
      </c>
      <c r="J63" t="s">
        <v>12</v>
      </c>
      <c r="L63" t="s">
        <v>22</v>
      </c>
      <c r="M63" s="17" t="str">
        <f t="shared" si="3"/>
        <v>CurrQtr</v>
      </c>
      <c r="N63" s="19" t="str">
        <f t="shared" si="4"/>
        <v>P</v>
      </c>
      <c r="O63" s="3" t="str">
        <f t="shared" si="2"/>
        <v>04</v>
      </c>
    </row>
    <row r="64" spans="1:15" ht="15.75" x14ac:dyDescent="0.25">
      <c r="A64" s="55">
        <v>43066</v>
      </c>
      <c r="B64" s="56" t="s">
        <v>185</v>
      </c>
      <c r="C64" s="56" t="s">
        <v>111</v>
      </c>
      <c r="F64" s="1">
        <v>43066</v>
      </c>
      <c r="G64" s="1">
        <v>43100</v>
      </c>
      <c r="H64" t="s">
        <v>70</v>
      </c>
      <c r="I64" t="s">
        <v>14</v>
      </c>
      <c r="J64" t="s">
        <v>12</v>
      </c>
      <c r="L64" t="s">
        <v>22</v>
      </c>
      <c r="M64" s="17" t="str">
        <f t="shared" si="3"/>
        <v>CurrQtr</v>
      </c>
      <c r="N64" s="19" t="str">
        <f t="shared" si="4"/>
        <v>P</v>
      </c>
      <c r="O64" s="3" t="str">
        <f t="shared" si="2"/>
        <v>04</v>
      </c>
    </row>
    <row r="65" spans="1:15" ht="15.75" x14ac:dyDescent="0.25">
      <c r="A65" s="55">
        <v>47084</v>
      </c>
      <c r="B65" s="56" t="s">
        <v>185</v>
      </c>
      <c r="C65" s="56" t="s">
        <v>111</v>
      </c>
      <c r="F65" s="1">
        <v>47084</v>
      </c>
      <c r="G65" s="1">
        <v>47118</v>
      </c>
      <c r="H65" t="s">
        <v>103</v>
      </c>
      <c r="I65" t="s">
        <v>14</v>
      </c>
      <c r="J65" t="s">
        <v>12</v>
      </c>
      <c r="L65" t="s">
        <v>22</v>
      </c>
      <c r="M65" s="17" t="str">
        <f t="shared" si="3"/>
        <v>CurrQtr</v>
      </c>
      <c r="N65" s="19" t="str">
        <f t="shared" si="4"/>
        <v>P</v>
      </c>
      <c r="O65" s="3" t="str">
        <f t="shared" si="2"/>
        <v>04</v>
      </c>
    </row>
    <row r="66" spans="1:15" ht="15.75" x14ac:dyDescent="0.25">
      <c r="A66" s="55">
        <v>39082</v>
      </c>
      <c r="B66" s="56" t="s">
        <v>185</v>
      </c>
      <c r="C66" s="56" t="s">
        <v>112</v>
      </c>
      <c r="F66" s="1">
        <v>39048</v>
      </c>
      <c r="G66" s="1">
        <v>39082</v>
      </c>
      <c r="H66" t="s">
        <v>86</v>
      </c>
      <c r="I66" t="s">
        <v>14</v>
      </c>
      <c r="J66" t="s">
        <v>12</v>
      </c>
      <c r="L66" t="s">
        <v>22</v>
      </c>
      <c r="M66" s="17" t="str">
        <f t="shared" si="3"/>
        <v>CurrQtr</v>
      </c>
      <c r="N66" s="19" t="str">
        <f t="shared" si="4"/>
        <v>P</v>
      </c>
      <c r="O66" s="3" t="str">
        <f t="shared" si="2"/>
        <v>04</v>
      </c>
    </row>
    <row r="67" spans="1:15" ht="15.75" x14ac:dyDescent="0.25">
      <c r="A67" s="55">
        <v>43100</v>
      </c>
      <c r="B67" s="56" t="s">
        <v>185</v>
      </c>
      <c r="C67" s="56" t="s">
        <v>112</v>
      </c>
      <c r="F67" s="1">
        <v>43066</v>
      </c>
      <c r="G67" s="1">
        <v>43100</v>
      </c>
      <c r="H67" t="s">
        <v>70</v>
      </c>
      <c r="I67" t="s">
        <v>14</v>
      </c>
      <c r="J67" t="s">
        <v>12</v>
      </c>
      <c r="L67" t="s">
        <v>22</v>
      </c>
      <c r="M67" s="17" t="str">
        <f t="shared" si="3"/>
        <v>CurrQtr</v>
      </c>
      <c r="N67" s="19" t="str">
        <f t="shared" si="4"/>
        <v>P</v>
      </c>
      <c r="O67" s="3" t="str">
        <f t="shared" si="2"/>
        <v>04</v>
      </c>
    </row>
    <row r="68" spans="1:15" ht="15.75" x14ac:dyDescent="0.25">
      <c r="A68" s="55">
        <v>47118</v>
      </c>
      <c r="B68" s="56" t="s">
        <v>185</v>
      </c>
      <c r="C68" s="56" t="s">
        <v>112</v>
      </c>
      <c r="F68" s="1">
        <v>47084</v>
      </c>
      <c r="G68" s="1">
        <v>47118</v>
      </c>
      <c r="H68" t="s">
        <v>103</v>
      </c>
      <c r="I68" t="s">
        <v>14</v>
      </c>
      <c r="J68" t="s">
        <v>12</v>
      </c>
      <c r="L68" t="s">
        <v>22</v>
      </c>
      <c r="M68" s="17" t="str">
        <f t="shared" si="3"/>
        <v>CurrQtr</v>
      </c>
      <c r="N68" s="19" t="str">
        <f t="shared" si="4"/>
        <v>P</v>
      </c>
      <c r="O68" s="3" t="str">
        <f t="shared" si="2"/>
        <v>04</v>
      </c>
    </row>
    <row r="69" spans="1:15" ht="15.75" x14ac:dyDescent="0.25">
      <c r="A69" s="1">
        <v>46332</v>
      </c>
      <c r="B69" s="56" t="s">
        <v>185</v>
      </c>
      <c r="C69" s="57" t="s">
        <v>138</v>
      </c>
      <c r="F69" s="1">
        <v>46328</v>
      </c>
      <c r="G69" s="1">
        <v>46355</v>
      </c>
      <c r="H69" t="s">
        <v>99</v>
      </c>
      <c r="I69" t="s">
        <v>13</v>
      </c>
      <c r="J69" t="s">
        <v>12</v>
      </c>
      <c r="L69" t="s">
        <v>22</v>
      </c>
      <c r="M69" s="17" t="str">
        <f t="shared" si="3"/>
        <v>CurrQtr</v>
      </c>
      <c r="N69" s="19" t="str">
        <f t="shared" si="4"/>
        <v>P</v>
      </c>
      <c r="O69" s="3" t="str">
        <f t="shared" si="2"/>
        <v>04</v>
      </c>
    </row>
    <row r="70" spans="1:15" ht="15.75" x14ac:dyDescent="0.25">
      <c r="A70" s="1">
        <v>38575</v>
      </c>
      <c r="B70" s="56" t="s">
        <v>185</v>
      </c>
      <c r="C70" s="57" t="s">
        <v>138</v>
      </c>
      <c r="F70" s="1">
        <v>38572</v>
      </c>
      <c r="G70" s="1">
        <v>38599</v>
      </c>
      <c r="H70" t="s">
        <v>84</v>
      </c>
      <c r="I70" t="s">
        <v>141</v>
      </c>
      <c r="J70" t="s">
        <v>54</v>
      </c>
      <c r="L70" t="s">
        <v>23</v>
      </c>
      <c r="M70" s="17" t="str">
        <f t="shared" si="3"/>
        <v>CurrQtr</v>
      </c>
      <c r="N70" s="19" t="str">
        <f t="shared" si="4"/>
        <v>P</v>
      </c>
      <c r="O70" s="3" t="str">
        <f t="shared" si="2"/>
        <v>03</v>
      </c>
    </row>
    <row r="71" spans="1:15" ht="15.75" x14ac:dyDescent="0.25">
      <c r="A71" s="1">
        <v>37415</v>
      </c>
      <c r="B71" s="56" t="s">
        <v>185</v>
      </c>
      <c r="C71" s="57" t="s">
        <v>138</v>
      </c>
      <c r="F71" s="1">
        <v>37396</v>
      </c>
      <c r="G71" s="1">
        <v>37423</v>
      </c>
      <c r="H71" t="s">
        <v>78</v>
      </c>
      <c r="I71" t="s">
        <v>146</v>
      </c>
      <c r="J71" t="s">
        <v>143</v>
      </c>
      <c r="L71" t="s">
        <v>19</v>
      </c>
      <c r="M71" s="17" t="str">
        <f t="shared" si="3"/>
        <v>CurrQtr</v>
      </c>
      <c r="N71" s="19" t="str">
        <f t="shared" si="4"/>
        <v>P</v>
      </c>
      <c r="O71" s="3" t="str">
        <f t="shared" si="2"/>
        <v>02</v>
      </c>
    </row>
    <row r="72" spans="1:15" ht="15.75" x14ac:dyDescent="0.25">
      <c r="A72" s="1">
        <v>39192</v>
      </c>
      <c r="B72" s="56" t="s">
        <v>185</v>
      </c>
      <c r="C72" s="57" t="s">
        <v>138</v>
      </c>
      <c r="F72" s="1">
        <v>39167</v>
      </c>
      <c r="G72" s="1">
        <v>39194</v>
      </c>
      <c r="H72" t="s">
        <v>87</v>
      </c>
      <c r="I72" t="s">
        <v>12</v>
      </c>
      <c r="J72" t="s">
        <v>17</v>
      </c>
      <c r="L72" t="s">
        <v>15</v>
      </c>
      <c r="M72" s="17" t="str">
        <f t="shared" si="3"/>
        <v>CurrQtr</v>
      </c>
      <c r="N72" s="19" t="str">
        <f t="shared" si="4"/>
        <v>P</v>
      </c>
      <c r="O72" s="3" t="str">
        <f t="shared" si="2"/>
        <v>01</v>
      </c>
    </row>
    <row r="73" spans="1:15" ht="15.75" x14ac:dyDescent="0.25">
      <c r="A73" s="1">
        <v>45105</v>
      </c>
      <c r="B73" s="56" t="s">
        <v>185</v>
      </c>
      <c r="C73" s="57" t="s">
        <v>138</v>
      </c>
      <c r="F73" s="1">
        <v>45089</v>
      </c>
      <c r="G73" s="1">
        <v>45116</v>
      </c>
      <c r="H73" t="s">
        <v>96</v>
      </c>
      <c r="I73" t="s">
        <v>151</v>
      </c>
      <c r="J73" t="s">
        <v>143</v>
      </c>
      <c r="L73" t="s">
        <v>19</v>
      </c>
      <c r="M73" s="17" t="str">
        <f t="shared" si="3"/>
        <v>CurrQtr</v>
      </c>
      <c r="N73" s="19" t="str">
        <f t="shared" si="4"/>
        <v>P</v>
      </c>
      <c r="O73" s="3" t="str">
        <f t="shared" ref="O73:O99" si="5">J73</f>
        <v>02</v>
      </c>
    </row>
    <row r="74" spans="1:15" ht="15.75" x14ac:dyDescent="0.25">
      <c r="A74" s="1">
        <v>45950</v>
      </c>
      <c r="B74" s="56" t="s">
        <v>185</v>
      </c>
      <c r="C74" s="57" t="s">
        <v>138</v>
      </c>
      <c r="F74" s="1">
        <v>45936</v>
      </c>
      <c r="G74" s="1">
        <v>45963</v>
      </c>
      <c r="H74" t="s">
        <v>97</v>
      </c>
      <c r="I74" t="s">
        <v>150</v>
      </c>
      <c r="J74" t="s">
        <v>12</v>
      </c>
      <c r="L74" t="s">
        <v>22</v>
      </c>
      <c r="M74" s="17" t="str">
        <f t="shared" si="3"/>
        <v>CurrQtr</v>
      </c>
      <c r="N74" s="19" t="str">
        <f t="shared" si="4"/>
        <v>P</v>
      </c>
      <c r="O74" s="3" t="str">
        <f t="shared" si="5"/>
        <v>04</v>
      </c>
    </row>
    <row r="75" spans="1:15" ht="15.75" x14ac:dyDescent="0.25">
      <c r="A75" s="1">
        <v>46909</v>
      </c>
      <c r="B75" s="56" t="s">
        <v>185</v>
      </c>
      <c r="C75" s="57" t="s">
        <v>138</v>
      </c>
      <c r="F75" s="1">
        <v>46888</v>
      </c>
      <c r="G75" s="1">
        <v>46915</v>
      </c>
      <c r="H75" t="s">
        <v>103</v>
      </c>
      <c r="I75" t="s">
        <v>146</v>
      </c>
      <c r="J75" t="s">
        <v>143</v>
      </c>
      <c r="L75" t="s">
        <v>19</v>
      </c>
      <c r="M75" s="17" t="str">
        <f t="shared" si="3"/>
        <v>CurrQtr</v>
      </c>
      <c r="N75" s="19" t="str">
        <f t="shared" si="4"/>
        <v>P</v>
      </c>
      <c r="O75" s="3" t="str">
        <f t="shared" si="5"/>
        <v>02</v>
      </c>
    </row>
    <row r="76" spans="1:15" ht="15.75" x14ac:dyDescent="0.25">
      <c r="A76" s="1">
        <v>42022</v>
      </c>
      <c r="B76" s="56" t="s">
        <v>185</v>
      </c>
      <c r="C76" s="57" t="s">
        <v>138</v>
      </c>
      <c r="F76" s="1">
        <v>42002</v>
      </c>
      <c r="G76" s="1">
        <v>42029</v>
      </c>
      <c r="H76" t="s">
        <v>93</v>
      </c>
      <c r="I76" t="s">
        <v>17</v>
      </c>
      <c r="J76" t="s">
        <v>17</v>
      </c>
      <c r="L76" t="s">
        <v>15</v>
      </c>
      <c r="M76" s="17" t="str">
        <f t="shared" si="3"/>
        <v>CurrQtr</v>
      </c>
      <c r="N76" s="19" t="str">
        <f t="shared" si="4"/>
        <v>P</v>
      </c>
      <c r="O76" s="3" t="str">
        <f t="shared" si="5"/>
        <v>01</v>
      </c>
    </row>
    <row r="77" spans="1:15" ht="15.75" x14ac:dyDescent="0.25">
      <c r="A77" s="1">
        <v>42939</v>
      </c>
      <c r="B77" s="56" t="s">
        <v>185</v>
      </c>
      <c r="C77" s="57" t="s">
        <v>138</v>
      </c>
      <c r="F77" s="1">
        <v>42926</v>
      </c>
      <c r="G77" s="1">
        <v>42953</v>
      </c>
      <c r="H77" t="s">
        <v>70</v>
      </c>
      <c r="I77" t="s">
        <v>148</v>
      </c>
      <c r="J77" t="s">
        <v>54</v>
      </c>
      <c r="L77" t="s">
        <v>23</v>
      </c>
      <c r="M77" s="17" t="str">
        <f t="shared" si="3"/>
        <v>CurrQtr</v>
      </c>
      <c r="N77" s="19" t="str">
        <f t="shared" si="4"/>
        <v>P</v>
      </c>
      <c r="O77" s="3" t="str">
        <f t="shared" si="5"/>
        <v>03</v>
      </c>
    </row>
    <row r="78" spans="1:15" ht="15.75" x14ac:dyDescent="0.25">
      <c r="A78" s="1">
        <v>41791</v>
      </c>
      <c r="B78" s="56" t="s">
        <v>185</v>
      </c>
      <c r="C78" s="57" t="s">
        <v>138</v>
      </c>
      <c r="F78" s="1">
        <v>41778</v>
      </c>
      <c r="G78" s="1">
        <v>41805</v>
      </c>
      <c r="H78" t="s">
        <v>92</v>
      </c>
      <c r="I78" t="s">
        <v>146</v>
      </c>
      <c r="J78" t="s">
        <v>143</v>
      </c>
      <c r="L78" t="s">
        <v>19</v>
      </c>
      <c r="M78" s="17" t="str">
        <f t="shared" si="3"/>
        <v>CurrQtr</v>
      </c>
      <c r="N78" s="19" t="str">
        <f t="shared" si="4"/>
        <v>P</v>
      </c>
      <c r="O78" s="3" t="str">
        <f t="shared" si="5"/>
        <v>02</v>
      </c>
    </row>
    <row r="79" spans="1:15" ht="15.75" x14ac:dyDescent="0.25">
      <c r="A79" s="1">
        <v>40593</v>
      </c>
      <c r="B79" s="56" t="s">
        <v>185</v>
      </c>
      <c r="C79" s="57" t="s">
        <v>138</v>
      </c>
      <c r="F79" s="1">
        <v>40567</v>
      </c>
      <c r="G79" s="1">
        <v>40594</v>
      </c>
      <c r="H79" t="s">
        <v>91</v>
      </c>
      <c r="I79" t="s">
        <v>143</v>
      </c>
      <c r="J79" t="s">
        <v>17</v>
      </c>
      <c r="L79" t="s">
        <v>15</v>
      </c>
      <c r="M79" s="17" t="str">
        <f t="shared" si="3"/>
        <v>CurrQtr</v>
      </c>
      <c r="N79" s="19" t="str">
        <f t="shared" si="4"/>
        <v>P</v>
      </c>
      <c r="O79" s="3" t="str">
        <f t="shared" si="5"/>
        <v>01</v>
      </c>
    </row>
    <row r="80" spans="1:15" ht="15.75" x14ac:dyDescent="0.25">
      <c r="A80" s="1">
        <v>45545</v>
      </c>
      <c r="B80" s="56" t="s">
        <v>185</v>
      </c>
      <c r="C80" s="57" t="s">
        <v>138</v>
      </c>
      <c r="F80" s="1">
        <v>45544</v>
      </c>
      <c r="G80" s="1">
        <v>45571</v>
      </c>
      <c r="H80" t="s">
        <v>56</v>
      </c>
      <c r="I80" t="s">
        <v>144</v>
      </c>
      <c r="J80" t="s">
        <v>54</v>
      </c>
      <c r="L80" t="s">
        <v>23</v>
      </c>
      <c r="M80" s="17" t="str">
        <f t="shared" si="3"/>
        <v>CurrQtr</v>
      </c>
      <c r="N80" s="19" t="str">
        <f t="shared" si="4"/>
        <v>P</v>
      </c>
      <c r="O80" s="3" t="str">
        <f t="shared" si="5"/>
        <v>03</v>
      </c>
    </row>
    <row r="81" spans="1:15" ht="15.75" x14ac:dyDescent="0.25">
      <c r="A81" s="1">
        <v>44763</v>
      </c>
      <c r="B81" s="56" t="s">
        <v>185</v>
      </c>
      <c r="C81" s="57" t="s">
        <v>138</v>
      </c>
      <c r="F81" s="1">
        <v>44753</v>
      </c>
      <c r="G81" s="1">
        <v>44780</v>
      </c>
      <c r="H81" t="s">
        <v>95</v>
      </c>
      <c r="I81" t="s">
        <v>148</v>
      </c>
      <c r="J81" t="s">
        <v>54</v>
      </c>
      <c r="L81" t="s">
        <v>23</v>
      </c>
      <c r="M81" s="17" t="str">
        <f t="shared" si="3"/>
        <v>CurrQtr</v>
      </c>
      <c r="N81" s="19" t="str">
        <f t="shared" si="4"/>
        <v>P</v>
      </c>
      <c r="O81" s="3" t="str">
        <f t="shared" si="5"/>
        <v>03</v>
      </c>
    </row>
    <row r="82" spans="1:15" ht="15.75" x14ac:dyDescent="0.25">
      <c r="A82" s="1">
        <v>42716</v>
      </c>
      <c r="B82" s="56" t="s">
        <v>185</v>
      </c>
      <c r="C82" s="57" t="s">
        <v>138</v>
      </c>
      <c r="F82" s="1">
        <v>42702</v>
      </c>
      <c r="G82" s="1">
        <v>42729</v>
      </c>
      <c r="H82" t="s">
        <v>16</v>
      </c>
      <c r="I82" t="s">
        <v>14</v>
      </c>
      <c r="J82" t="s">
        <v>12</v>
      </c>
      <c r="L82" t="s">
        <v>22</v>
      </c>
      <c r="M82" s="17" t="str">
        <f t="shared" si="3"/>
        <v>CurrQtr</v>
      </c>
      <c r="N82" s="19" t="str">
        <f t="shared" si="4"/>
        <v>P</v>
      </c>
      <c r="O82" s="3" t="str">
        <f t="shared" si="5"/>
        <v>04</v>
      </c>
    </row>
    <row r="83" spans="1:15" ht="15.75" x14ac:dyDescent="0.25">
      <c r="A83" s="1">
        <v>43070</v>
      </c>
      <c r="B83" s="56" t="s">
        <v>185</v>
      </c>
      <c r="C83" s="57" t="s">
        <v>138</v>
      </c>
      <c r="F83" s="1">
        <v>43066</v>
      </c>
      <c r="G83" s="1">
        <v>43100</v>
      </c>
      <c r="H83" t="s">
        <v>70</v>
      </c>
      <c r="I83" t="s">
        <v>14</v>
      </c>
      <c r="J83" t="s">
        <v>12</v>
      </c>
      <c r="L83" t="s">
        <v>22</v>
      </c>
      <c r="M83" s="17" t="str">
        <f t="shared" si="3"/>
        <v>CurrQtr</v>
      </c>
      <c r="N83" s="19" t="str">
        <f t="shared" si="4"/>
        <v>P</v>
      </c>
      <c r="O83" s="3" t="str">
        <f t="shared" si="5"/>
        <v>04</v>
      </c>
    </row>
    <row r="84" spans="1:15" ht="15.75" x14ac:dyDescent="0.25">
      <c r="A84" s="1">
        <v>47318</v>
      </c>
      <c r="B84" s="56" t="s">
        <v>185</v>
      </c>
      <c r="C84" s="57" t="s">
        <v>138</v>
      </c>
      <c r="F84" s="1">
        <v>47315</v>
      </c>
      <c r="G84" s="1">
        <v>47342</v>
      </c>
      <c r="H84" t="s">
        <v>105</v>
      </c>
      <c r="I84" t="s">
        <v>148</v>
      </c>
      <c r="J84" t="s">
        <v>54</v>
      </c>
      <c r="L84" t="s">
        <v>23</v>
      </c>
      <c r="M84" s="17" t="str">
        <f t="shared" si="3"/>
        <v>CurrQtr</v>
      </c>
      <c r="N84" s="19" t="str">
        <f t="shared" si="4"/>
        <v>P</v>
      </c>
      <c r="O84" s="3" t="str">
        <f t="shared" si="5"/>
        <v>03</v>
      </c>
    </row>
    <row r="85" spans="1:15" ht="15.75" x14ac:dyDescent="0.25">
      <c r="A85" s="1">
        <v>40078</v>
      </c>
      <c r="B85" s="56" t="s">
        <v>185</v>
      </c>
      <c r="C85" s="57" t="s">
        <v>138</v>
      </c>
      <c r="F85" s="1">
        <v>40063</v>
      </c>
      <c r="G85" s="1">
        <v>40090</v>
      </c>
      <c r="H85" t="s">
        <v>89</v>
      </c>
      <c r="I85" t="s">
        <v>144</v>
      </c>
      <c r="J85" t="s">
        <v>54</v>
      </c>
      <c r="L85" t="s">
        <v>23</v>
      </c>
      <c r="M85" s="17" t="str">
        <f t="shared" si="3"/>
        <v>CurrQtr</v>
      </c>
      <c r="N85" s="19" t="str">
        <f t="shared" si="4"/>
        <v>P</v>
      </c>
      <c r="O85" s="3" t="str">
        <f t="shared" si="5"/>
        <v>03</v>
      </c>
    </row>
    <row r="86" spans="1:15" ht="15.75" x14ac:dyDescent="0.25">
      <c r="A86" s="1">
        <v>44160</v>
      </c>
      <c r="B86" s="56" t="s">
        <v>185</v>
      </c>
      <c r="C86" s="57" t="s">
        <v>138</v>
      </c>
      <c r="F86" s="1">
        <v>44137</v>
      </c>
      <c r="G86" s="1">
        <v>44164</v>
      </c>
      <c r="H86" t="s">
        <v>55</v>
      </c>
      <c r="I86" t="s">
        <v>13</v>
      </c>
      <c r="J86" t="s">
        <v>12</v>
      </c>
      <c r="L86" t="s">
        <v>22</v>
      </c>
      <c r="M86" s="17" t="str">
        <f t="shared" si="3"/>
        <v>CurrQtr</v>
      </c>
      <c r="N86" s="19" t="str">
        <f t="shared" si="4"/>
        <v>P</v>
      </c>
      <c r="O86" s="3" t="str">
        <f t="shared" si="5"/>
        <v>04</v>
      </c>
    </row>
    <row r="87" spans="1:15" ht="15.75" x14ac:dyDescent="0.25">
      <c r="A87" s="1">
        <v>44414</v>
      </c>
      <c r="B87" s="56" t="s">
        <v>185</v>
      </c>
      <c r="C87" s="57" t="s">
        <v>138</v>
      </c>
      <c r="F87" s="1">
        <v>44389</v>
      </c>
      <c r="G87" s="1">
        <v>44416</v>
      </c>
      <c r="H87" t="s">
        <v>74</v>
      </c>
      <c r="I87" t="s">
        <v>148</v>
      </c>
      <c r="J87" t="s">
        <v>54</v>
      </c>
      <c r="L87" t="s">
        <v>23</v>
      </c>
      <c r="M87" s="17" t="str">
        <f t="shared" si="3"/>
        <v>CurrQtr</v>
      </c>
      <c r="N87" s="19" t="str">
        <f t="shared" si="4"/>
        <v>P</v>
      </c>
      <c r="O87" s="3" t="str">
        <f t="shared" si="5"/>
        <v>03</v>
      </c>
    </row>
    <row r="88" spans="1:15" ht="15.75" x14ac:dyDescent="0.25">
      <c r="A88" s="1">
        <v>44493</v>
      </c>
      <c r="B88" s="56" t="s">
        <v>185</v>
      </c>
      <c r="C88" s="57" t="s">
        <v>138</v>
      </c>
      <c r="F88" s="1">
        <v>44473</v>
      </c>
      <c r="G88" s="1">
        <v>44500</v>
      </c>
      <c r="H88" t="s">
        <v>74</v>
      </c>
      <c r="I88" t="s">
        <v>150</v>
      </c>
      <c r="J88" t="s">
        <v>12</v>
      </c>
      <c r="L88" t="s">
        <v>22</v>
      </c>
      <c r="M88" s="17" t="str">
        <f t="shared" si="3"/>
        <v>CurrQtr</v>
      </c>
      <c r="N88" s="19" t="str">
        <f t="shared" si="4"/>
        <v>P</v>
      </c>
      <c r="O88" s="3" t="str">
        <f t="shared" si="5"/>
        <v>04</v>
      </c>
    </row>
    <row r="89" spans="1:15" ht="15.75" x14ac:dyDescent="0.25">
      <c r="A89" s="1">
        <v>38536</v>
      </c>
      <c r="B89" s="56" t="s">
        <v>185</v>
      </c>
      <c r="C89" s="57" t="s">
        <v>138</v>
      </c>
      <c r="F89" s="1">
        <v>38516</v>
      </c>
      <c r="G89" s="1">
        <v>38543</v>
      </c>
      <c r="H89" t="s">
        <v>84</v>
      </c>
      <c r="I89" t="s">
        <v>151</v>
      </c>
      <c r="J89" t="s">
        <v>143</v>
      </c>
      <c r="L89" t="s">
        <v>19</v>
      </c>
      <c r="M89" s="17" t="str">
        <f t="shared" si="3"/>
        <v>CurrQtr</v>
      </c>
      <c r="N89" s="19" t="str">
        <f t="shared" si="4"/>
        <v>P</v>
      </c>
      <c r="O89" s="3" t="str">
        <f t="shared" si="5"/>
        <v>02</v>
      </c>
    </row>
    <row r="90" spans="1:15" ht="15.75" x14ac:dyDescent="0.25">
      <c r="A90" s="1">
        <v>42306</v>
      </c>
      <c r="B90" s="56" t="s">
        <v>185</v>
      </c>
      <c r="C90" s="57" t="s">
        <v>138</v>
      </c>
      <c r="F90" s="1">
        <v>42282</v>
      </c>
      <c r="G90" s="1">
        <v>42309</v>
      </c>
      <c r="H90" t="s">
        <v>93</v>
      </c>
      <c r="I90" t="s">
        <v>150</v>
      </c>
      <c r="J90" t="s">
        <v>12</v>
      </c>
      <c r="L90" t="s">
        <v>22</v>
      </c>
      <c r="M90" s="17" t="str">
        <f t="shared" si="3"/>
        <v>CurrQtr</v>
      </c>
      <c r="N90" s="19" t="str">
        <f t="shared" si="4"/>
        <v>P</v>
      </c>
      <c r="O90" s="3" t="str">
        <f t="shared" si="5"/>
        <v>04</v>
      </c>
    </row>
    <row r="91" spans="1:15" ht="15.75" x14ac:dyDescent="0.25">
      <c r="A91" s="1">
        <v>44156</v>
      </c>
      <c r="B91" s="56" t="s">
        <v>185</v>
      </c>
      <c r="C91" s="57" t="s">
        <v>138</v>
      </c>
      <c r="F91" s="1">
        <v>44137</v>
      </c>
      <c r="G91" s="1">
        <v>44164</v>
      </c>
      <c r="H91" t="s">
        <v>55</v>
      </c>
      <c r="I91" t="s">
        <v>13</v>
      </c>
      <c r="J91" t="s">
        <v>12</v>
      </c>
      <c r="L91" t="s">
        <v>22</v>
      </c>
      <c r="M91" s="17" t="str">
        <f t="shared" si="3"/>
        <v>CurrQtr</v>
      </c>
      <c r="N91" s="19" t="str">
        <f t="shared" si="4"/>
        <v>P</v>
      </c>
      <c r="O91" s="3" t="str">
        <f t="shared" si="5"/>
        <v>04</v>
      </c>
    </row>
    <row r="92" spans="1:15" ht="15.75" x14ac:dyDescent="0.25">
      <c r="A92" s="1">
        <v>43643</v>
      </c>
      <c r="B92" s="56" t="s">
        <v>185</v>
      </c>
      <c r="C92" s="57" t="s">
        <v>138</v>
      </c>
      <c r="F92" s="1">
        <v>43633</v>
      </c>
      <c r="G92" s="1">
        <v>43660</v>
      </c>
      <c r="H92" t="s">
        <v>73</v>
      </c>
      <c r="I92" t="s">
        <v>151</v>
      </c>
      <c r="J92" t="s">
        <v>143</v>
      </c>
      <c r="L92" t="s">
        <v>19</v>
      </c>
      <c r="M92" s="17" t="str">
        <f t="shared" si="3"/>
        <v>CurrQtr</v>
      </c>
      <c r="N92" s="19" t="str">
        <f t="shared" si="4"/>
        <v>P</v>
      </c>
      <c r="O92" s="3" t="str">
        <f t="shared" si="5"/>
        <v>02</v>
      </c>
    </row>
    <row r="93" spans="1:15" ht="15.75" x14ac:dyDescent="0.25">
      <c r="A93" s="1">
        <v>39317</v>
      </c>
      <c r="B93" s="56" t="s">
        <v>185</v>
      </c>
      <c r="C93" s="57" t="s">
        <v>138</v>
      </c>
      <c r="F93" s="1">
        <v>39307</v>
      </c>
      <c r="G93" s="1">
        <v>39334</v>
      </c>
      <c r="H93" t="s">
        <v>87</v>
      </c>
      <c r="I93" t="s">
        <v>141</v>
      </c>
      <c r="J93" t="s">
        <v>54</v>
      </c>
      <c r="L93" t="s">
        <v>23</v>
      </c>
      <c r="M93" s="17" t="str">
        <f t="shared" si="3"/>
        <v>CurrQtr</v>
      </c>
      <c r="N93" s="19" t="str">
        <f t="shared" si="4"/>
        <v>P</v>
      </c>
      <c r="O93" s="3" t="str">
        <f t="shared" si="5"/>
        <v>03</v>
      </c>
    </row>
    <row r="94" spans="1:15" ht="15.75" x14ac:dyDescent="0.25">
      <c r="A94" s="1">
        <v>38535</v>
      </c>
      <c r="B94" s="56" t="s">
        <v>185</v>
      </c>
      <c r="C94" s="57" t="s">
        <v>138</v>
      </c>
      <c r="F94" s="1">
        <v>38516</v>
      </c>
      <c r="G94" s="1">
        <v>38543</v>
      </c>
      <c r="H94" t="s">
        <v>84</v>
      </c>
      <c r="I94" t="s">
        <v>151</v>
      </c>
      <c r="J94" t="s">
        <v>143</v>
      </c>
      <c r="L94" t="s">
        <v>19</v>
      </c>
      <c r="M94" s="17" t="str">
        <f t="shared" si="3"/>
        <v>CurrQtr</v>
      </c>
      <c r="N94" s="19" t="str">
        <f t="shared" si="4"/>
        <v>P</v>
      </c>
      <c r="O94" s="3" t="str">
        <f t="shared" si="5"/>
        <v>02</v>
      </c>
    </row>
    <row r="95" spans="1:15" ht="15.75" x14ac:dyDescent="0.25">
      <c r="A95" s="1">
        <v>46220</v>
      </c>
      <c r="B95" s="56" t="s">
        <v>185</v>
      </c>
      <c r="C95" s="57" t="s">
        <v>138</v>
      </c>
      <c r="F95" s="1">
        <v>46216</v>
      </c>
      <c r="G95" s="1">
        <v>46243</v>
      </c>
      <c r="H95" t="s">
        <v>99</v>
      </c>
      <c r="I95" t="s">
        <v>148</v>
      </c>
      <c r="J95" t="s">
        <v>54</v>
      </c>
      <c r="L95" t="s">
        <v>23</v>
      </c>
      <c r="M95" s="17" t="str">
        <f t="shared" si="3"/>
        <v>CurrQtr</v>
      </c>
      <c r="N95" s="19" t="str">
        <f t="shared" si="4"/>
        <v>P</v>
      </c>
      <c r="O95" s="3" t="str">
        <f t="shared" si="5"/>
        <v>03</v>
      </c>
    </row>
    <row r="96" spans="1:15" ht="15.75" x14ac:dyDescent="0.25">
      <c r="A96" s="1">
        <v>42777</v>
      </c>
      <c r="B96" s="56" t="s">
        <v>185</v>
      </c>
      <c r="C96" s="57" t="s">
        <v>138</v>
      </c>
      <c r="F96" s="1">
        <v>42758</v>
      </c>
      <c r="G96" s="1">
        <v>42785</v>
      </c>
      <c r="H96" t="s">
        <v>70</v>
      </c>
      <c r="I96" t="s">
        <v>143</v>
      </c>
      <c r="J96" t="s">
        <v>17</v>
      </c>
      <c r="L96" t="s">
        <v>15</v>
      </c>
      <c r="M96" s="17" t="str">
        <f t="shared" si="3"/>
        <v>CurrQtr</v>
      </c>
      <c r="N96" s="19" t="str">
        <f t="shared" si="4"/>
        <v>P</v>
      </c>
      <c r="O96" s="3" t="str">
        <f t="shared" si="5"/>
        <v>01</v>
      </c>
    </row>
    <row r="97" spans="1:15" ht="15.75" x14ac:dyDescent="0.25">
      <c r="A97" s="1">
        <v>42919</v>
      </c>
      <c r="B97" s="56" t="s">
        <v>185</v>
      </c>
      <c r="C97" s="57" t="s">
        <v>138</v>
      </c>
      <c r="F97" s="1">
        <v>42898</v>
      </c>
      <c r="G97" s="1">
        <v>42925</v>
      </c>
      <c r="H97" t="s">
        <v>70</v>
      </c>
      <c r="I97" t="s">
        <v>151</v>
      </c>
      <c r="J97" t="s">
        <v>143</v>
      </c>
      <c r="L97" t="s">
        <v>19</v>
      </c>
      <c r="M97" s="17" t="str">
        <f t="shared" si="3"/>
        <v>CurrQtr</v>
      </c>
      <c r="N97" s="19" t="str">
        <f t="shared" si="4"/>
        <v>P</v>
      </c>
      <c r="O97" s="3" t="str">
        <f t="shared" si="5"/>
        <v>02</v>
      </c>
    </row>
    <row r="98" spans="1:15" ht="15.75" x14ac:dyDescent="0.25">
      <c r="A98" s="1">
        <v>39716</v>
      </c>
      <c r="B98" s="56" t="s">
        <v>185</v>
      </c>
      <c r="C98" s="57" t="s">
        <v>138</v>
      </c>
      <c r="F98" s="1">
        <v>39699</v>
      </c>
      <c r="G98" s="1">
        <v>39726</v>
      </c>
      <c r="H98" t="s">
        <v>88</v>
      </c>
      <c r="I98" t="s">
        <v>144</v>
      </c>
      <c r="J98" t="s">
        <v>54</v>
      </c>
      <c r="L98" t="s">
        <v>23</v>
      </c>
      <c r="M98" s="17" t="str">
        <f t="shared" si="3"/>
        <v>CurrQtr</v>
      </c>
      <c r="N98" s="19" t="str">
        <f t="shared" si="4"/>
        <v>P</v>
      </c>
      <c r="O98" s="3" t="str">
        <f t="shared" si="5"/>
        <v>03</v>
      </c>
    </row>
    <row r="99" spans="1:15" ht="15.75" x14ac:dyDescent="0.25">
      <c r="A99" s="1">
        <v>47383</v>
      </c>
      <c r="B99" s="56" t="s">
        <v>185</v>
      </c>
      <c r="C99" s="57" t="s">
        <v>138</v>
      </c>
      <c r="F99" s="1">
        <v>47371</v>
      </c>
      <c r="G99" s="1">
        <v>47398</v>
      </c>
      <c r="H99" t="s">
        <v>105</v>
      </c>
      <c r="I99" t="s">
        <v>144</v>
      </c>
      <c r="J99" t="s">
        <v>54</v>
      </c>
      <c r="L99" t="s">
        <v>23</v>
      </c>
      <c r="M99" s="17" t="str">
        <f t="shared" si="3"/>
        <v>CurrQtr</v>
      </c>
      <c r="N99" s="19" t="str">
        <f t="shared" si="4"/>
        <v>P</v>
      </c>
      <c r="O99" s="3" t="str">
        <f t="shared" si="5"/>
        <v>03</v>
      </c>
    </row>
    <row r="100" spans="1:15" x14ac:dyDescent="0.25">
      <c r="A100" s="1"/>
      <c r="B100" s="3"/>
      <c r="F100" s="1"/>
      <c r="G100" s="1"/>
      <c r="M100" s="1"/>
    </row>
    <row r="101" spans="1:15" x14ac:dyDescent="0.25">
      <c r="A101" s="1"/>
      <c r="B101" s="3"/>
      <c r="F101" s="1"/>
      <c r="G101" s="1"/>
      <c r="M101" s="1"/>
    </row>
    <row r="102" spans="1:15" x14ac:dyDescent="0.25">
      <c r="A102" s="1"/>
      <c r="B102" s="3"/>
      <c r="F102" s="1"/>
      <c r="G102" s="1"/>
      <c r="M102" s="1"/>
    </row>
    <row r="103" spans="1:15" x14ac:dyDescent="0.25">
      <c r="A103" s="1"/>
      <c r="B103" s="3"/>
      <c r="F103" s="1"/>
      <c r="G103" s="1"/>
      <c r="M103" s="1"/>
    </row>
    <row r="104" spans="1:15" x14ac:dyDescent="0.25">
      <c r="A104" s="1"/>
      <c r="B104" s="3"/>
      <c r="F104" s="1"/>
      <c r="G104" s="1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99">
    <cfRule type="cellIs" dxfId="21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7650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314325</xdr:colOff>
                <xdr:row>2</xdr:row>
                <xdr:rowOff>104775</xdr:rowOff>
              </to>
            </anchor>
          </controlPr>
        </control>
      </mc:Choice>
      <mc:Fallback>
        <control shapeId="27650" r:id="rId4" name="ClearBtn"/>
      </mc:Fallback>
    </mc:AlternateContent>
    <mc:AlternateContent xmlns:mc="http://schemas.openxmlformats.org/markup-compatibility/2006">
      <mc:Choice Requires="x14">
        <control shapeId="27649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27649" r:id="rId6" name="ExecuteQuer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A1:AC412"/>
  <sheetViews>
    <sheetView workbookViewId="0">
      <selection activeCell="N24" sqref="N24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14" customWidth="1"/>
    <col min="15" max="15" width="18.140625" customWidth="1"/>
    <col min="17" max="17" width="15.140625" customWidth="1"/>
    <col min="18" max="18" width="10.7109375" bestFit="1" customWidth="1"/>
    <col min="19" max="19" width="12.28515625" bestFit="1" customWidth="1"/>
    <col min="20" max="20" width="11.28515625" bestFit="1" customWidth="1"/>
    <col min="21" max="21" width="11" bestFit="1" customWidth="1"/>
    <col min="22" max="22" width="11.5703125" bestFit="1" customWidth="1"/>
    <col min="23" max="23" width="10.85546875" bestFit="1" customWidth="1"/>
    <col min="24" max="24" width="10.28515625" bestFit="1" customWidth="1"/>
    <col min="25" max="25" width="11.28515625" bestFit="1" customWidth="1"/>
    <col min="26" max="26" width="11.140625" bestFit="1" customWidth="1"/>
    <col min="27" max="27" width="10.28515625" bestFit="1" customWidth="1"/>
    <col min="28" max="28" width="10.85546875" bestFit="1" customWidth="1"/>
    <col min="29" max="29" width="11.42578125" bestFit="1" customWidth="1"/>
  </cols>
  <sheetData>
    <row r="1" spans="1:29" x14ac:dyDescent="0.25">
      <c r="E1"/>
      <c r="K1"/>
      <c r="L1" t="s">
        <v>187</v>
      </c>
      <c r="M1" t="s">
        <v>186</v>
      </c>
    </row>
    <row r="2" spans="1:29" x14ac:dyDescent="0.25">
      <c r="E2"/>
      <c r="H2" t="s">
        <v>20</v>
      </c>
      <c r="I2" s="5">
        <v>79</v>
      </c>
      <c r="K2"/>
    </row>
    <row r="3" spans="1:29" x14ac:dyDescent="0.25">
      <c r="E3"/>
      <c r="K3"/>
    </row>
    <row r="4" spans="1:29" s="2" customFormat="1" ht="15.75" thickBot="1" x14ac:dyDescent="0.3"/>
    <row r="5" spans="1:29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58"/>
      <c r="Q5" s="162" t="s">
        <v>10</v>
      </c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</row>
    <row r="6" spans="1:29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208</v>
      </c>
      <c r="P6" s="59" t="s">
        <v>8</v>
      </c>
      <c r="Q6" s="164" t="s">
        <v>574</v>
      </c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</row>
    <row r="7" spans="1:29" s="2" customFormat="1" x14ac:dyDescent="0.25">
      <c r="F7" s="6"/>
      <c r="G7" s="6"/>
      <c r="M7" s="15"/>
      <c r="N7" s="16"/>
      <c r="Q7" s="106" t="s">
        <v>584</v>
      </c>
      <c r="R7" s="106" t="s">
        <v>575</v>
      </c>
      <c r="S7" s="106" t="s">
        <v>576</v>
      </c>
      <c r="T7" s="106" t="s">
        <v>577</v>
      </c>
      <c r="U7" s="106" t="s">
        <v>585</v>
      </c>
      <c r="V7" s="106" t="s">
        <v>578</v>
      </c>
      <c r="W7" s="106" t="s">
        <v>579</v>
      </c>
      <c r="X7" s="106" t="s">
        <v>587</v>
      </c>
      <c r="Y7" s="106" t="s">
        <v>580</v>
      </c>
      <c r="Z7" s="106" t="s">
        <v>581</v>
      </c>
      <c r="AA7" s="106" t="s">
        <v>586</v>
      </c>
      <c r="AB7" s="106" t="s">
        <v>582</v>
      </c>
      <c r="AC7" s="106" t="s">
        <v>583</v>
      </c>
    </row>
    <row r="8" spans="1:29" ht="15.75" x14ac:dyDescent="0.25">
      <c r="A8" s="50">
        <v>41274</v>
      </c>
      <c r="B8" s="56" t="str">
        <f>$M$1</f>
        <v>QtrStart</v>
      </c>
      <c r="C8" s="56"/>
      <c r="F8" s="1">
        <v>41274</v>
      </c>
      <c r="G8" s="1">
        <v>41301</v>
      </c>
      <c r="H8" t="s">
        <v>67</v>
      </c>
      <c r="I8" t="s">
        <v>17</v>
      </c>
      <c r="J8" t="s">
        <v>17</v>
      </c>
      <c r="L8" t="s">
        <v>69</v>
      </c>
      <c r="M8" s="17" t="str">
        <f>B8</f>
        <v>QtrStart</v>
      </c>
      <c r="N8" s="18" t="str">
        <f>IF(MATCH(O8,Q8:AC8,0), "P", "F")</f>
        <v>P</v>
      </c>
      <c r="O8" s="3" t="str">
        <f>MID(L8,1,11)</f>
        <v>Dec 31 2012</v>
      </c>
      <c r="Q8" s="97" t="s">
        <v>275</v>
      </c>
      <c r="R8" s="103" t="s">
        <v>276</v>
      </c>
      <c r="S8" s="104" t="s">
        <v>277</v>
      </c>
      <c r="T8" s="105" t="s">
        <v>278</v>
      </c>
      <c r="U8" s="97" t="s">
        <v>279</v>
      </c>
      <c r="V8" s="97" t="s">
        <v>280</v>
      </c>
      <c r="W8" s="97" t="s">
        <v>281</v>
      </c>
      <c r="X8" s="97" t="s">
        <v>282</v>
      </c>
      <c r="Y8" s="97" t="s">
        <v>283</v>
      </c>
      <c r="Z8" s="97" t="s">
        <v>284</v>
      </c>
      <c r="AA8" s="97" t="s">
        <v>285</v>
      </c>
      <c r="AB8" s="97" t="s">
        <v>286</v>
      </c>
      <c r="AC8" s="97" t="s">
        <v>287</v>
      </c>
    </row>
    <row r="9" spans="1:29" ht="15.75" x14ac:dyDescent="0.25">
      <c r="A9" s="50">
        <v>41638</v>
      </c>
      <c r="B9" s="56" t="str">
        <f t="shared" ref="B9:B72" si="0">$M$1</f>
        <v>QtrStart</v>
      </c>
      <c r="C9" s="56"/>
      <c r="F9" s="1">
        <v>41638</v>
      </c>
      <c r="G9" s="1">
        <v>41665</v>
      </c>
      <c r="H9" t="s">
        <v>92</v>
      </c>
      <c r="I9" t="s">
        <v>17</v>
      </c>
      <c r="J9" t="s">
        <v>17</v>
      </c>
      <c r="L9" t="s">
        <v>214</v>
      </c>
      <c r="M9" s="17" t="str">
        <f t="shared" ref="M9:M72" si="1">B9</f>
        <v>QtrStart</v>
      </c>
      <c r="N9" s="18" t="str">
        <f t="shared" ref="N9:N72" si="2">IF(MATCH(O9,Q9:AC9,0), "P", "F")</f>
        <v>P</v>
      </c>
      <c r="O9" s="3" t="str">
        <f t="shared" ref="O9:O72" si="3">MID(L9,1,11)</f>
        <v>Dec 30 2013</v>
      </c>
      <c r="Q9" s="97" t="s">
        <v>288</v>
      </c>
      <c r="R9" s="103" t="s">
        <v>289</v>
      </c>
      <c r="S9" s="104" t="s">
        <v>290</v>
      </c>
      <c r="T9" s="105" t="s">
        <v>291</v>
      </c>
      <c r="U9" s="97" t="s">
        <v>292</v>
      </c>
      <c r="V9" s="97" t="s">
        <v>293</v>
      </c>
      <c r="W9" s="97" t="s">
        <v>294</v>
      </c>
      <c r="X9" s="97" t="s">
        <v>295</v>
      </c>
      <c r="Y9" s="97" t="s">
        <v>296</v>
      </c>
      <c r="Z9" s="97" t="s">
        <v>297</v>
      </c>
      <c r="AA9" s="97" t="s">
        <v>298</v>
      </c>
      <c r="AB9" s="97" t="s">
        <v>299</v>
      </c>
      <c r="AC9" s="97" t="s">
        <v>300</v>
      </c>
    </row>
    <row r="10" spans="1:29" ht="15.75" x14ac:dyDescent="0.25">
      <c r="A10" s="50">
        <v>42368</v>
      </c>
      <c r="B10" s="56" t="str">
        <f t="shared" si="0"/>
        <v>QtrStart</v>
      </c>
      <c r="C10" s="56"/>
      <c r="F10" s="1">
        <v>42366</v>
      </c>
      <c r="G10" s="1">
        <v>42393</v>
      </c>
      <c r="H10" t="s">
        <v>16</v>
      </c>
      <c r="I10" t="s">
        <v>17</v>
      </c>
      <c r="J10" t="s">
        <v>17</v>
      </c>
      <c r="L10" t="s">
        <v>588</v>
      </c>
      <c r="M10" s="17" t="str">
        <f t="shared" si="1"/>
        <v>QtrStart</v>
      </c>
      <c r="N10" s="18" t="str">
        <f t="shared" si="2"/>
        <v>P</v>
      </c>
      <c r="O10" s="3" t="str">
        <f t="shared" si="3"/>
        <v>Dec 28 2015</v>
      </c>
      <c r="Q10" s="97" t="s">
        <v>301</v>
      </c>
      <c r="R10" s="103" t="s">
        <v>302</v>
      </c>
      <c r="S10" s="104" t="s">
        <v>303</v>
      </c>
      <c r="T10" s="105" t="s">
        <v>304</v>
      </c>
      <c r="U10" s="97" t="s">
        <v>305</v>
      </c>
      <c r="V10" s="97" t="s">
        <v>306</v>
      </c>
      <c r="W10" s="97" t="s">
        <v>307</v>
      </c>
      <c r="X10" s="97" t="s">
        <v>308</v>
      </c>
      <c r="Y10" s="97" t="s">
        <v>309</v>
      </c>
      <c r="Z10" s="97" t="s">
        <v>310</v>
      </c>
      <c r="AA10" s="97" t="s">
        <v>311</v>
      </c>
      <c r="AB10" s="97" t="s">
        <v>312</v>
      </c>
      <c r="AC10" s="97" t="s">
        <v>313</v>
      </c>
    </row>
    <row r="11" spans="1:29" ht="15.75" x14ac:dyDescent="0.25">
      <c r="A11" s="50">
        <v>42369</v>
      </c>
      <c r="B11" s="56" t="str">
        <f t="shared" si="0"/>
        <v>QtrStart</v>
      </c>
      <c r="C11" s="56"/>
      <c r="F11" s="1">
        <v>42366</v>
      </c>
      <c r="G11" s="1">
        <v>42393</v>
      </c>
      <c r="H11" t="s">
        <v>16</v>
      </c>
      <c r="I11" t="s">
        <v>17</v>
      </c>
      <c r="J11" t="s">
        <v>17</v>
      </c>
      <c r="L11" t="s">
        <v>588</v>
      </c>
      <c r="M11" s="17" t="str">
        <f t="shared" si="1"/>
        <v>QtrStart</v>
      </c>
      <c r="N11" s="18" t="str">
        <f t="shared" si="2"/>
        <v>P</v>
      </c>
      <c r="O11" s="3" t="str">
        <f t="shared" si="3"/>
        <v>Dec 28 2015</v>
      </c>
      <c r="Q11" s="97" t="s">
        <v>301</v>
      </c>
      <c r="R11" s="103" t="s">
        <v>302</v>
      </c>
      <c r="S11" s="104" t="s">
        <v>303</v>
      </c>
      <c r="T11" s="105" t="s">
        <v>304</v>
      </c>
      <c r="U11" s="97" t="s">
        <v>305</v>
      </c>
      <c r="V11" s="97" t="s">
        <v>306</v>
      </c>
      <c r="W11" s="97" t="s">
        <v>307</v>
      </c>
      <c r="X11" s="97" t="s">
        <v>308</v>
      </c>
      <c r="Y11" s="97" t="s">
        <v>309</v>
      </c>
      <c r="Z11" s="97" t="s">
        <v>310</v>
      </c>
      <c r="AA11" s="97" t="s">
        <v>311</v>
      </c>
      <c r="AB11" s="97" t="s">
        <v>312</v>
      </c>
      <c r="AC11" s="97" t="s">
        <v>313</v>
      </c>
    </row>
    <row r="12" spans="1:29" ht="15.75" x14ac:dyDescent="0.25">
      <c r="A12" s="30">
        <v>42491</v>
      </c>
      <c r="B12" s="56" t="str">
        <f t="shared" si="0"/>
        <v>QtrStart</v>
      </c>
      <c r="C12" s="56"/>
      <c r="F12" s="1">
        <v>42478</v>
      </c>
      <c r="G12" s="1">
        <v>42505</v>
      </c>
      <c r="H12" t="s">
        <v>16</v>
      </c>
      <c r="I12" t="s">
        <v>142</v>
      </c>
      <c r="J12" t="s">
        <v>143</v>
      </c>
      <c r="L12" t="s">
        <v>589</v>
      </c>
      <c r="M12" s="17" t="str">
        <f t="shared" si="1"/>
        <v>QtrStart</v>
      </c>
      <c r="N12" s="18" t="str">
        <f t="shared" si="2"/>
        <v>P</v>
      </c>
      <c r="O12" s="3" t="str">
        <f t="shared" si="3"/>
        <v>Apr 18 2016</v>
      </c>
      <c r="Q12" s="107" t="s">
        <v>301</v>
      </c>
      <c r="R12" s="98" t="s">
        <v>302</v>
      </c>
      <c r="S12" s="99" t="s">
        <v>303</v>
      </c>
      <c r="T12" s="100" t="s">
        <v>304</v>
      </c>
      <c r="U12" s="107" t="s">
        <v>305</v>
      </c>
      <c r="V12" s="101" t="s">
        <v>306</v>
      </c>
      <c r="W12" s="101" t="s">
        <v>307</v>
      </c>
      <c r="X12" s="107" t="s">
        <v>308</v>
      </c>
      <c r="Y12" s="101" t="s">
        <v>309</v>
      </c>
      <c r="Z12" s="101" t="s">
        <v>310</v>
      </c>
      <c r="AA12" s="107" t="s">
        <v>311</v>
      </c>
      <c r="AB12" s="101" t="s">
        <v>312</v>
      </c>
      <c r="AC12" s="101" t="s">
        <v>313</v>
      </c>
    </row>
    <row r="13" spans="1:29" ht="15.75" x14ac:dyDescent="0.25">
      <c r="A13" s="30">
        <v>42860</v>
      </c>
      <c r="B13" s="56" t="str">
        <f t="shared" si="0"/>
        <v>QtrStart</v>
      </c>
      <c r="C13" s="56"/>
      <c r="F13" s="1">
        <v>42842</v>
      </c>
      <c r="G13" s="1">
        <v>42869</v>
      </c>
      <c r="H13" t="s">
        <v>70</v>
      </c>
      <c r="I13" t="s">
        <v>142</v>
      </c>
      <c r="J13" t="s">
        <v>143</v>
      </c>
      <c r="L13" t="s">
        <v>590</v>
      </c>
      <c r="M13" s="17" t="str">
        <f t="shared" si="1"/>
        <v>QtrStart</v>
      </c>
      <c r="N13" s="18" t="str">
        <f t="shared" si="2"/>
        <v>P</v>
      </c>
      <c r="O13" s="3" t="str">
        <f t="shared" si="3"/>
        <v>Apr 17 2017</v>
      </c>
      <c r="Q13" s="107" t="s">
        <v>314</v>
      </c>
      <c r="R13" s="98" t="s">
        <v>315</v>
      </c>
      <c r="S13" s="99" t="s">
        <v>316</v>
      </c>
      <c r="T13" s="100" t="s">
        <v>317</v>
      </c>
      <c r="U13" s="107" t="s">
        <v>318</v>
      </c>
      <c r="V13" s="101" t="s">
        <v>319</v>
      </c>
      <c r="W13" s="101" t="s">
        <v>320</v>
      </c>
      <c r="X13" s="107" t="s">
        <v>321</v>
      </c>
      <c r="Y13" s="101" t="s">
        <v>322</v>
      </c>
      <c r="Z13" s="101" t="s">
        <v>323</v>
      </c>
      <c r="AA13" s="107" t="s">
        <v>324</v>
      </c>
      <c r="AB13" s="101" t="s">
        <v>325</v>
      </c>
      <c r="AC13" s="101" t="s">
        <v>326</v>
      </c>
    </row>
    <row r="14" spans="1:29" ht="15.75" x14ac:dyDescent="0.25">
      <c r="A14" s="55">
        <v>37953</v>
      </c>
      <c r="B14" s="56" t="str">
        <f t="shared" si="0"/>
        <v>QtrStart</v>
      </c>
      <c r="C14" s="56" t="s">
        <v>108</v>
      </c>
      <c r="F14" s="1">
        <v>37928</v>
      </c>
      <c r="G14" s="1">
        <v>37955</v>
      </c>
      <c r="H14" t="s">
        <v>80</v>
      </c>
      <c r="I14" t="s">
        <v>13</v>
      </c>
      <c r="J14" t="s">
        <v>12</v>
      </c>
      <c r="L14" t="s">
        <v>188</v>
      </c>
      <c r="M14" s="17" t="str">
        <f t="shared" si="1"/>
        <v>QtrStart</v>
      </c>
      <c r="N14" s="18" t="str">
        <f t="shared" si="2"/>
        <v>P</v>
      </c>
      <c r="O14" s="3" t="str">
        <f t="shared" si="3"/>
        <v>Oct  6 2003</v>
      </c>
      <c r="Q14" s="107" t="s">
        <v>353</v>
      </c>
      <c r="R14" s="98" t="s">
        <v>354</v>
      </c>
      <c r="S14" s="99" t="s">
        <v>355</v>
      </c>
      <c r="T14" s="100" t="s">
        <v>356</v>
      </c>
      <c r="U14" s="107" t="s">
        <v>357</v>
      </c>
      <c r="V14" s="101" t="s">
        <v>358</v>
      </c>
      <c r="W14" s="101" t="s">
        <v>359</v>
      </c>
      <c r="X14" s="107" t="s">
        <v>360</v>
      </c>
      <c r="Y14" s="101" t="s">
        <v>361</v>
      </c>
      <c r="Z14" s="101" t="s">
        <v>362</v>
      </c>
      <c r="AA14" s="107" t="s">
        <v>363</v>
      </c>
      <c r="AB14" s="101" t="s">
        <v>364</v>
      </c>
      <c r="AC14" s="101" t="s">
        <v>365</v>
      </c>
    </row>
    <row r="15" spans="1:29" ht="15.75" x14ac:dyDescent="0.25">
      <c r="A15" s="55">
        <v>37954</v>
      </c>
      <c r="B15" s="56" t="str">
        <f t="shared" si="0"/>
        <v>QtrStart</v>
      </c>
      <c r="C15" s="56" t="s">
        <v>108</v>
      </c>
      <c r="F15" s="1">
        <v>37928</v>
      </c>
      <c r="G15" s="1">
        <v>37955</v>
      </c>
      <c r="H15" t="s">
        <v>80</v>
      </c>
      <c r="I15" t="s">
        <v>13</v>
      </c>
      <c r="J15" t="s">
        <v>12</v>
      </c>
      <c r="L15" t="s">
        <v>188</v>
      </c>
      <c r="M15" s="17" t="str">
        <f t="shared" si="1"/>
        <v>QtrStart</v>
      </c>
      <c r="N15" s="18" t="str">
        <f t="shared" si="2"/>
        <v>P</v>
      </c>
      <c r="O15" s="3" t="str">
        <f t="shared" si="3"/>
        <v>Oct  6 2003</v>
      </c>
      <c r="Q15" s="107" t="s">
        <v>353</v>
      </c>
      <c r="R15" s="98" t="s">
        <v>354</v>
      </c>
      <c r="S15" s="99" t="s">
        <v>355</v>
      </c>
      <c r="T15" s="100" t="s">
        <v>356</v>
      </c>
      <c r="U15" s="107" t="s">
        <v>357</v>
      </c>
      <c r="V15" s="101" t="s">
        <v>358</v>
      </c>
      <c r="W15" s="101" t="s">
        <v>359</v>
      </c>
      <c r="X15" s="107" t="s">
        <v>360</v>
      </c>
      <c r="Y15" s="101" t="s">
        <v>361</v>
      </c>
      <c r="Z15" s="101" t="s">
        <v>362</v>
      </c>
      <c r="AA15" s="107" t="s">
        <v>363</v>
      </c>
      <c r="AB15" s="101" t="s">
        <v>364</v>
      </c>
      <c r="AC15" s="101" t="s">
        <v>365</v>
      </c>
    </row>
    <row r="16" spans="1:29" ht="15.75" x14ac:dyDescent="0.25">
      <c r="A16" s="55">
        <v>37955</v>
      </c>
      <c r="B16" s="56" t="str">
        <f t="shared" si="0"/>
        <v>QtrStart</v>
      </c>
      <c r="C16" s="56" t="s">
        <v>108</v>
      </c>
      <c r="F16" s="1">
        <v>37928</v>
      </c>
      <c r="G16" s="1">
        <v>37955</v>
      </c>
      <c r="H16" t="s">
        <v>80</v>
      </c>
      <c r="I16" t="s">
        <v>13</v>
      </c>
      <c r="J16" t="s">
        <v>12</v>
      </c>
      <c r="L16" t="s">
        <v>188</v>
      </c>
      <c r="M16" s="17" t="str">
        <f t="shared" si="1"/>
        <v>QtrStart</v>
      </c>
      <c r="N16" s="18" t="str">
        <f t="shared" si="2"/>
        <v>P</v>
      </c>
      <c r="O16" s="3" t="str">
        <f t="shared" si="3"/>
        <v>Oct  6 2003</v>
      </c>
      <c r="Q16" s="107" t="s">
        <v>353</v>
      </c>
      <c r="R16" s="98" t="s">
        <v>354</v>
      </c>
      <c r="S16" s="99" t="s">
        <v>355</v>
      </c>
      <c r="T16" s="100" t="s">
        <v>356</v>
      </c>
      <c r="U16" s="107" t="s">
        <v>357</v>
      </c>
      <c r="V16" s="101" t="s">
        <v>358</v>
      </c>
      <c r="W16" s="101" t="s">
        <v>359</v>
      </c>
      <c r="X16" s="107" t="s">
        <v>360</v>
      </c>
      <c r="Y16" s="101" t="s">
        <v>361</v>
      </c>
      <c r="Z16" s="101" t="s">
        <v>362</v>
      </c>
      <c r="AA16" s="107" t="s">
        <v>363</v>
      </c>
      <c r="AB16" s="101" t="s">
        <v>364</v>
      </c>
      <c r="AC16" s="101" t="s">
        <v>365</v>
      </c>
    </row>
    <row r="17" spans="1:29" ht="15.75" x14ac:dyDescent="0.25">
      <c r="A17" s="55">
        <v>37956</v>
      </c>
      <c r="B17" s="56" t="str">
        <f t="shared" si="0"/>
        <v>QtrStart</v>
      </c>
      <c r="C17" s="56" t="s">
        <v>108</v>
      </c>
      <c r="F17" s="1">
        <v>37956</v>
      </c>
      <c r="G17" s="1">
        <v>37983</v>
      </c>
      <c r="H17" t="s">
        <v>80</v>
      </c>
      <c r="I17" t="s">
        <v>14</v>
      </c>
      <c r="J17" t="s">
        <v>12</v>
      </c>
      <c r="L17" t="s">
        <v>188</v>
      </c>
      <c r="M17" s="17" t="str">
        <f t="shared" si="1"/>
        <v>QtrStart</v>
      </c>
      <c r="N17" s="18" t="str">
        <f t="shared" si="2"/>
        <v>P</v>
      </c>
      <c r="O17" s="3" t="str">
        <f t="shared" si="3"/>
        <v>Oct  6 2003</v>
      </c>
      <c r="Q17" s="107" t="s">
        <v>353</v>
      </c>
      <c r="R17" s="98" t="s">
        <v>354</v>
      </c>
      <c r="S17" s="99" t="s">
        <v>355</v>
      </c>
      <c r="T17" s="100" t="s">
        <v>356</v>
      </c>
      <c r="U17" s="107" t="s">
        <v>357</v>
      </c>
      <c r="V17" s="101" t="s">
        <v>358</v>
      </c>
      <c r="W17" s="101" t="s">
        <v>359</v>
      </c>
      <c r="X17" s="107" t="s">
        <v>360</v>
      </c>
      <c r="Y17" s="101" t="s">
        <v>361</v>
      </c>
      <c r="Z17" s="101" t="s">
        <v>362</v>
      </c>
      <c r="AA17" s="107" t="s">
        <v>363</v>
      </c>
      <c r="AB17" s="101" t="s">
        <v>364</v>
      </c>
      <c r="AC17" s="101" t="s">
        <v>365</v>
      </c>
    </row>
    <row r="18" spans="1:29" ht="15.75" x14ac:dyDescent="0.25">
      <c r="A18" s="55">
        <v>38320</v>
      </c>
      <c r="B18" s="56" t="str">
        <f t="shared" si="0"/>
        <v>QtrStart</v>
      </c>
      <c r="C18" s="56" t="s">
        <v>108</v>
      </c>
      <c r="F18" s="1">
        <v>38320</v>
      </c>
      <c r="G18" s="1">
        <v>38347</v>
      </c>
      <c r="H18" t="s">
        <v>82</v>
      </c>
      <c r="I18" t="s">
        <v>14</v>
      </c>
      <c r="J18" t="s">
        <v>12</v>
      </c>
      <c r="L18" t="s">
        <v>189</v>
      </c>
      <c r="M18" s="17" t="str">
        <f t="shared" si="1"/>
        <v>QtrStart</v>
      </c>
      <c r="N18" s="18" t="str">
        <f t="shared" si="2"/>
        <v>P</v>
      </c>
      <c r="O18" s="3" t="str">
        <f t="shared" si="3"/>
        <v>Oct  4 2004</v>
      </c>
      <c r="Q18" s="107" t="s">
        <v>548</v>
      </c>
      <c r="R18" s="98" t="s">
        <v>549</v>
      </c>
      <c r="S18" s="99" t="s">
        <v>550</v>
      </c>
      <c r="T18" s="100" t="s">
        <v>551</v>
      </c>
      <c r="U18" s="107" t="s">
        <v>552</v>
      </c>
      <c r="V18" s="101" t="s">
        <v>553</v>
      </c>
      <c r="W18" s="101" t="s">
        <v>554</v>
      </c>
      <c r="X18" s="107" t="s">
        <v>555</v>
      </c>
      <c r="Y18" s="101" t="s">
        <v>556</v>
      </c>
      <c r="Z18" s="101" t="s">
        <v>557</v>
      </c>
      <c r="AA18" s="107" t="s">
        <v>558</v>
      </c>
      <c r="AB18" s="101" t="s">
        <v>559</v>
      </c>
      <c r="AC18" s="101" t="s">
        <v>560</v>
      </c>
    </row>
    <row r="19" spans="1:29" ht="15.75" x14ac:dyDescent="0.25">
      <c r="A19" s="55">
        <v>38684</v>
      </c>
      <c r="B19" s="56" t="str">
        <f t="shared" si="0"/>
        <v>QtrStart</v>
      </c>
      <c r="C19" s="56" t="s">
        <v>108</v>
      </c>
      <c r="F19" s="1">
        <v>38684</v>
      </c>
      <c r="G19" s="1">
        <v>38711</v>
      </c>
      <c r="H19" t="s">
        <v>84</v>
      </c>
      <c r="I19" t="s">
        <v>14</v>
      </c>
      <c r="J19" t="s">
        <v>12</v>
      </c>
      <c r="L19" t="s">
        <v>190</v>
      </c>
      <c r="M19" s="17" t="str">
        <f t="shared" si="1"/>
        <v>QtrStart</v>
      </c>
      <c r="N19" s="18" t="str">
        <f t="shared" si="2"/>
        <v>P</v>
      </c>
      <c r="O19" s="3" t="str">
        <f t="shared" si="3"/>
        <v>Oct  3 2005</v>
      </c>
      <c r="Q19" s="107" t="s">
        <v>366</v>
      </c>
      <c r="R19" s="98" t="s">
        <v>367</v>
      </c>
      <c r="S19" s="99" t="s">
        <v>368</v>
      </c>
      <c r="T19" s="100" t="s">
        <v>369</v>
      </c>
      <c r="U19" s="107" t="s">
        <v>370</v>
      </c>
      <c r="V19" s="101" t="s">
        <v>371</v>
      </c>
      <c r="W19" s="101" t="s">
        <v>372</v>
      </c>
      <c r="X19" s="107" t="s">
        <v>373</v>
      </c>
      <c r="Y19" s="101" t="s">
        <v>374</v>
      </c>
      <c r="Z19" s="101" t="s">
        <v>375</v>
      </c>
      <c r="AA19" s="107" t="s">
        <v>376</v>
      </c>
      <c r="AB19" s="101" t="s">
        <v>377</v>
      </c>
      <c r="AC19" s="101" t="s">
        <v>378</v>
      </c>
    </row>
    <row r="20" spans="1:29" ht="15.75" x14ac:dyDescent="0.25">
      <c r="A20" s="55">
        <v>46356</v>
      </c>
      <c r="B20" s="56" t="str">
        <f t="shared" si="0"/>
        <v>QtrStart</v>
      </c>
      <c r="C20" s="56" t="s">
        <v>108</v>
      </c>
      <c r="F20" s="1">
        <v>46356</v>
      </c>
      <c r="G20" s="1">
        <v>46383</v>
      </c>
      <c r="H20" t="s">
        <v>99</v>
      </c>
      <c r="I20" t="s">
        <v>14</v>
      </c>
      <c r="J20" t="s">
        <v>12</v>
      </c>
      <c r="L20" t="s">
        <v>191</v>
      </c>
      <c r="M20" s="17" t="str">
        <f t="shared" si="1"/>
        <v>QtrStart</v>
      </c>
      <c r="N20" s="18" t="str">
        <f t="shared" si="2"/>
        <v>P</v>
      </c>
      <c r="O20" s="3" t="str">
        <f t="shared" si="3"/>
        <v>Oct  5 2026</v>
      </c>
      <c r="Q20" s="107" t="s">
        <v>535</v>
      </c>
      <c r="R20" s="98" t="s">
        <v>536</v>
      </c>
      <c r="S20" s="99" t="s">
        <v>537</v>
      </c>
      <c r="T20" s="100" t="s">
        <v>538</v>
      </c>
      <c r="U20" s="107" t="s">
        <v>539</v>
      </c>
      <c r="V20" s="101" t="s">
        <v>540</v>
      </c>
      <c r="W20" s="101" t="s">
        <v>541</v>
      </c>
      <c r="X20" s="107" t="s">
        <v>542</v>
      </c>
      <c r="Y20" s="101" t="s">
        <v>543</v>
      </c>
      <c r="Z20" s="101" t="s">
        <v>544</v>
      </c>
      <c r="AA20" s="107" t="s">
        <v>545</v>
      </c>
      <c r="AB20" s="101" t="s">
        <v>546</v>
      </c>
      <c r="AC20" s="101" t="s">
        <v>547</v>
      </c>
    </row>
    <row r="21" spans="1:29" ht="15.75" x14ac:dyDescent="0.25">
      <c r="A21" s="55">
        <v>46720</v>
      </c>
      <c r="B21" s="56" t="str">
        <f t="shared" si="0"/>
        <v>QtrStart</v>
      </c>
      <c r="C21" s="56" t="s">
        <v>108</v>
      </c>
      <c r="F21" s="1">
        <v>46720</v>
      </c>
      <c r="G21" s="1">
        <v>46747</v>
      </c>
      <c r="H21" t="s">
        <v>101</v>
      </c>
      <c r="I21" t="s">
        <v>14</v>
      </c>
      <c r="J21" t="s">
        <v>12</v>
      </c>
      <c r="L21" t="s">
        <v>192</v>
      </c>
      <c r="M21" s="17" t="str">
        <f t="shared" si="1"/>
        <v>QtrStart</v>
      </c>
      <c r="N21" s="18" t="str">
        <f t="shared" si="2"/>
        <v>P</v>
      </c>
      <c r="O21" s="3" t="str">
        <f t="shared" si="3"/>
        <v>Oct  4 2027</v>
      </c>
      <c r="Q21" s="107" t="s">
        <v>610</v>
      </c>
      <c r="R21" s="98" t="s">
        <v>611</v>
      </c>
      <c r="S21" s="99" t="s">
        <v>612</v>
      </c>
      <c r="T21" s="100" t="s">
        <v>613</v>
      </c>
      <c r="U21" s="107" t="s">
        <v>614</v>
      </c>
      <c r="V21" s="101" t="s">
        <v>615</v>
      </c>
      <c r="W21" s="101" t="s">
        <v>616</v>
      </c>
      <c r="X21" s="107" t="s">
        <v>617</v>
      </c>
      <c r="Y21" s="101" t="s">
        <v>618</v>
      </c>
      <c r="Z21" s="101" t="s">
        <v>619</v>
      </c>
      <c r="AA21" s="107" t="s">
        <v>620</v>
      </c>
      <c r="AB21" s="101" t="s">
        <v>621</v>
      </c>
      <c r="AC21" s="101" t="s">
        <v>622</v>
      </c>
    </row>
    <row r="22" spans="1:29" ht="15.75" x14ac:dyDescent="0.25">
      <c r="A22" s="55">
        <v>47084</v>
      </c>
      <c r="B22" s="56" t="str">
        <f t="shared" si="0"/>
        <v>QtrStart</v>
      </c>
      <c r="C22" s="56" t="s">
        <v>108</v>
      </c>
      <c r="F22" s="1">
        <v>47084</v>
      </c>
      <c r="G22" s="1">
        <v>47118</v>
      </c>
      <c r="H22" t="s">
        <v>103</v>
      </c>
      <c r="I22" t="s">
        <v>14</v>
      </c>
      <c r="J22" t="s">
        <v>12</v>
      </c>
      <c r="L22" t="s">
        <v>193</v>
      </c>
      <c r="M22" s="17" t="str">
        <f t="shared" si="1"/>
        <v>QtrStart</v>
      </c>
      <c r="N22" s="18" t="str">
        <f t="shared" si="2"/>
        <v>P</v>
      </c>
      <c r="O22" s="3" t="str">
        <f t="shared" si="3"/>
        <v>Oct  2 2028</v>
      </c>
      <c r="Q22" s="107" t="s">
        <v>623</v>
      </c>
      <c r="R22" s="98" t="s">
        <v>624</v>
      </c>
      <c r="S22" s="102" t="s">
        <v>625</v>
      </c>
      <c r="T22" s="100" t="s">
        <v>626</v>
      </c>
      <c r="U22" s="107" t="s">
        <v>627</v>
      </c>
      <c r="V22" s="101" t="s">
        <v>628</v>
      </c>
      <c r="W22" s="101" t="s">
        <v>629</v>
      </c>
      <c r="X22" s="107" t="s">
        <v>630</v>
      </c>
      <c r="Y22" s="101" t="s">
        <v>631</v>
      </c>
      <c r="Z22" s="101" t="s">
        <v>632</v>
      </c>
      <c r="AA22" s="107" t="s">
        <v>633</v>
      </c>
      <c r="AB22" s="101" t="s">
        <v>634</v>
      </c>
      <c r="AC22" s="101" t="s">
        <v>635</v>
      </c>
    </row>
    <row r="23" spans="1:29" ht="15.75" x14ac:dyDescent="0.25">
      <c r="A23" s="55">
        <v>47455</v>
      </c>
      <c r="B23" s="56" t="str">
        <f t="shared" si="0"/>
        <v>QtrStart</v>
      </c>
      <c r="C23" s="56" t="s">
        <v>108</v>
      </c>
      <c r="F23" s="1">
        <v>47455</v>
      </c>
      <c r="G23" s="1">
        <v>47482</v>
      </c>
      <c r="H23" t="s">
        <v>105</v>
      </c>
      <c r="I23" t="s">
        <v>14</v>
      </c>
      <c r="J23" t="s">
        <v>12</v>
      </c>
      <c r="L23" t="s">
        <v>194</v>
      </c>
      <c r="M23" s="17" t="str">
        <f t="shared" si="1"/>
        <v>QtrStart</v>
      </c>
      <c r="N23" s="18" t="str">
        <f t="shared" si="2"/>
        <v>P</v>
      </c>
      <c r="O23" s="3" t="str">
        <f t="shared" si="3"/>
        <v>Oct  8 2029</v>
      </c>
      <c r="Q23" s="107" t="s">
        <v>483</v>
      </c>
      <c r="R23" s="98" t="s">
        <v>484</v>
      </c>
      <c r="S23" s="102" t="s">
        <v>485</v>
      </c>
      <c r="T23" s="100" t="s">
        <v>486</v>
      </c>
      <c r="U23" s="107" t="s">
        <v>487</v>
      </c>
      <c r="V23" s="101" t="s">
        <v>488</v>
      </c>
      <c r="W23" s="101" t="s">
        <v>489</v>
      </c>
      <c r="X23" s="107" t="s">
        <v>490</v>
      </c>
      <c r="Y23" s="101" t="s">
        <v>491</v>
      </c>
      <c r="Z23" s="101" t="s">
        <v>492</v>
      </c>
      <c r="AA23" s="107" t="s">
        <v>493</v>
      </c>
      <c r="AB23" s="101" t="s">
        <v>494</v>
      </c>
      <c r="AC23" s="101" t="s">
        <v>495</v>
      </c>
    </row>
    <row r="24" spans="1:29" ht="15.75" x14ac:dyDescent="0.25">
      <c r="A24" s="55">
        <v>47819</v>
      </c>
      <c r="B24" s="56" t="str">
        <f t="shared" si="0"/>
        <v>QtrStart</v>
      </c>
      <c r="C24" s="56" t="s">
        <v>108</v>
      </c>
      <c r="F24" s="1">
        <v>47819</v>
      </c>
      <c r="G24" s="1">
        <v>47846</v>
      </c>
      <c r="H24" t="s">
        <v>107</v>
      </c>
      <c r="I24" t="s">
        <v>14</v>
      </c>
      <c r="J24" t="s">
        <v>12</v>
      </c>
      <c r="L24" t="s">
        <v>195</v>
      </c>
      <c r="M24" s="17" t="str">
        <f t="shared" si="1"/>
        <v>QtrStart</v>
      </c>
      <c r="N24" s="18" t="str">
        <f t="shared" si="2"/>
        <v>P</v>
      </c>
      <c r="O24" s="3" t="str">
        <f t="shared" si="3"/>
        <v>Oct  7 2030</v>
      </c>
      <c r="Q24" s="107" t="s">
        <v>636</v>
      </c>
      <c r="R24" s="98" t="s">
        <v>637</v>
      </c>
      <c r="S24" s="102" t="s">
        <v>638</v>
      </c>
      <c r="T24" s="100" t="s">
        <v>639</v>
      </c>
      <c r="U24" s="107" t="s">
        <v>640</v>
      </c>
      <c r="V24" s="101" t="s">
        <v>641</v>
      </c>
      <c r="W24" s="101" t="s">
        <v>642</v>
      </c>
      <c r="X24" s="107" t="s">
        <v>643</v>
      </c>
      <c r="Y24" s="101" t="s">
        <v>644</v>
      </c>
      <c r="Z24" s="101" t="s">
        <v>645</v>
      </c>
      <c r="AA24" s="107" t="s">
        <v>646</v>
      </c>
      <c r="AB24" s="101" t="s">
        <v>647</v>
      </c>
      <c r="AC24" s="101" t="s">
        <v>648</v>
      </c>
    </row>
    <row r="25" spans="1:29" ht="15.75" x14ac:dyDescent="0.25">
      <c r="A25" s="55">
        <v>37255</v>
      </c>
      <c r="B25" s="56" t="str">
        <f t="shared" si="0"/>
        <v>QtrStart</v>
      </c>
      <c r="C25" s="56" t="s">
        <v>109</v>
      </c>
      <c r="F25" s="1">
        <v>37228</v>
      </c>
      <c r="G25" s="1">
        <v>37255</v>
      </c>
      <c r="H25" t="s">
        <v>77</v>
      </c>
      <c r="I25" t="s">
        <v>14</v>
      </c>
      <c r="J25" t="s">
        <v>12</v>
      </c>
      <c r="L25" t="s">
        <v>196</v>
      </c>
      <c r="M25" s="17" t="str">
        <f t="shared" si="1"/>
        <v>QtrStart</v>
      </c>
      <c r="N25" s="18" t="str">
        <f t="shared" si="2"/>
        <v>P</v>
      </c>
      <c r="O25" s="3" t="str">
        <f t="shared" si="3"/>
        <v>Oct  8 2001</v>
      </c>
      <c r="Q25" s="107" t="s">
        <v>496</v>
      </c>
      <c r="R25" s="98" t="s">
        <v>497</v>
      </c>
      <c r="S25" s="102" t="s">
        <v>498</v>
      </c>
      <c r="T25" s="100" t="s">
        <v>499</v>
      </c>
      <c r="U25" s="107" t="s">
        <v>500</v>
      </c>
      <c r="V25" s="101" t="s">
        <v>501</v>
      </c>
      <c r="W25" s="101" t="s">
        <v>502</v>
      </c>
      <c r="X25" s="107" t="s">
        <v>503</v>
      </c>
      <c r="Y25" s="101" t="s">
        <v>504</v>
      </c>
      <c r="Z25" s="101" t="s">
        <v>505</v>
      </c>
      <c r="AA25" s="107" t="s">
        <v>506</v>
      </c>
      <c r="AB25" s="101" t="s">
        <v>507</v>
      </c>
      <c r="AC25" s="101" t="s">
        <v>508</v>
      </c>
    </row>
    <row r="26" spans="1:29" ht="15.75" x14ac:dyDescent="0.25">
      <c r="A26" s="55">
        <v>37619</v>
      </c>
      <c r="B26" s="56" t="str">
        <f t="shared" si="0"/>
        <v>QtrStart</v>
      </c>
      <c r="C26" s="56" t="s">
        <v>109</v>
      </c>
      <c r="F26" s="1">
        <v>37592</v>
      </c>
      <c r="G26" s="1">
        <v>37619</v>
      </c>
      <c r="H26" t="s">
        <v>78</v>
      </c>
      <c r="I26" t="s">
        <v>14</v>
      </c>
      <c r="J26" t="s">
        <v>12</v>
      </c>
      <c r="L26" t="s">
        <v>197</v>
      </c>
      <c r="M26" s="17" t="str">
        <f t="shared" si="1"/>
        <v>QtrStart</v>
      </c>
      <c r="N26" s="18" t="str">
        <f t="shared" si="2"/>
        <v>P</v>
      </c>
      <c r="O26" s="3" t="str">
        <f t="shared" si="3"/>
        <v>Oct  7 2002</v>
      </c>
      <c r="Q26" s="107" t="s">
        <v>444</v>
      </c>
      <c r="R26" s="98" t="s">
        <v>445</v>
      </c>
      <c r="S26" s="102" t="s">
        <v>446</v>
      </c>
      <c r="T26" s="100" t="s">
        <v>447</v>
      </c>
      <c r="U26" s="107" t="s">
        <v>448</v>
      </c>
      <c r="V26" s="101" t="s">
        <v>449</v>
      </c>
      <c r="W26" s="101" t="s">
        <v>450</v>
      </c>
      <c r="X26" s="107" t="s">
        <v>451</v>
      </c>
      <c r="Y26" s="101" t="s">
        <v>452</v>
      </c>
      <c r="Z26" s="101" t="s">
        <v>453</v>
      </c>
      <c r="AA26" s="107" t="s">
        <v>454</v>
      </c>
      <c r="AB26" s="101" t="s">
        <v>455</v>
      </c>
      <c r="AC26" s="101" t="s">
        <v>456</v>
      </c>
    </row>
    <row r="27" spans="1:29" ht="15.75" x14ac:dyDescent="0.25">
      <c r="A27" s="55">
        <v>37983</v>
      </c>
      <c r="B27" s="56" t="str">
        <f t="shared" si="0"/>
        <v>QtrStart</v>
      </c>
      <c r="C27" s="56" t="s">
        <v>109</v>
      </c>
      <c r="F27" s="1">
        <v>37956</v>
      </c>
      <c r="G27" s="1">
        <v>37983</v>
      </c>
      <c r="H27" t="s">
        <v>80</v>
      </c>
      <c r="I27" t="s">
        <v>14</v>
      </c>
      <c r="J27" t="s">
        <v>12</v>
      </c>
      <c r="L27" t="s">
        <v>188</v>
      </c>
      <c r="M27" s="17" t="str">
        <f t="shared" si="1"/>
        <v>QtrStart</v>
      </c>
      <c r="N27" s="18" t="str">
        <f t="shared" si="2"/>
        <v>P</v>
      </c>
      <c r="O27" s="3" t="str">
        <f t="shared" si="3"/>
        <v>Oct  6 2003</v>
      </c>
      <c r="Q27" s="107" t="s">
        <v>353</v>
      </c>
      <c r="R27" s="98" t="s">
        <v>354</v>
      </c>
      <c r="S27" s="102" t="s">
        <v>355</v>
      </c>
      <c r="T27" s="100" t="s">
        <v>356</v>
      </c>
      <c r="U27" s="107" t="s">
        <v>357</v>
      </c>
      <c r="V27" s="101" t="s">
        <v>358</v>
      </c>
      <c r="W27" s="101" t="s">
        <v>359</v>
      </c>
      <c r="X27" s="107" t="s">
        <v>360</v>
      </c>
      <c r="Y27" s="101" t="s">
        <v>361</v>
      </c>
      <c r="Z27" s="101" t="s">
        <v>362</v>
      </c>
      <c r="AA27" s="107" t="s">
        <v>363</v>
      </c>
      <c r="AB27" s="101" t="s">
        <v>364</v>
      </c>
      <c r="AC27" s="101" t="s">
        <v>365</v>
      </c>
    </row>
    <row r="28" spans="1:29" ht="15.75" x14ac:dyDescent="0.25">
      <c r="A28" s="55">
        <v>38347</v>
      </c>
      <c r="B28" s="56" t="str">
        <f t="shared" si="0"/>
        <v>QtrStart</v>
      </c>
      <c r="C28" s="56" t="s">
        <v>109</v>
      </c>
      <c r="F28" s="1">
        <v>38320</v>
      </c>
      <c r="G28" s="1">
        <v>38347</v>
      </c>
      <c r="H28" t="s">
        <v>82</v>
      </c>
      <c r="I28" t="s">
        <v>14</v>
      </c>
      <c r="J28" t="s">
        <v>12</v>
      </c>
      <c r="L28" t="s">
        <v>189</v>
      </c>
      <c r="M28" s="17" t="str">
        <f t="shared" si="1"/>
        <v>QtrStart</v>
      </c>
      <c r="N28" s="18" t="str">
        <f t="shared" si="2"/>
        <v>P</v>
      </c>
      <c r="O28" s="3" t="str">
        <f t="shared" si="3"/>
        <v>Oct  4 2004</v>
      </c>
      <c r="Q28" s="107" t="s">
        <v>548</v>
      </c>
      <c r="R28" s="98" t="s">
        <v>549</v>
      </c>
      <c r="S28" s="102" t="s">
        <v>550</v>
      </c>
      <c r="T28" s="100" t="s">
        <v>551</v>
      </c>
      <c r="U28" s="107" t="s">
        <v>552</v>
      </c>
      <c r="V28" s="101" t="s">
        <v>553</v>
      </c>
      <c r="W28" s="101" t="s">
        <v>554</v>
      </c>
      <c r="X28" s="107" t="s">
        <v>555</v>
      </c>
      <c r="Y28" s="101" t="s">
        <v>556</v>
      </c>
      <c r="Z28" s="101" t="s">
        <v>557</v>
      </c>
      <c r="AA28" s="107" t="s">
        <v>558</v>
      </c>
      <c r="AB28" s="101" t="s">
        <v>559</v>
      </c>
      <c r="AC28" s="101" t="s">
        <v>560</v>
      </c>
    </row>
    <row r="29" spans="1:29" ht="15.75" x14ac:dyDescent="0.25">
      <c r="A29" s="55">
        <v>38711</v>
      </c>
      <c r="B29" s="56" t="str">
        <f t="shared" si="0"/>
        <v>QtrStart</v>
      </c>
      <c r="C29" s="56" t="s">
        <v>109</v>
      </c>
      <c r="F29" s="1">
        <v>38684</v>
      </c>
      <c r="G29" s="1">
        <v>38711</v>
      </c>
      <c r="H29" t="s">
        <v>84</v>
      </c>
      <c r="I29" t="s">
        <v>14</v>
      </c>
      <c r="J29" t="s">
        <v>12</v>
      </c>
      <c r="L29" t="s">
        <v>190</v>
      </c>
      <c r="M29" s="17" t="str">
        <f t="shared" si="1"/>
        <v>QtrStart</v>
      </c>
      <c r="N29" s="18" t="str">
        <f t="shared" si="2"/>
        <v>P</v>
      </c>
      <c r="O29" s="3" t="str">
        <f t="shared" si="3"/>
        <v>Oct  3 2005</v>
      </c>
      <c r="Q29" s="107" t="s">
        <v>366</v>
      </c>
      <c r="R29" s="98" t="s">
        <v>367</v>
      </c>
      <c r="S29" s="102" t="s">
        <v>368</v>
      </c>
      <c r="T29" s="100" t="s">
        <v>369</v>
      </c>
      <c r="U29" s="107" t="s">
        <v>370</v>
      </c>
      <c r="V29" s="101" t="s">
        <v>371</v>
      </c>
      <c r="W29" s="101" t="s">
        <v>372</v>
      </c>
      <c r="X29" s="107" t="s">
        <v>373</v>
      </c>
      <c r="Y29" s="101" t="s">
        <v>374</v>
      </c>
      <c r="Z29" s="101" t="s">
        <v>375</v>
      </c>
      <c r="AA29" s="107" t="s">
        <v>376</v>
      </c>
      <c r="AB29" s="101" t="s">
        <v>377</v>
      </c>
      <c r="AC29" s="101" t="s">
        <v>378</v>
      </c>
    </row>
    <row r="30" spans="1:29" ht="15.75" x14ac:dyDescent="0.25">
      <c r="A30" s="55">
        <v>39082</v>
      </c>
      <c r="B30" s="56" t="str">
        <f t="shared" si="0"/>
        <v>QtrStart</v>
      </c>
      <c r="C30" s="56" t="s">
        <v>109</v>
      </c>
      <c r="F30" s="1">
        <v>39048</v>
      </c>
      <c r="G30" s="1">
        <v>39082</v>
      </c>
      <c r="H30" t="s">
        <v>86</v>
      </c>
      <c r="I30" t="s">
        <v>14</v>
      </c>
      <c r="J30" t="s">
        <v>12</v>
      </c>
      <c r="L30" t="s">
        <v>198</v>
      </c>
      <c r="M30" s="17" t="str">
        <f t="shared" si="1"/>
        <v>QtrStart</v>
      </c>
      <c r="N30" s="18" t="str">
        <f t="shared" si="2"/>
        <v>P</v>
      </c>
      <c r="O30" s="3" t="str">
        <f t="shared" si="3"/>
        <v>Oct  2 2006</v>
      </c>
      <c r="Q30" s="107" t="s">
        <v>649</v>
      </c>
      <c r="R30" s="98" t="s">
        <v>650</v>
      </c>
      <c r="S30" s="102" t="s">
        <v>651</v>
      </c>
      <c r="T30" s="100" t="s">
        <v>652</v>
      </c>
      <c r="U30" s="107" t="s">
        <v>653</v>
      </c>
      <c r="V30" s="101" t="s">
        <v>654</v>
      </c>
      <c r="W30" s="101" t="s">
        <v>655</v>
      </c>
      <c r="X30" s="107" t="s">
        <v>656</v>
      </c>
      <c r="Y30" s="101" t="s">
        <v>657</v>
      </c>
      <c r="Z30" s="101" t="s">
        <v>658</v>
      </c>
      <c r="AA30" s="107" t="s">
        <v>659</v>
      </c>
      <c r="AB30" s="101" t="s">
        <v>660</v>
      </c>
      <c r="AC30" s="101" t="s">
        <v>661</v>
      </c>
    </row>
    <row r="31" spans="1:29" ht="15.75" x14ac:dyDescent="0.25">
      <c r="A31" s="55">
        <v>39446</v>
      </c>
      <c r="B31" s="56" t="str">
        <f t="shared" si="0"/>
        <v>QtrStart</v>
      </c>
      <c r="C31" s="56" t="s">
        <v>109</v>
      </c>
      <c r="F31" s="1">
        <v>39419</v>
      </c>
      <c r="G31" s="1">
        <v>39446</v>
      </c>
      <c r="H31" t="s">
        <v>87</v>
      </c>
      <c r="I31" t="s">
        <v>14</v>
      </c>
      <c r="J31" t="s">
        <v>12</v>
      </c>
      <c r="L31" t="s">
        <v>199</v>
      </c>
      <c r="M31" s="17" t="str">
        <f t="shared" si="1"/>
        <v>QtrStart</v>
      </c>
      <c r="N31" s="18" t="str">
        <f t="shared" si="2"/>
        <v>P</v>
      </c>
      <c r="O31" s="3" t="str">
        <f t="shared" si="3"/>
        <v>Oct  8 2007</v>
      </c>
      <c r="Q31" s="107" t="s">
        <v>431</v>
      </c>
      <c r="R31" s="98" t="s">
        <v>432</v>
      </c>
      <c r="S31" s="102" t="s">
        <v>433</v>
      </c>
      <c r="T31" s="100" t="s">
        <v>434</v>
      </c>
      <c r="U31" s="107" t="s">
        <v>435</v>
      </c>
      <c r="V31" s="101" t="s">
        <v>436</v>
      </c>
      <c r="W31" s="101" t="s">
        <v>437</v>
      </c>
      <c r="X31" s="107" t="s">
        <v>438</v>
      </c>
      <c r="Y31" s="101" t="s">
        <v>439</v>
      </c>
      <c r="Z31" s="101" t="s">
        <v>440</v>
      </c>
      <c r="AA31" s="107" t="s">
        <v>441</v>
      </c>
      <c r="AB31" s="101" t="s">
        <v>442</v>
      </c>
      <c r="AC31" s="101" t="s">
        <v>443</v>
      </c>
    </row>
    <row r="32" spans="1:29" ht="15.75" x14ac:dyDescent="0.25">
      <c r="A32" s="55">
        <v>39810</v>
      </c>
      <c r="B32" s="56" t="str">
        <f t="shared" si="0"/>
        <v>QtrStart</v>
      </c>
      <c r="C32" s="56" t="s">
        <v>109</v>
      </c>
      <c r="F32" s="1">
        <v>39783</v>
      </c>
      <c r="G32" s="1">
        <v>39810</v>
      </c>
      <c r="H32" t="s">
        <v>88</v>
      </c>
      <c r="I32" t="s">
        <v>14</v>
      </c>
      <c r="J32" t="s">
        <v>12</v>
      </c>
      <c r="L32" t="s">
        <v>200</v>
      </c>
      <c r="M32" s="17" t="str">
        <f t="shared" si="1"/>
        <v>QtrStart</v>
      </c>
      <c r="N32" s="18" t="str">
        <f t="shared" si="2"/>
        <v>P</v>
      </c>
      <c r="O32" s="3" t="str">
        <f t="shared" si="3"/>
        <v>Oct  6 2008</v>
      </c>
      <c r="Q32" s="107" t="s">
        <v>470</v>
      </c>
      <c r="R32" s="98" t="s">
        <v>471</v>
      </c>
      <c r="S32" s="102" t="s">
        <v>472</v>
      </c>
      <c r="T32" s="100" t="s">
        <v>473</v>
      </c>
      <c r="U32" s="107" t="s">
        <v>474</v>
      </c>
      <c r="V32" s="101" t="s">
        <v>475</v>
      </c>
      <c r="W32" s="101" t="s">
        <v>476</v>
      </c>
      <c r="X32" s="107" t="s">
        <v>477</v>
      </c>
      <c r="Y32" s="101" t="s">
        <v>478</v>
      </c>
      <c r="Z32" s="101" t="s">
        <v>479</v>
      </c>
      <c r="AA32" s="107" t="s">
        <v>480</v>
      </c>
      <c r="AB32" s="101" t="s">
        <v>481</v>
      </c>
      <c r="AC32" s="101" t="s">
        <v>482</v>
      </c>
    </row>
    <row r="33" spans="1:29" ht="15.75" x14ac:dyDescent="0.25">
      <c r="A33" s="55">
        <v>39048</v>
      </c>
      <c r="B33" s="56" t="str">
        <f t="shared" si="0"/>
        <v>QtrStart</v>
      </c>
      <c r="C33" s="56" t="s">
        <v>111</v>
      </c>
      <c r="F33" s="1">
        <v>39048</v>
      </c>
      <c r="G33" s="1">
        <v>39082</v>
      </c>
      <c r="H33" t="s">
        <v>86</v>
      </c>
      <c r="I33" t="s">
        <v>14</v>
      </c>
      <c r="J33" t="s">
        <v>12</v>
      </c>
      <c r="L33" t="s">
        <v>198</v>
      </c>
      <c r="M33" s="17" t="str">
        <f t="shared" si="1"/>
        <v>QtrStart</v>
      </c>
      <c r="N33" s="18" t="str">
        <f t="shared" si="2"/>
        <v>P</v>
      </c>
      <c r="O33" s="3" t="str">
        <f t="shared" si="3"/>
        <v>Oct  2 2006</v>
      </c>
      <c r="Q33" s="107" t="s">
        <v>649</v>
      </c>
      <c r="R33" s="98" t="s">
        <v>650</v>
      </c>
      <c r="S33" s="102" t="s">
        <v>651</v>
      </c>
      <c r="T33" s="100" t="s">
        <v>652</v>
      </c>
      <c r="U33" s="107" t="s">
        <v>653</v>
      </c>
      <c r="V33" s="101" t="s">
        <v>654</v>
      </c>
      <c r="W33" s="101" t="s">
        <v>655</v>
      </c>
      <c r="X33" s="107" t="s">
        <v>656</v>
      </c>
      <c r="Y33" s="101" t="s">
        <v>657</v>
      </c>
      <c r="Z33" s="101" t="s">
        <v>658</v>
      </c>
      <c r="AA33" s="107" t="s">
        <v>659</v>
      </c>
      <c r="AB33" s="101" t="s">
        <v>660</v>
      </c>
      <c r="AC33" s="101" t="s">
        <v>661</v>
      </c>
    </row>
    <row r="34" spans="1:29" ht="15.75" x14ac:dyDescent="0.25">
      <c r="A34" s="55">
        <v>43066</v>
      </c>
      <c r="B34" s="56" t="str">
        <f t="shared" si="0"/>
        <v>QtrStart</v>
      </c>
      <c r="C34" s="56" t="s">
        <v>111</v>
      </c>
      <c r="F34" s="1">
        <v>43066</v>
      </c>
      <c r="G34" s="1">
        <v>43100</v>
      </c>
      <c r="H34" t="s">
        <v>70</v>
      </c>
      <c r="I34" t="s">
        <v>14</v>
      </c>
      <c r="J34" t="s">
        <v>12</v>
      </c>
      <c r="L34" t="s">
        <v>204</v>
      </c>
      <c r="M34" s="17" t="str">
        <f t="shared" si="1"/>
        <v>QtrStart</v>
      </c>
      <c r="N34" s="18" t="str">
        <f t="shared" si="2"/>
        <v>P</v>
      </c>
      <c r="O34" s="3" t="str">
        <f t="shared" si="3"/>
        <v>Oct  2 2017</v>
      </c>
      <c r="Q34" s="107" t="s">
        <v>314</v>
      </c>
      <c r="R34" s="98" t="s">
        <v>315</v>
      </c>
      <c r="S34" s="102" t="s">
        <v>316</v>
      </c>
      <c r="T34" s="100" t="s">
        <v>317</v>
      </c>
      <c r="U34" s="107" t="s">
        <v>318</v>
      </c>
      <c r="V34" s="101" t="s">
        <v>319</v>
      </c>
      <c r="W34" s="101" t="s">
        <v>320</v>
      </c>
      <c r="X34" s="107" t="s">
        <v>321</v>
      </c>
      <c r="Y34" s="101" t="s">
        <v>322</v>
      </c>
      <c r="Z34" s="101" t="s">
        <v>323</v>
      </c>
      <c r="AA34" s="107" t="s">
        <v>324</v>
      </c>
      <c r="AB34" s="101" t="s">
        <v>325</v>
      </c>
      <c r="AC34" s="101" t="s">
        <v>326</v>
      </c>
    </row>
    <row r="35" spans="1:29" ht="15.75" x14ac:dyDescent="0.25">
      <c r="A35" s="55">
        <v>47084</v>
      </c>
      <c r="B35" s="56" t="str">
        <f t="shared" si="0"/>
        <v>QtrStart</v>
      </c>
      <c r="C35" s="56" t="s">
        <v>111</v>
      </c>
      <c r="F35" s="1">
        <v>47084</v>
      </c>
      <c r="G35" s="1">
        <v>47118</v>
      </c>
      <c r="H35" t="s">
        <v>103</v>
      </c>
      <c r="I35" t="s">
        <v>14</v>
      </c>
      <c r="J35" t="s">
        <v>12</v>
      </c>
      <c r="L35" t="s">
        <v>193</v>
      </c>
      <c r="M35" s="17" t="str">
        <f t="shared" si="1"/>
        <v>QtrStart</v>
      </c>
      <c r="N35" s="18" t="str">
        <f t="shared" si="2"/>
        <v>P</v>
      </c>
      <c r="O35" s="3" t="str">
        <f t="shared" si="3"/>
        <v>Oct  2 2028</v>
      </c>
      <c r="Q35" s="107" t="s">
        <v>623</v>
      </c>
      <c r="R35" s="98" t="s">
        <v>624</v>
      </c>
      <c r="S35" s="102" t="s">
        <v>625</v>
      </c>
      <c r="T35" s="100" t="s">
        <v>626</v>
      </c>
      <c r="U35" s="107" t="s">
        <v>627</v>
      </c>
      <c r="V35" s="101" t="s">
        <v>628</v>
      </c>
      <c r="W35" s="101" t="s">
        <v>629</v>
      </c>
      <c r="X35" s="107" t="s">
        <v>630</v>
      </c>
      <c r="Y35" s="101" t="s">
        <v>631</v>
      </c>
      <c r="Z35" s="101" t="s">
        <v>632</v>
      </c>
      <c r="AA35" s="107" t="s">
        <v>633</v>
      </c>
      <c r="AB35" s="101" t="s">
        <v>634</v>
      </c>
      <c r="AC35" s="101" t="s">
        <v>635</v>
      </c>
    </row>
    <row r="36" spans="1:29" ht="15.75" x14ac:dyDescent="0.25">
      <c r="A36" s="55">
        <v>39082</v>
      </c>
      <c r="B36" s="56" t="str">
        <f t="shared" si="0"/>
        <v>QtrStart</v>
      </c>
      <c r="C36" s="56" t="s">
        <v>112</v>
      </c>
      <c r="F36" s="1">
        <v>39048</v>
      </c>
      <c r="G36" s="1">
        <v>39082</v>
      </c>
      <c r="H36" t="s">
        <v>86</v>
      </c>
      <c r="I36" t="s">
        <v>14</v>
      </c>
      <c r="J36" t="s">
        <v>12</v>
      </c>
      <c r="L36" t="s">
        <v>198</v>
      </c>
      <c r="M36" s="17" t="str">
        <f t="shared" si="1"/>
        <v>QtrStart</v>
      </c>
      <c r="N36" s="18" t="str">
        <f t="shared" si="2"/>
        <v>P</v>
      </c>
      <c r="O36" s="3" t="str">
        <f t="shared" si="3"/>
        <v>Oct  2 2006</v>
      </c>
      <c r="Q36" s="107" t="s">
        <v>649</v>
      </c>
      <c r="R36" s="98" t="s">
        <v>650</v>
      </c>
      <c r="S36" s="102" t="s">
        <v>651</v>
      </c>
      <c r="T36" s="100" t="s">
        <v>652</v>
      </c>
      <c r="U36" s="107" t="s">
        <v>653</v>
      </c>
      <c r="V36" s="101" t="s">
        <v>654</v>
      </c>
      <c r="W36" s="101" t="s">
        <v>655</v>
      </c>
      <c r="X36" s="107" t="s">
        <v>656</v>
      </c>
      <c r="Y36" s="101" t="s">
        <v>657</v>
      </c>
      <c r="Z36" s="101" t="s">
        <v>658</v>
      </c>
      <c r="AA36" s="107" t="s">
        <v>659</v>
      </c>
      <c r="AB36" s="101" t="s">
        <v>660</v>
      </c>
      <c r="AC36" s="101" t="s">
        <v>661</v>
      </c>
    </row>
    <row r="37" spans="1:29" ht="15.75" x14ac:dyDescent="0.25">
      <c r="A37" s="55">
        <v>43100</v>
      </c>
      <c r="B37" s="56" t="str">
        <f t="shared" si="0"/>
        <v>QtrStart</v>
      </c>
      <c r="C37" s="56" t="s">
        <v>112</v>
      </c>
      <c r="F37" s="1">
        <v>43066</v>
      </c>
      <c r="G37" s="1">
        <v>43100</v>
      </c>
      <c r="H37" t="s">
        <v>70</v>
      </c>
      <c r="I37" t="s">
        <v>14</v>
      </c>
      <c r="J37" t="s">
        <v>12</v>
      </c>
      <c r="L37" t="s">
        <v>204</v>
      </c>
      <c r="M37" s="17" t="str">
        <f t="shared" si="1"/>
        <v>QtrStart</v>
      </c>
      <c r="N37" s="18" t="str">
        <f t="shared" si="2"/>
        <v>P</v>
      </c>
      <c r="O37" s="3" t="str">
        <f t="shared" si="3"/>
        <v>Oct  2 2017</v>
      </c>
      <c r="Q37" s="107" t="s">
        <v>314</v>
      </c>
      <c r="R37" s="98" t="s">
        <v>315</v>
      </c>
      <c r="S37" s="102" t="s">
        <v>316</v>
      </c>
      <c r="T37" s="100" t="s">
        <v>317</v>
      </c>
      <c r="U37" s="107" t="s">
        <v>318</v>
      </c>
      <c r="V37" s="101" t="s">
        <v>319</v>
      </c>
      <c r="W37" s="101" t="s">
        <v>320</v>
      </c>
      <c r="X37" s="107" t="s">
        <v>321</v>
      </c>
      <c r="Y37" s="101" t="s">
        <v>322</v>
      </c>
      <c r="Z37" s="101" t="s">
        <v>323</v>
      </c>
      <c r="AA37" s="107" t="s">
        <v>324</v>
      </c>
      <c r="AB37" s="101" t="s">
        <v>325</v>
      </c>
      <c r="AC37" s="101" t="s">
        <v>326</v>
      </c>
    </row>
    <row r="38" spans="1:29" ht="15.75" x14ac:dyDescent="0.25">
      <c r="A38" s="55">
        <v>47118</v>
      </c>
      <c r="B38" s="56" t="str">
        <f t="shared" si="0"/>
        <v>QtrStart</v>
      </c>
      <c r="C38" s="56" t="s">
        <v>112</v>
      </c>
      <c r="F38" s="1">
        <v>47084</v>
      </c>
      <c r="G38" s="1">
        <v>47118</v>
      </c>
      <c r="H38" t="s">
        <v>103</v>
      </c>
      <c r="I38" t="s">
        <v>14</v>
      </c>
      <c r="J38" t="s">
        <v>12</v>
      </c>
      <c r="L38" t="s">
        <v>193</v>
      </c>
      <c r="M38" s="17" t="str">
        <f t="shared" si="1"/>
        <v>QtrStart</v>
      </c>
      <c r="N38" s="18" t="str">
        <f t="shared" si="2"/>
        <v>P</v>
      </c>
      <c r="O38" s="3" t="str">
        <f t="shared" si="3"/>
        <v>Oct  2 2028</v>
      </c>
      <c r="Q38" s="107" t="s">
        <v>623</v>
      </c>
      <c r="R38" s="98" t="s">
        <v>624</v>
      </c>
      <c r="S38" s="102" t="s">
        <v>625</v>
      </c>
      <c r="T38" s="100" t="s">
        <v>626</v>
      </c>
      <c r="U38" s="107" t="s">
        <v>627</v>
      </c>
      <c r="V38" s="101" t="s">
        <v>628</v>
      </c>
      <c r="W38" s="101" t="s">
        <v>629</v>
      </c>
      <c r="X38" s="107" t="s">
        <v>630</v>
      </c>
      <c r="Y38" s="101" t="s">
        <v>631</v>
      </c>
      <c r="Z38" s="101" t="s">
        <v>632</v>
      </c>
      <c r="AA38" s="107" t="s">
        <v>633</v>
      </c>
      <c r="AB38" s="101" t="s">
        <v>634</v>
      </c>
      <c r="AC38" s="101" t="s">
        <v>635</v>
      </c>
    </row>
    <row r="39" spans="1:29" ht="15.75" x14ac:dyDescent="0.25">
      <c r="A39" s="55">
        <v>39048</v>
      </c>
      <c r="B39" s="56" t="str">
        <f t="shared" si="0"/>
        <v>QtrStart</v>
      </c>
      <c r="C39" s="56" t="s">
        <v>111</v>
      </c>
      <c r="F39" s="1">
        <v>39048</v>
      </c>
      <c r="G39" s="1">
        <v>39082</v>
      </c>
      <c r="H39" t="s">
        <v>86</v>
      </c>
      <c r="I39" t="s">
        <v>14</v>
      </c>
      <c r="J39" t="s">
        <v>12</v>
      </c>
      <c r="L39" t="s">
        <v>198</v>
      </c>
      <c r="M39" s="17" t="str">
        <f t="shared" si="1"/>
        <v>QtrStart</v>
      </c>
      <c r="N39" s="18" t="str">
        <f t="shared" si="2"/>
        <v>P</v>
      </c>
      <c r="O39" s="3" t="str">
        <f t="shared" si="3"/>
        <v>Oct  2 2006</v>
      </c>
      <c r="Q39" s="107" t="s">
        <v>649</v>
      </c>
      <c r="R39" s="98" t="s">
        <v>650</v>
      </c>
      <c r="S39" s="102" t="s">
        <v>651</v>
      </c>
      <c r="T39" s="100" t="s">
        <v>652</v>
      </c>
      <c r="U39" s="107" t="s">
        <v>653</v>
      </c>
      <c r="V39" s="101" t="s">
        <v>654</v>
      </c>
      <c r="W39" s="101" t="s">
        <v>655</v>
      </c>
      <c r="X39" s="107" t="s">
        <v>656</v>
      </c>
      <c r="Y39" s="101" t="s">
        <v>657</v>
      </c>
      <c r="Z39" s="101" t="s">
        <v>658</v>
      </c>
      <c r="AA39" s="107" t="s">
        <v>659</v>
      </c>
      <c r="AB39" s="101" t="s">
        <v>660</v>
      </c>
      <c r="AC39" s="101" t="s">
        <v>661</v>
      </c>
    </row>
    <row r="40" spans="1:29" ht="15.75" x14ac:dyDescent="0.25">
      <c r="A40" s="55">
        <v>43066</v>
      </c>
      <c r="B40" s="56" t="str">
        <f t="shared" si="0"/>
        <v>QtrStart</v>
      </c>
      <c r="C40" s="56" t="s">
        <v>111</v>
      </c>
      <c r="F40" s="1">
        <v>43066</v>
      </c>
      <c r="G40" s="1">
        <v>43100</v>
      </c>
      <c r="H40" t="s">
        <v>70</v>
      </c>
      <c r="I40" t="s">
        <v>14</v>
      </c>
      <c r="J40" t="s">
        <v>12</v>
      </c>
      <c r="L40" t="s">
        <v>204</v>
      </c>
      <c r="M40" s="17" t="str">
        <f t="shared" si="1"/>
        <v>QtrStart</v>
      </c>
      <c r="N40" s="18" t="str">
        <f t="shared" si="2"/>
        <v>P</v>
      </c>
      <c r="O40" s="3" t="str">
        <f t="shared" si="3"/>
        <v>Oct  2 2017</v>
      </c>
      <c r="Q40" s="107" t="s">
        <v>314</v>
      </c>
      <c r="R40" s="98" t="s">
        <v>315</v>
      </c>
      <c r="S40" s="102" t="s">
        <v>316</v>
      </c>
      <c r="T40" s="100" t="s">
        <v>317</v>
      </c>
      <c r="U40" s="107" t="s">
        <v>318</v>
      </c>
      <c r="V40" s="101" t="s">
        <v>319</v>
      </c>
      <c r="W40" s="101" t="s">
        <v>320</v>
      </c>
      <c r="X40" s="107" t="s">
        <v>321</v>
      </c>
      <c r="Y40" s="101" t="s">
        <v>322</v>
      </c>
      <c r="Z40" s="101" t="s">
        <v>323</v>
      </c>
      <c r="AA40" s="107" t="s">
        <v>324</v>
      </c>
      <c r="AB40" s="101" t="s">
        <v>325</v>
      </c>
      <c r="AC40" s="101" t="s">
        <v>326</v>
      </c>
    </row>
    <row r="41" spans="1:29" ht="15.75" x14ac:dyDescent="0.25">
      <c r="A41" s="55">
        <v>47084</v>
      </c>
      <c r="B41" s="56" t="str">
        <f t="shared" si="0"/>
        <v>QtrStart</v>
      </c>
      <c r="C41" s="56" t="s">
        <v>111</v>
      </c>
      <c r="F41" s="1">
        <v>47084</v>
      </c>
      <c r="G41" s="1">
        <v>47118</v>
      </c>
      <c r="H41" t="s">
        <v>103</v>
      </c>
      <c r="I41" t="s">
        <v>14</v>
      </c>
      <c r="J41" t="s">
        <v>12</v>
      </c>
      <c r="L41" t="s">
        <v>193</v>
      </c>
      <c r="M41" s="17" t="str">
        <f t="shared" si="1"/>
        <v>QtrStart</v>
      </c>
      <c r="N41" s="18" t="str">
        <f t="shared" si="2"/>
        <v>P</v>
      </c>
      <c r="O41" s="3" t="str">
        <f t="shared" si="3"/>
        <v>Oct  2 2028</v>
      </c>
      <c r="Q41" s="107" t="s">
        <v>623</v>
      </c>
      <c r="R41" s="98" t="s">
        <v>624</v>
      </c>
      <c r="S41" s="102" t="s">
        <v>625</v>
      </c>
      <c r="T41" s="100" t="s">
        <v>626</v>
      </c>
      <c r="U41" s="107" t="s">
        <v>627</v>
      </c>
      <c r="V41" s="101" t="s">
        <v>628</v>
      </c>
      <c r="W41" s="101" t="s">
        <v>629</v>
      </c>
      <c r="X41" s="107" t="s">
        <v>630</v>
      </c>
      <c r="Y41" s="101" t="s">
        <v>631</v>
      </c>
      <c r="Z41" s="101" t="s">
        <v>632</v>
      </c>
      <c r="AA41" s="107" t="s">
        <v>633</v>
      </c>
      <c r="AB41" s="101" t="s">
        <v>634</v>
      </c>
      <c r="AC41" s="101" t="s">
        <v>635</v>
      </c>
    </row>
    <row r="42" spans="1:29" ht="15.75" x14ac:dyDescent="0.25">
      <c r="A42" s="55">
        <v>39082</v>
      </c>
      <c r="B42" s="56" t="str">
        <f t="shared" si="0"/>
        <v>QtrStart</v>
      </c>
      <c r="C42" s="56" t="s">
        <v>112</v>
      </c>
      <c r="E42" s="2" t="s">
        <v>71</v>
      </c>
      <c r="F42" s="1">
        <v>39048</v>
      </c>
      <c r="G42" s="1">
        <v>39082</v>
      </c>
      <c r="H42" t="s">
        <v>86</v>
      </c>
      <c r="I42" t="s">
        <v>14</v>
      </c>
      <c r="J42" t="s">
        <v>12</v>
      </c>
      <c r="L42" t="s">
        <v>198</v>
      </c>
      <c r="M42" s="17" t="str">
        <f t="shared" si="1"/>
        <v>QtrStart</v>
      </c>
      <c r="N42" s="18" t="str">
        <f t="shared" si="2"/>
        <v>P</v>
      </c>
      <c r="O42" s="3" t="str">
        <f t="shared" si="3"/>
        <v>Oct  2 2006</v>
      </c>
      <c r="Q42" s="107" t="s">
        <v>649</v>
      </c>
      <c r="R42" s="98" t="s">
        <v>650</v>
      </c>
      <c r="S42" s="102" t="s">
        <v>651</v>
      </c>
      <c r="T42" s="100" t="s">
        <v>652</v>
      </c>
      <c r="U42" s="107" t="s">
        <v>653</v>
      </c>
      <c r="V42" s="101" t="s">
        <v>654</v>
      </c>
      <c r="W42" s="101" t="s">
        <v>655</v>
      </c>
      <c r="X42" s="107" t="s">
        <v>656</v>
      </c>
      <c r="Y42" s="101" t="s">
        <v>657</v>
      </c>
      <c r="Z42" s="101" t="s">
        <v>658</v>
      </c>
      <c r="AA42" s="107" t="s">
        <v>659</v>
      </c>
      <c r="AB42" s="101" t="s">
        <v>660</v>
      </c>
      <c r="AC42" s="101" t="s">
        <v>661</v>
      </c>
    </row>
    <row r="43" spans="1:29" ht="15.75" x14ac:dyDescent="0.25">
      <c r="A43" s="55">
        <v>43100</v>
      </c>
      <c r="B43" s="56" t="str">
        <f t="shared" si="0"/>
        <v>QtrStart</v>
      </c>
      <c r="C43" s="56" t="s">
        <v>112</v>
      </c>
      <c r="F43" s="1">
        <v>43066</v>
      </c>
      <c r="G43" s="1">
        <v>43100</v>
      </c>
      <c r="H43" t="s">
        <v>70</v>
      </c>
      <c r="I43" t="s">
        <v>14</v>
      </c>
      <c r="J43" t="s">
        <v>12</v>
      </c>
      <c r="L43" t="s">
        <v>204</v>
      </c>
      <c r="M43" s="17" t="str">
        <f t="shared" si="1"/>
        <v>QtrStart</v>
      </c>
      <c r="N43" s="18" t="str">
        <f t="shared" si="2"/>
        <v>P</v>
      </c>
      <c r="O43" s="3" t="str">
        <f t="shared" si="3"/>
        <v>Oct  2 2017</v>
      </c>
      <c r="Q43" s="107" t="s">
        <v>314</v>
      </c>
      <c r="R43" s="98" t="s">
        <v>315</v>
      </c>
      <c r="S43" s="102" t="s">
        <v>316</v>
      </c>
      <c r="T43" s="100" t="s">
        <v>317</v>
      </c>
      <c r="U43" s="107" t="s">
        <v>318</v>
      </c>
      <c r="V43" s="101" t="s">
        <v>319</v>
      </c>
      <c r="W43" s="101" t="s">
        <v>320</v>
      </c>
      <c r="X43" s="107" t="s">
        <v>321</v>
      </c>
      <c r="Y43" s="101" t="s">
        <v>322</v>
      </c>
      <c r="Z43" s="101" t="s">
        <v>323</v>
      </c>
      <c r="AA43" s="107" t="s">
        <v>324</v>
      </c>
      <c r="AB43" s="101" t="s">
        <v>325</v>
      </c>
      <c r="AC43" s="101" t="s">
        <v>326</v>
      </c>
    </row>
    <row r="44" spans="1:29" ht="15.75" x14ac:dyDescent="0.25">
      <c r="A44" s="55">
        <v>47118</v>
      </c>
      <c r="B44" s="56" t="str">
        <f t="shared" si="0"/>
        <v>QtrStart</v>
      </c>
      <c r="C44" s="56" t="s">
        <v>112</v>
      </c>
      <c r="F44" s="1">
        <v>47084</v>
      </c>
      <c r="G44" s="1">
        <v>47118</v>
      </c>
      <c r="H44" t="s">
        <v>103</v>
      </c>
      <c r="I44" t="s">
        <v>14</v>
      </c>
      <c r="J44" t="s">
        <v>12</v>
      </c>
      <c r="L44" t="s">
        <v>193</v>
      </c>
      <c r="M44" s="17" t="str">
        <f t="shared" si="1"/>
        <v>QtrStart</v>
      </c>
      <c r="N44" s="18" t="str">
        <f t="shared" si="2"/>
        <v>P</v>
      </c>
      <c r="O44" s="3" t="str">
        <f t="shared" si="3"/>
        <v>Oct  2 2028</v>
      </c>
      <c r="Q44" s="107" t="s">
        <v>623</v>
      </c>
      <c r="R44" s="98" t="s">
        <v>624</v>
      </c>
      <c r="S44" s="102" t="s">
        <v>625</v>
      </c>
      <c r="T44" s="100" t="s">
        <v>626</v>
      </c>
      <c r="U44" s="107" t="s">
        <v>627</v>
      </c>
      <c r="V44" s="101" t="s">
        <v>628</v>
      </c>
      <c r="W44" s="101" t="s">
        <v>629</v>
      </c>
      <c r="X44" s="107" t="s">
        <v>630</v>
      </c>
      <c r="Y44" s="101" t="s">
        <v>631</v>
      </c>
      <c r="Z44" s="101" t="s">
        <v>632</v>
      </c>
      <c r="AA44" s="107" t="s">
        <v>633</v>
      </c>
      <c r="AB44" s="101" t="s">
        <v>634</v>
      </c>
      <c r="AC44" s="101" t="s">
        <v>635</v>
      </c>
    </row>
    <row r="45" spans="1:29" ht="15.75" x14ac:dyDescent="0.25">
      <c r="A45" s="55">
        <v>39048</v>
      </c>
      <c r="B45" s="56" t="str">
        <f t="shared" si="0"/>
        <v>QtrStart</v>
      </c>
      <c r="C45" s="56" t="s">
        <v>111</v>
      </c>
      <c r="F45" s="1">
        <v>39048</v>
      </c>
      <c r="G45" s="1">
        <v>39082</v>
      </c>
      <c r="H45" t="s">
        <v>86</v>
      </c>
      <c r="I45" t="s">
        <v>14</v>
      </c>
      <c r="J45" t="s">
        <v>12</v>
      </c>
      <c r="L45" t="s">
        <v>198</v>
      </c>
      <c r="M45" s="17" t="str">
        <f t="shared" si="1"/>
        <v>QtrStart</v>
      </c>
      <c r="N45" s="18" t="str">
        <f t="shared" si="2"/>
        <v>P</v>
      </c>
      <c r="O45" s="3" t="str">
        <f t="shared" si="3"/>
        <v>Oct  2 2006</v>
      </c>
      <c r="Q45" s="107" t="s">
        <v>649</v>
      </c>
      <c r="R45" s="98" t="s">
        <v>650</v>
      </c>
      <c r="S45" s="102" t="s">
        <v>651</v>
      </c>
      <c r="T45" s="100" t="s">
        <v>652</v>
      </c>
      <c r="U45" s="107" t="s">
        <v>653</v>
      </c>
      <c r="V45" s="101" t="s">
        <v>654</v>
      </c>
      <c r="W45" s="101" t="s">
        <v>655</v>
      </c>
      <c r="X45" s="107" t="s">
        <v>656</v>
      </c>
      <c r="Y45" s="101" t="s">
        <v>657</v>
      </c>
      <c r="Z45" s="101" t="s">
        <v>658</v>
      </c>
      <c r="AA45" s="107" t="s">
        <v>659</v>
      </c>
      <c r="AB45" s="101" t="s">
        <v>660</v>
      </c>
      <c r="AC45" s="101" t="s">
        <v>661</v>
      </c>
    </row>
    <row r="46" spans="1:29" ht="15.75" x14ac:dyDescent="0.25">
      <c r="A46" s="55">
        <v>43066</v>
      </c>
      <c r="B46" s="56" t="str">
        <f t="shared" si="0"/>
        <v>QtrStart</v>
      </c>
      <c r="C46" s="56" t="s">
        <v>111</v>
      </c>
      <c r="F46" s="1">
        <v>43066</v>
      </c>
      <c r="G46" s="1">
        <v>43100</v>
      </c>
      <c r="H46" t="s">
        <v>70</v>
      </c>
      <c r="I46" t="s">
        <v>14</v>
      </c>
      <c r="J46" t="s">
        <v>12</v>
      </c>
      <c r="L46" t="s">
        <v>204</v>
      </c>
      <c r="M46" s="17" t="str">
        <f t="shared" si="1"/>
        <v>QtrStart</v>
      </c>
      <c r="N46" s="18" t="str">
        <f t="shared" si="2"/>
        <v>P</v>
      </c>
      <c r="O46" s="3" t="str">
        <f t="shared" si="3"/>
        <v>Oct  2 2017</v>
      </c>
      <c r="Q46" s="107" t="s">
        <v>314</v>
      </c>
      <c r="R46" s="98" t="s">
        <v>315</v>
      </c>
      <c r="S46" s="102" t="s">
        <v>316</v>
      </c>
      <c r="T46" s="100" t="s">
        <v>317</v>
      </c>
      <c r="U46" s="107" t="s">
        <v>318</v>
      </c>
      <c r="V46" s="101" t="s">
        <v>319</v>
      </c>
      <c r="W46" s="101" t="s">
        <v>320</v>
      </c>
      <c r="X46" s="107" t="s">
        <v>321</v>
      </c>
      <c r="Y46" s="101" t="s">
        <v>322</v>
      </c>
      <c r="Z46" s="101" t="s">
        <v>323</v>
      </c>
      <c r="AA46" s="107" t="s">
        <v>324</v>
      </c>
      <c r="AB46" s="101" t="s">
        <v>325</v>
      </c>
      <c r="AC46" s="101" t="s">
        <v>326</v>
      </c>
    </row>
    <row r="47" spans="1:29" ht="15.75" x14ac:dyDescent="0.25">
      <c r="A47" s="55">
        <v>47084</v>
      </c>
      <c r="B47" s="56" t="str">
        <f t="shared" si="0"/>
        <v>QtrStart</v>
      </c>
      <c r="C47" s="56" t="s">
        <v>111</v>
      </c>
      <c r="F47" s="1">
        <v>47084</v>
      </c>
      <c r="G47" s="1">
        <v>47118</v>
      </c>
      <c r="H47" t="s">
        <v>103</v>
      </c>
      <c r="I47" t="s">
        <v>14</v>
      </c>
      <c r="J47" t="s">
        <v>12</v>
      </c>
      <c r="L47" t="s">
        <v>193</v>
      </c>
      <c r="M47" s="17" t="str">
        <f t="shared" si="1"/>
        <v>QtrStart</v>
      </c>
      <c r="N47" s="18" t="str">
        <f t="shared" si="2"/>
        <v>P</v>
      </c>
      <c r="O47" s="3" t="str">
        <f t="shared" si="3"/>
        <v>Oct  2 2028</v>
      </c>
      <c r="Q47" s="107" t="s">
        <v>623</v>
      </c>
      <c r="R47" s="98" t="s">
        <v>624</v>
      </c>
      <c r="S47" s="102" t="s">
        <v>625</v>
      </c>
      <c r="T47" s="100" t="s">
        <v>626</v>
      </c>
      <c r="U47" s="107" t="s">
        <v>627</v>
      </c>
      <c r="V47" s="101" t="s">
        <v>628</v>
      </c>
      <c r="W47" s="101" t="s">
        <v>629</v>
      </c>
      <c r="X47" s="107" t="s">
        <v>630</v>
      </c>
      <c r="Y47" s="101" t="s">
        <v>631</v>
      </c>
      <c r="Z47" s="101" t="s">
        <v>632</v>
      </c>
      <c r="AA47" s="107" t="s">
        <v>633</v>
      </c>
      <c r="AB47" s="101" t="s">
        <v>634</v>
      </c>
      <c r="AC47" s="101" t="s">
        <v>635</v>
      </c>
    </row>
    <row r="48" spans="1:29" ht="15.75" x14ac:dyDescent="0.25">
      <c r="A48" s="55">
        <v>39082</v>
      </c>
      <c r="B48" s="56" t="str">
        <f t="shared" si="0"/>
        <v>QtrStart</v>
      </c>
      <c r="C48" s="56" t="s">
        <v>112</v>
      </c>
      <c r="F48" s="1">
        <v>39048</v>
      </c>
      <c r="G48" s="1">
        <v>39082</v>
      </c>
      <c r="H48" t="s">
        <v>86</v>
      </c>
      <c r="I48" t="s">
        <v>14</v>
      </c>
      <c r="J48" t="s">
        <v>12</v>
      </c>
      <c r="L48" t="s">
        <v>198</v>
      </c>
      <c r="M48" s="17" t="str">
        <f t="shared" si="1"/>
        <v>QtrStart</v>
      </c>
      <c r="N48" s="18" t="str">
        <f t="shared" si="2"/>
        <v>P</v>
      </c>
      <c r="O48" s="3" t="str">
        <f t="shared" si="3"/>
        <v>Oct  2 2006</v>
      </c>
      <c r="Q48" s="107" t="s">
        <v>649</v>
      </c>
      <c r="R48" s="98" t="s">
        <v>650</v>
      </c>
      <c r="S48" s="102" t="s">
        <v>651</v>
      </c>
      <c r="T48" s="100" t="s">
        <v>652</v>
      </c>
      <c r="U48" s="107" t="s">
        <v>653</v>
      </c>
      <c r="V48" s="101" t="s">
        <v>654</v>
      </c>
      <c r="W48" s="101" t="s">
        <v>655</v>
      </c>
      <c r="X48" s="107" t="s">
        <v>656</v>
      </c>
      <c r="Y48" s="101" t="s">
        <v>657</v>
      </c>
      <c r="Z48" s="101" t="s">
        <v>658</v>
      </c>
      <c r="AA48" s="107" t="s">
        <v>659</v>
      </c>
      <c r="AB48" s="101" t="s">
        <v>660</v>
      </c>
      <c r="AC48" s="101" t="s">
        <v>661</v>
      </c>
    </row>
    <row r="49" spans="1:29" ht="15.75" x14ac:dyDescent="0.25">
      <c r="A49" s="55">
        <v>43100</v>
      </c>
      <c r="B49" s="56" t="str">
        <f t="shared" si="0"/>
        <v>QtrStart</v>
      </c>
      <c r="C49" s="56" t="s">
        <v>112</v>
      </c>
      <c r="F49" s="1">
        <v>43066</v>
      </c>
      <c r="G49" s="1">
        <v>43100</v>
      </c>
      <c r="H49" t="s">
        <v>70</v>
      </c>
      <c r="I49" t="s">
        <v>14</v>
      </c>
      <c r="J49" t="s">
        <v>12</v>
      </c>
      <c r="L49" t="s">
        <v>204</v>
      </c>
      <c r="M49" s="17" t="str">
        <f t="shared" si="1"/>
        <v>QtrStart</v>
      </c>
      <c r="N49" s="18" t="str">
        <f t="shared" si="2"/>
        <v>P</v>
      </c>
      <c r="O49" s="3" t="str">
        <f t="shared" si="3"/>
        <v>Oct  2 2017</v>
      </c>
      <c r="Q49" s="107" t="s">
        <v>314</v>
      </c>
      <c r="R49" s="98" t="s">
        <v>315</v>
      </c>
      <c r="S49" s="102" t="s">
        <v>316</v>
      </c>
      <c r="T49" s="100" t="s">
        <v>317</v>
      </c>
      <c r="U49" s="107" t="s">
        <v>318</v>
      </c>
      <c r="V49" s="101" t="s">
        <v>319</v>
      </c>
      <c r="W49" s="101" t="s">
        <v>320</v>
      </c>
      <c r="X49" s="107" t="s">
        <v>321</v>
      </c>
      <c r="Y49" s="101" t="s">
        <v>322</v>
      </c>
      <c r="Z49" s="101" t="s">
        <v>323</v>
      </c>
      <c r="AA49" s="107" t="s">
        <v>324</v>
      </c>
      <c r="AB49" s="101" t="s">
        <v>325</v>
      </c>
      <c r="AC49" s="101" t="s">
        <v>326</v>
      </c>
    </row>
    <row r="50" spans="1:29" ht="15.75" x14ac:dyDescent="0.25">
      <c r="A50" s="55">
        <v>47118</v>
      </c>
      <c r="B50" s="56" t="str">
        <f t="shared" si="0"/>
        <v>QtrStart</v>
      </c>
      <c r="C50" s="56" t="s">
        <v>112</v>
      </c>
      <c r="F50" s="1">
        <v>47084</v>
      </c>
      <c r="G50" s="1">
        <v>47118</v>
      </c>
      <c r="H50" t="s">
        <v>103</v>
      </c>
      <c r="I50" t="s">
        <v>14</v>
      </c>
      <c r="J50" t="s">
        <v>12</v>
      </c>
      <c r="L50" t="s">
        <v>193</v>
      </c>
      <c r="M50" s="17" t="str">
        <f t="shared" si="1"/>
        <v>QtrStart</v>
      </c>
      <c r="N50" s="18" t="str">
        <f t="shared" si="2"/>
        <v>P</v>
      </c>
      <c r="O50" s="3" t="str">
        <f t="shared" si="3"/>
        <v>Oct  2 2028</v>
      </c>
      <c r="Q50" s="107" t="s">
        <v>623</v>
      </c>
      <c r="R50" s="98" t="s">
        <v>624</v>
      </c>
      <c r="S50" s="102" t="s">
        <v>625</v>
      </c>
      <c r="T50" s="100" t="s">
        <v>626</v>
      </c>
      <c r="U50" s="107" t="s">
        <v>627</v>
      </c>
      <c r="V50" s="101" t="s">
        <v>628</v>
      </c>
      <c r="W50" s="101" t="s">
        <v>629</v>
      </c>
      <c r="X50" s="107" t="s">
        <v>630</v>
      </c>
      <c r="Y50" s="101" t="s">
        <v>631</v>
      </c>
      <c r="Z50" s="101" t="s">
        <v>632</v>
      </c>
      <c r="AA50" s="107" t="s">
        <v>633</v>
      </c>
      <c r="AB50" s="101" t="s">
        <v>634</v>
      </c>
      <c r="AC50" s="101" t="s">
        <v>635</v>
      </c>
    </row>
    <row r="51" spans="1:29" ht="15.75" x14ac:dyDescent="0.25">
      <c r="A51" s="1">
        <v>42817</v>
      </c>
      <c r="B51" s="56" t="str">
        <f t="shared" si="0"/>
        <v>QtrStart</v>
      </c>
      <c r="C51" s="56" t="s">
        <v>255</v>
      </c>
      <c r="F51" s="1">
        <v>42814</v>
      </c>
      <c r="G51" s="1">
        <v>42841</v>
      </c>
      <c r="H51" t="s">
        <v>70</v>
      </c>
      <c r="I51" t="s">
        <v>12</v>
      </c>
      <c r="J51" t="s">
        <v>17</v>
      </c>
      <c r="L51" t="s">
        <v>591</v>
      </c>
      <c r="M51" s="17" t="str">
        <f t="shared" si="1"/>
        <v>QtrStart</v>
      </c>
      <c r="N51" s="18" t="str">
        <f t="shared" si="2"/>
        <v>P</v>
      </c>
      <c r="O51" s="3" t="str">
        <f t="shared" si="3"/>
        <v>Dec 26 2016</v>
      </c>
      <c r="Q51" s="107" t="s">
        <v>314</v>
      </c>
      <c r="R51" s="98" t="s">
        <v>315</v>
      </c>
      <c r="S51" s="102" t="s">
        <v>316</v>
      </c>
      <c r="T51" s="100" t="s">
        <v>317</v>
      </c>
      <c r="U51" s="107" t="s">
        <v>318</v>
      </c>
      <c r="V51" s="101" t="s">
        <v>319</v>
      </c>
      <c r="W51" s="101" t="s">
        <v>320</v>
      </c>
      <c r="X51" s="107" t="s">
        <v>321</v>
      </c>
      <c r="Y51" s="101" t="s">
        <v>322</v>
      </c>
      <c r="Z51" s="101" t="s">
        <v>323</v>
      </c>
      <c r="AA51" s="107" t="s">
        <v>324</v>
      </c>
      <c r="AB51" s="101" t="s">
        <v>325</v>
      </c>
      <c r="AC51" s="101" t="s">
        <v>326</v>
      </c>
    </row>
    <row r="52" spans="1:29" ht="15.75" x14ac:dyDescent="0.25">
      <c r="A52" s="1">
        <v>40855</v>
      </c>
      <c r="B52" s="56" t="str">
        <f t="shared" si="0"/>
        <v>QtrStart</v>
      </c>
      <c r="C52" s="56" t="s">
        <v>255</v>
      </c>
      <c r="F52" s="1">
        <v>40847</v>
      </c>
      <c r="G52" s="1">
        <v>40874</v>
      </c>
      <c r="H52" t="s">
        <v>91</v>
      </c>
      <c r="I52" t="s">
        <v>13</v>
      </c>
      <c r="J52" t="s">
        <v>12</v>
      </c>
      <c r="L52" t="s">
        <v>202</v>
      </c>
      <c r="M52" s="17" t="str">
        <f t="shared" si="1"/>
        <v>QtrStart</v>
      </c>
      <c r="N52" s="18" t="str">
        <f t="shared" si="2"/>
        <v>P</v>
      </c>
      <c r="O52" s="3" t="str">
        <f t="shared" si="3"/>
        <v>Oct  3 2011</v>
      </c>
      <c r="Q52" s="107" t="s">
        <v>340</v>
      </c>
      <c r="R52" s="98" t="s">
        <v>341</v>
      </c>
      <c r="S52" s="102" t="s">
        <v>342</v>
      </c>
      <c r="T52" s="100" t="s">
        <v>343</v>
      </c>
      <c r="U52" s="107" t="s">
        <v>344</v>
      </c>
      <c r="V52" s="101" t="s">
        <v>345</v>
      </c>
      <c r="W52" s="101" t="s">
        <v>346</v>
      </c>
      <c r="X52" s="107" t="s">
        <v>347</v>
      </c>
      <c r="Y52" s="101" t="s">
        <v>348</v>
      </c>
      <c r="Z52" s="101" t="s">
        <v>349</v>
      </c>
      <c r="AA52" s="107" t="s">
        <v>350</v>
      </c>
      <c r="AB52" s="101" t="s">
        <v>351</v>
      </c>
      <c r="AC52" s="101" t="s">
        <v>352</v>
      </c>
    </row>
    <row r="53" spans="1:29" ht="15.75" x14ac:dyDescent="0.25">
      <c r="A53" s="1">
        <v>42676</v>
      </c>
      <c r="B53" s="56" t="str">
        <f t="shared" si="0"/>
        <v>QtrStart</v>
      </c>
      <c r="C53" s="56" t="s">
        <v>255</v>
      </c>
      <c r="F53" s="1">
        <v>42674</v>
      </c>
      <c r="G53" s="1">
        <v>42701</v>
      </c>
      <c r="H53" t="s">
        <v>16</v>
      </c>
      <c r="I53" t="s">
        <v>13</v>
      </c>
      <c r="J53" t="s">
        <v>12</v>
      </c>
      <c r="L53" t="s">
        <v>203</v>
      </c>
      <c r="M53" s="17" t="str">
        <f t="shared" si="1"/>
        <v>QtrStart</v>
      </c>
      <c r="N53" s="18" t="str">
        <f t="shared" si="2"/>
        <v>P</v>
      </c>
      <c r="O53" s="3" t="str">
        <f t="shared" si="3"/>
        <v>Oct  3 2016</v>
      </c>
      <c r="Q53" s="107" t="s">
        <v>301</v>
      </c>
      <c r="R53" s="98" t="s">
        <v>302</v>
      </c>
      <c r="S53" s="102" t="s">
        <v>303</v>
      </c>
      <c r="T53" s="100" t="s">
        <v>304</v>
      </c>
      <c r="U53" s="107" t="s">
        <v>305</v>
      </c>
      <c r="V53" s="101" t="s">
        <v>306</v>
      </c>
      <c r="W53" s="101" t="s">
        <v>307</v>
      </c>
      <c r="X53" s="107" t="s">
        <v>308</v>
      </c>
      <c r="Y53" s="101" t="s">
        <v>309</v>
      </c>
      <c r="Z53" s="101" t="s">
        <v>310</v>
      </c>
      <c r="AA53" s="107" t="s">
        <v>311</v>
      </c>
      <c r="AB53" s="101" t="s">
        <v>312</v>
      </c>
      <c r="AC53" s="101" t="s">
        <v>313</v>
      </c>
    </row>
    <row r="54" spans="1:29" ht="15.75" x14ac:dyDescent="0.25">
      <c r="A54" s="1">
        <v>37793</v>
      </c>
      <c r="B54" s="56" t="str">
        <f t="shared" si="0"/>
        <v>QtrStart</v>
      </c>
      <c r="C54" s="56" t="s">
        <v>255</v>
      </c>
      <c r="F54" s="1">
        <v>37788</v>
      </c>
      <c r="G54" s="1">
        <v>37815</v>
      </c>
      <c r="H54" t="s">
        <v>80</v>
      </c>
      <c r="I54" t="s">
        <v>151</v>
      </c>
      <c r="J54" t="s">
        <v>143</v>
      </c>
      <c r="L54" t="s">
        <v>592</v>
      </c>
      <c r="M54" s="17" t="str">
        <f t="shared" si="1"/>
        <v>QtrStart</v>
      </c>
      <c r="N54" s="18" t="str">
        <f t="shared" si="2"/>
        <v>P</v>
      </c>
      <c r="O54" s="3" t="str">
        <f t="shared" si="3"/>
        <v>Apr 21 2003</v>
      </c>
      <c r="Q54" s="107" t="s">
        <v>353</v>
      </c>
      <c r="R54" s="98" t="s">
        <v>354</v>
      </c>
      <c r="S54" s="102" t="s">
        <v>355</v>
      </c>
      <c r="T54" s="100" t="s">
        <v>356</v>
      </c>
      <c r="U54" s="107" t="s">
        <v>357</v>
      </c>
      <c r="V54" s="101" t="s">
        <v>358</v>
      </c>
      <c r="W54" s="101" t="s">
        <v>359</v>
      </c>
      <c r="X54" s="107" t="s">
        <v>360</v>
      </c>
      <c r="Y54" s="101" t="s">
        <v>361</v>
      </c>
      <c r="Z54" s="101" t="s">
        <v>362</v>
      </c>
      <c r="AA54" s="107" t="s">
        <v>363</v>
      </c>
      <c r="AB54" s="101" t="s">
        <v>364</v>
      </c>
      <c r="AC54" s="101" t="s">
        <v>365</v>
      </c>
    </row>
    <row r="55" spans="1:29" ht="15.75" x14ac:dyDescent="0.25">
      <c r="A55" s="1">
        <v>38644</v>
      </c>
      <c r="B55" s="56" t="str">
        <f t="shared" si="0"/>
        <v>QtrStart</v>
      </c>
      <c r="C55" s="56" t="s">
        <v>255</v>
      </c>
      <c r="F55" s="1">
        <v>38628</v>
      </c>
      <c r="G55" s="1">
        <v>38655</v>
      </c>
      <c r="H55" t="s">
        <v>84</v>
      </c>
      <c r="I55" t="s">
        <v>150</v>
      </c>
      <c r="J55" t="s">
        <v>12</v>
      </c>
      <c r="L55" t="s">
        <v>593</v>
      </c>
      <c r="M55" s="17" t="str">
        <f t="shared" si="1"/>
        <v>QtrStart</v>
      </c>
      <c r="N55" s="18" t="str">
        <f t="shared" si="2"/>
        <v>P</v>
      </c>
      <c r="O55" s="3" t="str">
        <f t="shared" si="3"/>
        <v>Jul 11 2005</v>
      </c>
      <c r="Q55" s="107" t="s">
        <v>366</v>
      </c>
      <c r="R55" s="98" t="s">
        <v>367</v>
      </c>
      <c r="S55" s="102" t="s">
        <v>368</v>
      </c>
      <c r="T55" s="100" t="s">
        <v>369</v>
      </c>
      <c r="U55" s="107" t="s">
        <v>370</v>
      </c>
      <c r="V55" s="101" t="s">
        <v>371</v>
      </c>
      <c r="W55" s="101" t="s">
        <v>372</v>
      </c>
      <c r="X55" s="107" t="s">
        <v>373</v>
      </c>
      <c r="Y55" s="101" t="s">
        <v>374</v>
      </c>
      <c r="Z55" s="101" t="s">
        <v>375</v>
      </c>
      <c r="AA55" s="107" t="s">
        <v>376</v>
      </c>
      <c r="AB55" s="101" t="s">
        <v>377</v>
      </c>
      <c r="AC55" s="101" t="s">
        <v>378</v>
      </c>
    </row>
    <row r="56" spans="1:29" ht="15.75" x14ac:dyDescent="0.25">
      <c r="A56" s="1">
        <v>43850</v>
      </c>
      <c r="B56" s="56" t="str">
        <f t="shared" si="0"/>
        <v>QtrStart</v>
      </c>
      <c r="C56" s="56" t="s">
        <v>255</v>
      </c>
      <c r="F56" s="1">
        <v>43829</v>
      </c>
      <c r="G56" s="1">
        <v>43856</v>
      </c>
      <c r="H56" t="s">
        <v>55</v>
      </c>
      <c r="I56" t="s">
        <v>17</v>
      </c>
      <c r="J56" t="s">
        <v>17</v>
      </c>
      <c r="L56" t="s">
        <v>161</v>
      </c>
      <c r="M56" s="17" t="str">
        <f t="shared" si="1"/>
        <v>QtrStart</v>
      </c>
      <c r="N56" s="18" t="str">
        <f t="shared" si="2"/>
        <v>P</v>
      </c>
      <c r="O56" s="3" t="str">
        <f t="shared" si="3"/>
        <v>Dec 30 2019</v>
      </c>
      <c r="Q56" s="107" t="s">
        <v>379</v>
      </c>
      <c r="R56" s="98" t="s">
        <v>380</v>
      </c>
      <c r="S56" s="102" t="s">
        <v>381</v>
      </c>
      <c r="T56" s="100" t="s">
        <v>382</v>
      </c>
      <c r="U56" s="107" t="s">
        <v>383</v>
      </c>
      <c r="V56" s="101" t="s">
        <v>384</v>
      </c>
      <c r="W56" s="101" t="s">
        <v>385</v>
      </c>
      <c r="X56" s="107" t="s">
        <v>386</v>
      </c>
      <c r="Y56" s="101" t="s">
        <v>387</v>
      </c>
      <c r="Z56" s="101" t="s">
        <v>388</v>
      </c>
      <c r="AA56" s="107" t="s">
        <v>389</v>
      </c>
      <c r="AB56" s="101" t="s">
        <v>390</v>
      </c>
      <c r="AC56" s="101" t="s">
        <v>391</v>
      </c>
    </row>
    <row r="57" spans="1:29" ht="15.75" x14ac:dyDescent="0.25">
      <c r="A57" s="1">
        <v>45605</v>
      </c>
      <c r="B57" s="56" t="str">
        <f t="shared" si="0"/>
        <v>QtrStart</v>
      </c>
      <c r="C57" s="56" t="s">
        <v>255</v>
      </c>
      <c r="F57" s="1">
        <v>45600</v>
      </c>
      <c r="G57" s="1">
        <v>45627</v>
      </c>
      <c r="H57" t="s">
        <v>56</v>
      </c>
      <c r="I57" t="s">
        <v>13</v>
      </c>
      <c r="J57" t="s">
        <v>12</v>
      </c>
      <c r="L57" t="s">
        <v>594</v>
      </c>
      <c r="M57" s="17" t="str">
        <f t="shared" si="1"/>
        <v>QtrStart</v>
      </c>
      <c r="N57" s="18" t="str">
        <f t="shared" si="2"/>
        <v>P</v>
      </c>
      <c r="O57" s="3" t="str">
        <f t="shared" si="3"/>
        <v>Oct  7 2024</v>
      </c>
      <c r="Q57" s="107" t="s">
        <v>392</v>
      </c>
      <c r="R57" s="98" t="s">
        <v>393</v>
      </c>
      <c r="S57" s="102" t="s">
        <v>394</v>
      </c>
      <c r="T57" s="100" t="s">
        <v>395</v>
      </c>
      <c r="U57" s="107" t="s">
        <v>396</v>
      </c>
      <c r="V57" s="101" t="s">
        <v>397</v>
      </c>
      <c r="W57" s="101" t="s">
        <v>398</v>
      </c>
      <c r="X57" s="107" t="s">
        <v>399</v>
      </c>
      <c r="Y57" s="101" t="s">
        <v>400</v>
      </c>
      <c r="Z57" s="101" t="s">
        <v>401</v>
      </c>
      <c r="AA57" s="107" t="s">
        <v>402</v>
      </c>
      <c r="AB57" s="101" t="s">
        <v>403</v>
      </c>
      <c r="AC57" s="101" t="s">
        <v>404</v>
      </c>
    </row>
    <row r="58" spans="1:29" ht="15.75" x14ac:dyDescent="0.25">
      <c r="A58" s="1">
        <v>42068</v>
      </c>
      <c r="B58" s="56" t="str">
        <f t="shared" si="0"/>
        <v>QtrStart</v>
      </c>
      <c r="C58" s="56" t="s">
        <v>255</v>
      </c>
      <c r="F58" s="1">
        <v>42058</v>
      </c>
      <c r="G58" s="1">
        <v>42085</v>
      </c>
      <c r="H58" t="s">
        <v>93</v>
      </c>
      <c r="I58" t="s">
        <v>54</v>
      </c>
      <c r="J58" t="s">
        <v>17</v>
      </c>
      <c r="L58" t="s">
        <v>215</v>
      </c>
      <c r="M58" s="17" t="str">
        <f t="shared" si="1"/>
        <v>QtrStart</v>
      </c>
      <c r="N58" s="18" t="str">
        <f t="shared" si="2"/>
        <v>P</v>
      </c>
      <c r="O58" s="3" t="str">
        <f t="shared" si="3"/>
        <v>Dec 29 2014</v>
      </c>
      <c r="Q58" s="107" t="s">
        <v>405</v>
      </c>
      <c r="R58" s="98" t="s">
        <v>406</v>
      </c>
      <c r="S58" s="102" t="s">
        <v>407</v>
      </c>
      <c r="T58" s="100" t="s">
        <v>408</v>
      </c>
      <c r="U58" s="107" t="s">
        <v>409</v>
      </c>
      <c r="V58" s="101" t="s">
        <v>410</v>
      </c>
      <c r="W58" s="101" t="s">
        <v>411</v>
      </c>
      <c r="X58" s="107" t="s">
        <v>412</v>
      </c>
      <c r="Y58" s="101" t="s">
        <v>413</v>
      </c>
      <c r="Z58" s="101" t="s">
        <v>414</v>
      </c>
      <c r="AA58" s="107" t="s">
        <v>415</v>
      </c>
      <c r="AB58" s="101" t="s">
        <v>416</v>
      </c>
      <c r="AC58" s="101" t="s">
        <v>417</v>
      </c>
    </row>
    <row r="59" spans="1:29" ht="15.75" x14ac:dyDescent="0.25">
      <c r="A59" s="1">
        <v>44795</v>
      </c>
      <c r="B59" s="56" t="str">
        <f t="shared" si="0"/>
        <v>QtrStart</v>
      </c>
      <c r="C59" s="56" t="s">
        <v>255</v>
      </c>
      <c r="F59" s="1">
        <v>44781</v>
      </c>
      <c r="G59" s="1">
        <v>44808</v>
      </c>
      <c r="H59" t="s">
        <v>95</v>
      </c>
      <c r="I59" t="s">
        <v>141</v>
      </c>
      <c r="J59" t="s">
        <v>54</v>
      </c>
      <c r="L59" t="s">
        <v>595</v>
      </c>
      <c r="M59" s="17" t="str">
        <f t="shared" si="1"/>
        <v>QtrStart</v>
      </c>
      <c r="N59" s="18" t="str">
        <f t="shared" si="2"/>
        <v>P</v>
      </c>
      <c r="O59" s="3" t="str">
        <f t="shared" si="3"/>
        <v>Jul 11 2022</v>
      </c>
      <c r="Q59" s="107" t="s">
        <v>418</v>
      </c>
      <c r="R59" s="98" t="s">
        <v>419</v>
      </c>
      <c r="S59" s="102" t="s">
        <v>420</v>
      </c>
      <c r="T59" s="100" t="s">
        <v>421</v>
      </c>
      <c r="U59" s="107" t="s">
        <v>422</v>
      </c>
      <c r="V59" s="101" t="s">
        <v>423</v>
      </c>
      <c r="W59" s="101" t="s">
        <v>424</v>
      </c>
      <c r="X59" s="107" t="s">
        <v>425</v>
      </c>
      <c r="Y59" s="101" t="s">
        <v>426</v>
      </c>
      <c r="Z59" s="101" t="s">
        <v>427</v>
      </c>
      <c r="AA59" s="107" t="s">
        <v>428</v>
      </c>
      <c r="AB59" s="101" t="s">
        <v>429</v>
      </c>
      <c r="AC59" s="101" t="s">
        <v>430</v>
      </c>
    </row>
    <row r="60" spans="1:29" ht="15.75" x14ac:dyDescent="0.25">
      <c r="A60" s="1">
        <v>39243</v>
      </c>
      <c r="B60" s="56" t="str">
        <f t="shared" si="0"/>
        <v>QtrStart</v>
      </c>
      <c r="C60" s="56" t="s">
        <v>255</v>
      </c>
      <c r="F60" s="1">
        <v>39223</v>
      </c>
      <c r="G60" s="1">
        <v>39250</v>
      </c>
      <c r="H60" t="s">
        <v>87</v>
      </c>
      <c r="I60" t="s">
        <v>146</v>
      </c>
      <c r="J60" t="s">
        <v>143</v>
      </c>
      <c r="L60" t="s">
        <v>596</v>
      </c>
      <c r="M60" s="17" t="str">
        <f t="shared" si="1"/>
        <v>QtrStart</v>
      </c>
      <c r="N60" s="18" t="str">
        <f t="shared" si="2"/>
        <v>P</v>
      </c>
      <c r="O60" s="3" t="str">
        <f t="shared" si="3"/>
        <v>Apr 23 2007</v>
      </c>
      <c r="Q60" s="107" t="s">
        <v>431</v>
      </c>
      <c r="R60" s="98" t="s">
        <v>432</v>
      </c>
      <c r="S60" s="102" t="s">
        <v>433</v>
      </c>
      <c r="T60" s="100" t="s">
        <v>434</v>
      </c>
      <c r="U60" s="107" t="s">
        <v>435</v>
      </c>
      <c r="V60" s="101" t="s">
        <v>436</v>
      </c>
      <c r="W60" s="101" t="s">
        <v>437</v>
      </c>
      <c r="X60" s="107" t="s">
        <v>438</v>
      </c>
      <c r="Y60" s="101" t="s">
        <v>439</v>
      </c>
      <c r="Z60" s="101" t="s">
        <v>440</v>
      </c>
      <c r="AA60" s="107" t="s">
        <v>441</v>
      </c>
      <c r="AB60" s="101" t="s">
        <v>442</v>
      </c>
      <c r="AC60" s="101" t="s">
        <v>443</v>
      </c>
    </row>
    <row r="61" spans="1:29" ht="15.75" x14ac:dyDescent="0.25">
      <c r="A61" s="1">
        <v>37579</v>
      </c>
      <c r="B61" s="56" t="str">
        <f t="shared" si="0"/>
        <v>QtrStart</v>
      </c>
      <c r="C61" s="56" t="s">
        <v>255</v>
      </c>
      <c r="F61" s="1">
        <v>37564</v>
      </c>
      <c r="G61" s="1">
        <v>37591</v>
      </c>
      <c r="H61" t="s">
        <v>78</v>
      </c>
      <c r="I61" t="s">
        <v>13</v>
      </c>
      <c r="J61" t="s">
        <v>12</v>
      </c>
      <c r="L61" t="s">
        <v>197</v>
      </c>
      <c r="M61" s="17" t="str">
        <f t="shared" si="1"/>
        <v>QtrStart</v>
      </c>
      <c r="N61" s="18" t="str">
        <f t="shared" si="2"/>
        <v>P</v>
      </c>
      <c r="O61" s="3" t="str">
        <f t="shared" si="3"/>
        <v>Oct  7 2002</v>
      </c>
      <c r="Q61" s="107" t="s">
        <v>444</v>
      </c>
      <c r="R61" s="98" t="s">
        <v>445</v>
      </c>
      <c r="S61" s="102" t="s">
        <v>446</v>
      </c>
      <c r="T61" s="100" t="s">
        <v>447</v>
      </c>
      <c r="U61" s="107" t="s">
        <v>448</v>
      </c>
      <c r="V61" s="101" t="s">
        <v>449</v>
      </c>
      <c r="W61" s="101" t="s">
        <v>450</v>
      </c>
      <c r="X61" s="107" t="s">
        <v>451</v>
      </c>
      <c r="Y61" s="101" t="s">
        <v>452</v>
      </c>
      <c r="Z61" s="101" t="s">
        <v>453</v>
      </c>
      <c r="AA61" s="107" t="s">
        <v>454</v>
      </c>
      <c r="AB61" s="101" t="s">
        <v>455</v>
      </c>
      <c r="AC61" s="101" t="s">
        <v>456</v>
      </c>
    </row>
    <row r="62" spans="1:29" ht="15.75" x14ac:dyDescent="0.25">
      <c r="A62" s="1">
        <v>39242</v>
      </c>
      <c r="B62" s="56" t="str">
        <f t="shared" si="0"/>
        <v>QtrStart</v>
      </c>
      <c r="C62" s="56" t="s">
        <v>255</v>
      </c>
      <c r="F62" s="1">
        <v>39223</v>
      </c>
      <c r="G62" s="1">
        <v>39250</v>
      </c>
      <c r="H62" t="s">
        <v>87</v>
      </c>
      <c r="I62" t="s">
        <v>146</v>
      </c>
      <c r="J62" t="s">
        <v>143</v>
      </c>
      <c r="L62" t="s">
        <v>596</v>
      </c>
      <c r="M62" s="17" t="str">
        <f t="shared" si="1"/>
        <v>QtrStart</v>
      </c>
      <c r="N62" s="18" t="str">
        <f t="shared" si="2"/>
        <v>P</v>
      </c>
      <c r="O62" s="3" t="str">
        <f t="shared" si="3"/>
        <v>Apr 23 2007</v>
      </c>
      <c r="Q62" s="107" t="s">
        <v>431</v>
      </c>
      <c r="R62" s="98" t="s">
        <v>432</v>
      </c>
      <c r="S62" s="102" t="s">
        <v>433</v>
      </c>
      <c r="T62" s="100" t="s">
        <v>434</v>
      </c>
      <c r="U62" s="107" t="s">
        <v>435</v>
      </c>
      <c r="V62" s="101" t="s">
        <v>436</v>
      </c>
      <c r="W62" s="101" t="s">
        <v>437</v>
      </c>
      <c r="X62" s="107" t="s">
        <v>438</v>
      </c>
      <c r="Y62" s="101" t="s">
        <v>439</v>
      </c>
      <c r="Z62" s="101" t="s">
        <v>440</v>
      </c>
      <c r="AA62" s="107" t="s">
        <v>441</v>
      </c>
      <c r="AB62" s="101" t="s">
        <v>442</v>
      </c>
      <c r="AC62" s="101" t="s">
        <v>443</v>
      </c>
    </row>
    <row r="63" spans="1:29" ht="15.75" x14ac:dyDescent="0.25">
      <c r="A63" s="1">
        <v>39904</v>
      </c>
      <c r="B63" s="56" t="str">
        <f t="shared" si="0"/>
        <v>QtrStart</v>
      </c>
      <c r="C63" s="56" t="s">
        <v>255</v>
      </c>
      <c r="F63" s="1">
        <v>39895</v>
      </c>
      <c r="G63" s="1">
        <v>39922</v>
      </c>
      <c r="H63" t="s">
        <v>89</v>
      </c>
      <c r="I63" t="s">
        <v>12</v>
      </c>
      <c r="J63" t="s">
        <v>17</v>
      </c>
      <c r="L63" t="s">
        <v>597</v>
      </c>
      <c r="M63" s="17" t="str">
        <f t="shared" si="1"/>
        <v>QtrStart</v>
      </c>
      <c r="N63" s="18" t="str">
        <f t="shared" si="2"/>
        <v>P</v>
      </c>
      <c r="O63" s="3" t="str">
        <f t="shared" si="3"/>
        <v>Dec 29 2008</v>
      </c>
      <c r="Q63" s="107" t="s">
        <v>457</v>
      </c>
      <c r="R63" s="98" t="s">
        <v>458</v>
      </c>
      <c r="S63" s="102" t="s">
        <v>459</v>
      </c>
      <c r="T63" s="100" t="s">
        <v>460</v>
      </c>
      <c r="U63" s="107" t="s">
        <v>461</v>
      </c>
      <c r="V63" s="101" t="s">
        <v>462</v>
      </c>
      <c r="W63" s="101" t="s">
        <v>463</v>
      </c>
      <c r="X63" s="107" t="s">
        <v>464</v>
      </c>
      <c r="Y63" s="101" t="s">
        <v>465</v>
      </c>
      <c r="Z63" s="101" t="s">
        <v>466</v>
      </c>
      <c r="AA63" s="107" t="s">
        <v>467</v>
      </c>
      <c r="AB63" s="101" t="s">
        <v>468</v>
      </c>
      <c r="AC63" s="101" t="s">
        <v>469</v>
      </c>
    </row>
    <row r="64" spans="1:29" ht="15.75" x14ac:dyDescent="0.25">
      <c r="A64" s="1">
        <v>39690</v>
      </c>
      <c r="B64" s="56" t="str">
        <f t="shared" si="0"/>
        <v>QtrStart</v>
      </c>
      <c r="C64" s="56" t="s">
        <v>255</v>
      </c>
      <c r="F64" s="1">
        <v>39671</v>
      </c>
      <c r="G64" s="1">
        <v>39698</v>
      </c>
      <c r="H64" t="s">
        <v>88</v>
      </c>
      <c r="I64" t="s">
        <v>141</v>
      </c>
      <c r="J64" t="s">
        <v>54</v>
      </c>
      <c r="L64" t="s">
        <v>598</v>
      </c>
      <c r="M64" s="17" t="str">
        <f t="shared" si="1"/>
        <v>QtrStart</v>
      </c>
      <c r="N64" s="18" t="str">
        <f t="shared" si="2"/>
        <v>P</v>
      </c>
      <c r="O64" s="3" t="str">
        <f t="shared" si="3"/>
        <v>Jul 14 2008</v>
      </c>
      <c r="Q64" s="107" t="s">
        <v>470</v>
      </c>
      <c r="R64" s="98" t="s">
        <v>471</v>
      </c>
      <c r="S64" s="102" t="s">
        <v>472</v>
      </c>
      <c r="T64" s="100" t="s">
        <v>473</v>
      </c>
      <c r="U64" s="107" t="s">
        <v>474</v>
      </c>
      <c r="V64" s="101" t="s">
        <v>475</v>
      </c>
      <c r="W64" s="101" t="s">
        <v>476</v>
      </c>
      <c r="X64" s="107" t="s">
        <v>477</v>
      </c>
      <c r="Y64" s="101" t="s">
        <v>478</v>
      </c>
      <c r="Z64" s="101" t="s">
        <v>479</v>
      </c>
      <c r="AA64" s="107" t="s">
        <v>480</v>
      </c>
      <c r="AB64" s="101" t="s">
        <v>481</v>
      </c>
      <c r="AC64" s="101" t="s">
        <v>482</v>
      </c>
    </row>
    <row r="65" spans="1:29" ht="15.75" x14ac:dyDescent="0.25">
      <c r="A65" s="1">
        <v>39621</v>
      </c>
      <c r="B65" s="56" t="str">
        <f t="shared" si="0"/>
        <v>QtrStart</v>
      </c>
      <c r="C65" s="56" t="s">
        <v>255</v>
      </c>
      <c r="F65" s="1">
        <v>39615</v>
      </c>
      <c r="G65" s="1">
        <v>39642</v>
      </c>
      <c r="H65" t="s">
        <v>88</v>
      </c>
      <c r="I65" t="s">
        <v>151</v>
      </c>
      <c r="J65" t="s">
        <v>143</v>
      </c>
      <c r="L65" t="s">
        <v>599</v>
      </c>
      <c r="M65" s="17" t="str">
        <f t="shared" si="1"/>
        <v>QtrStart</v>
      </c>
      <c r="N65" s="18" t="str">
        <f t="shared" si="2"/>
        <v>P</v>
      </c>
      <c r="O65" s="3" t="str">
        <f t="shared" si="3"/>
        <v>Apr 21 2008</v>
      </c>
      <c r="Q65" s="107" t="s">
        <v>470</v>
      </c>
      <c r="R65" s="98" t="s">
        <v>471</v>
      </c>
      <c r="S65" s="102" t="s">
        <v>472</v>
      </c>
      <c r="T65" s="100" t="s">
        <v>473</v>
      </c>
      <c r="U65" s="107" t="s">
        <v>474</v>
      </c>
      <c r="V65" s="101" t="s">
        <v>475</v>
      </c>
      <c r="W65" s="101" t="s">
        <v>476</v>
      </c>
      <c r="X65" s="107" t="s">
        <v>477</v>
      </c>
      <c r="Y65" s="101" t="s">
        <v>478</v>
      </c>
      <c r="Z65" s="101" t="s">
        <v>479</v>
      </c>
      <c r="AA65" s="107" t="s">
        <v>480</v>
      </c>
      <c r="AB65" s="101" t="s">
        <v>481</v>
      </c>
      <c r="AC65" s="101" t="s">
        <v>482</v>
      </c>
    </row>
    <row r="66" spans="1:29" ht="15.75" x14ac:dyDescent="0.25">
      <c r="A66" s="1">
        <v>43321</v>
      </c>
      <c r="B66" s="56" t="str">
        <f t="shared" si="0"/>
        <v>QtrStart</v>
      </c>
      <c r="C66" s="56" t="s">
        <v>255</v>
      </c>
      <c r="F66" s="1">
        <v>43297</v>
      </c>
      <c r="G66" s="1">
        <v>43324</v>
      </c>
      <c r="H66" t="s">
        <v>72</v>
      </c>
      <c r="I66" t="s">
        <v>148</v>
      </c>
      <c r="J66" t="s">
        <v>54</v>
      </c>
      <c r="L66" t="s">
        <v>600</v>
      </c>
      <c r="M66" s="17" t="str">
        <f t="shared" si="1"/>
        <v>QtrStart</v>
      </c>
      <c r="N66" s="18" t="str">
        <f t="shared" si="2"/>
        <v>P</v>
      </c>
      <c r="O66" s="3" t="str">
        <f t="shared" si="3"/>
        <v>Jul 16 2018</v>
      </c>
      <c r="Q66" s="107" t="s">
        <v>327</v>
      </c>
      <c r="R66" s="98" t="s">
        <v>328</v>
      </c>
      <c r="S66" s="102" t="s">
        <v>329</v>
      </c>
      <c r="T66" s="100" t="s">
        <v>330</v>
      </c>
      <c r="U66" s="107" t="s">
        <v>331</v>
      </c>
      <c r="V66" s="101" t="s">
        <v>332</v>
      </c>
      <c r="W66" s="101" t="s">
        <v>333</v>
      </c>
      <c r="X66" s="107" t="s">
        <v>334</v>
      </c>
      <c r="Y66" s="101" t="s">
        <v>335</v>
      </c>
      <c r="Z66" s="101" t="s">
        <v>336</v>
      </c>
      <c r="AA66" s="107" t="s">
        <v>337</v>
      </c>
      <c r="AB66" s="101" t="s">
        <v>338</v>
      </c>
      <c r="AC66" s="101" t="s">
        <v>339</v>
      </c>
    </row>
    <row r="67" spans="1:29" ht="15.75" x14ac:dyDescent="0.25">
      <c r="A67" s="1">
        <v>41348</v>
      </c>
      <c r="B67" s="56" t="str">
        <f t="shared" si="0"/>
        <v>QtrStart</v>
      </c>
      <c r="C67" s="56" t="s">
        <v>255</v>
      </c>
      <c r="F67" s="1">
        <v>41330</v>
      </c>
      <c r="G67" s="1">
        <v>41357</v>
      </c>
      <c r="H67" t="s">
        <v>67</v>
      </c>
      <c r="I67" t="s">
        <v>54</v>
      </c>
      <c r="J67" t="s">
        <v>17</v>
      </c>
      <c r="L67" t="s">
        <v>69</v>
      </c>
      <c r="M67" s="17" t="str">
        <f t="shared" si="1"/>
        <v>QtrStart</v>
      </c>
      <c r="N67" s="18" t="str">
        <f t="shared" si="2"/>
        <v>P</v>
      </c>
      <c r="O67" s="3" t="str">
        <f t="shared" si="3"/>
        <v>Dec 31 2012</v>
      </c>
      <c r="Q67" s="107" t="s">
        <v>275</v>
      </c>
      <c r="R67" s="98" t="s">
        <v>276</v>
      </c>
      <c r="S67" s="102" t="s">
        <v>277</v>
      </c>
      <c r="T67" s="100" t="s">
        <v>278</v>
      </c>
      <c r="U67" s="107" t="s">
        <v>279</v>
      </c>
      <c r="V67" s="101" t="s">
        <v>280</v>
      </c>
      <c r="W67" s="101" t="s">
        <v>281</v>
      </c>
      <c r="X67" s="107" t="s">
        <v>282</v>
      </c>
      <c r="Y67" s="101" t="s">
        <v>283</v>
      </c>
      <c r="Z67" s="101" t="s">
        <v>284</v>
      </c>
      <c r="AA67" s="107" t="s">
        <v>285</v>
      </c>
      <c r="AB67" s="101" t="s">
        <v>286</v>
      </c>
      <c r="AC67" s="101" t="s">
        <v>287</v>
      </c>
    </row>
    <row r="68" spans="1:29" ht="15.75" x14ac:dyDescent="0.25">
      <c r="A68" s="1">
        <v>37909</v>
      </c>
      <c r="B68" s="56" t="str">
        <f t="shared" si="0"/>
        <v>QtrStart</v>
      </c>
      <c r="C68" s="56" t="s">
        <v>255</v>
      </c>
      <c r="F68" s="1">
        <v>37900</v>
      </c>
      <c r="G68" s="1">
        <v>37927</v>
      </c>
      <c r="H68" t="s">
        <v>80</v>
      </c>
      <c r="I68" t="s">
        <v>150</v>
      </c>
      <c r="J68" t="s">
        <v>12</v>
      </c>
      <c r="L68" t="s">
        <v>205</v>
      </c>
      <c r="M68" s="17" t="str">
        <f t="shared" si="1"/>
        <v>QtrStart</v>
      </c>
      <c r="N68" s="18" t="str">
        <f t="shared" si="2"/>
        <v>P</v>
      </c>
      <c r="O68" s="3" t="str">
        <f t="shared" si="3"/>
        <v>Jul 14 2003</v>
      </c>
      <c r="Q68" s="107" t="s">
        <v>353</v>
      </c>
      <c r="R68" s="98" t="s">
        <v>354</v>
      </c>
      <c r="S68" s="102" t="s">
        <v>355</v>
      </c>
      <c r="T68" s="100" t="s">
        <v>356</v>
      </c>
      <c r="U68" s="107" t="s">
        <v>357</v>
      </c>
      <c r="V68" s="101" t="s">
        <v>358</v>
      </c>
      <c r="W68" s="101" t="s">
        <v>359</v>
      </c>
      <c r="X68" s="107" t="s">
        <v>360</v>
      </c>
      <c r="Y68" s="101" t="s">
        <v>361</v>
      </c>
      <c r="Z68" s="101" t="s">
        <v>362</v>
      </c>
      <c r="AA68" s="107" t="s">
        <v>363</v>
      </c>
      <c r="AB68" s="101" t="s">
        <v>364</v>
      </c>
      <c r="AC68" s="101" t="s">
        <v>365</v>
      </c>
    </row>
    <row r="69" spans="1:29" ht="15.75" x14ac:dyDescent="0.25">
      <c r="A69" s="1">
        <v>47427</v>
      </c>
      <c r="B69" s="56" t="str">
        <f t="shared" si="0"/>
        <v>QtrStart</v>
      </c>
      <c r="C69" s="56" t="s">
        <v>255</v>
      </c>
      <c r="F69" s="1">
        <v>47427</v>
      </c>
      <c r="G69" s="1">
        <v>47454</v>
      </c>
      <c r="H69" t="s">
        <v>105</v>
      </c>
      <c r="I69" t="s">
        <v>13</v>
      </c>
      <c r="J69" t="s">
        <v>12</v>
      </c>
      <c r="L69" t="s">
        <v>194</v>
      </c>
      <c r="M69" s="17" t="str">
        <f t="shared" si="1"/>
        <v>QtrStart</v>
      </c>
      <c r="N69" s="18" t="str">
        <f t="shared" si="2"/>
        <v>P</v>
      </c>
      <c r="O69" s="3" t="str">
        <f t="shared" si="3"/>
        <v>Oct  8 2029</v>
      </c>
      <c r="Q69" s="107" t="s">
        <v>483</v>
      </c>
      <c r="R69" s="98" t="s">
        <v>484</v>
      </c>
      <c r="S69" s="102" t="s">
        <v>485</v>
      </c>
      <c r="T69" s="100" t="s">
        <v>486</v>
      </c>
      <c r="U69" s="107" t="s">
        <v>487</v>
      </c>
      <c r="V69" s="101" t="s">
        <v>488</v>
      </c>
      <c r="W69" s="101" t="s">
        <v>489</v>
      </c>
      <c r="X69" s="107" t="s">
        <v>490</v>
      </c>
      <c r="Y69" s="101" t="s">
        <v>491</v>
      </c>
      <c r="Z69" s="101" t="s">
        <v>492</v>
      </c>
      <c r="AA69" s="107" t="s">
        <v>493</v>
      </c>
      <c r="AB69" s="101" t="s">
        <v>494</v>
      </c>
      <c r="AC69" s="101" t="s">
        <v>495</v>
      </c>
    </row>
    <row r="70" spans="1:29" ht="15.75" x14ac:dyDescent="0.25">
      <c r="A70" s="1">
        <v>37196</v>
      </c>
      <c r="B70" s="56" t="str">
        <f t="shared" si="0"/>
        <v>QtrStart</v>
      </c>
      <c r="C70" s="56" t="s">
        <v>255</v>
      </c>
      <c r="F70" s="1">
        <v>37172</v>
      </c>
      <c r="G70" s="1">
        <v>37199</v>
      </c>
      <c r="H70" t="s">
        <v>77</v>
      </c>
      <c r="I70" t="s">
        <v>150</v>
      </c>
      <c r="J70" t="s">
        <v>12</v>
      </c>
      <c r="L70" t="s">
        <v>601</v>
      </c>
      <c r="M70" s="17" t="str">
        <f t="shared" si="1"/>
        <v>QtrStart</v>
      </c>
      <c r="N70" s="18" t="str">
        <f t="shared" si="2"/>
        <v>P</v>
      </c>
      <c r="O70" s="3" t="str">
        <f t="shared" si="3"/>
        <v>Jul 16 2001</v>
      </c>
      <c r="Q70" s="107" t="s">
        <v>496</v>
      </c>
      <c r="R70" s="98" t="s">
        <v>497</v>
      </c>
      <c r="S70" s="102" t="s">
        <v>498</v>
      </c>
      <c r="T70" s="100" t="s">
        <v>499</v>
      </c>
      <c r="U70" s="107" t="s">
        <v>500</v>
      </c>
      <c r="V70" s="101" t="s">
        <v>501</v>
      </c>
      <c r="W70" s="101" t="s">
        <v>502</v>
      </c>
      <c r="X70" s="107" t="s">
        <v>503</v>
      </c>
      <c r="Y70" s="101" t="s">
        <v>504</v>
      </c>
      <c r="Z70" s="101" t="s">
        <v>505</v>
      </c>
      <c r="AA70" s="107" t="s">
        <v>506</v>
      </c>
      <c r="AB70" s="101" t="s">
        <v>507</v>
      </c>
      <c r="AC70" s="101" t="s">
        <v>508</v>
      </c>
    </row>
    <row r="71" spans="1:29" ht="15.75" x14ac:dyDescent="0.25">
      <c r="A71" s="1">
        <v>39101</v>
      </c>
      <c r="B71" s="56" t="str">
        <f t="shared" si="0"/>
        <v>QtrStart</v>
      </c>
      <c r="C71" s="56" t="s">
        <v>255</v>
      </c>
      <c r="F71" s="1">
        <v>39083</v>
      </c>
      <c r="G71" s="1">
        <v>39110</v>
      </c>
      <c r="H71" t="s">
        <v>87</v>
      </c>
      <c r="I71" t="s">
        <v>17</v>
      </c>
      <c r="J71" t="s">
        <v>17</v>
      </c>
      <c r="L71" t="s">
        <v>602</v>
      </c>
      <c r="M71" s="17" t="str">
        <f t="shared" si="1"/>
        <v>QtrStart</v>
      </c>
      <c r="N71" s="18" t="str">
        <f t="shared" si="2"/>
        <v>P</v>
      </c>
      <c r="O71" s="3" t="str">
        <f t="shared" si="3"/>
        <v>Jan  1 2007</v>
      </c>
      <c r="Q71" s="107" t="s">
        <v>431</v>
      </c>
      <c r="R71" s="98" t="s">
        <v>432</v>
      </c>
      <c r="S71" s="102" t="s">
        <v>433</v>
      </c>
      <c r="T71" s="100" t="s">
        <v>434</v>
      </c>
      <c r="U71" s="107" t="s">
        <v>435</v>
      </c>
      <c r="V71" s="101" t="s">
        <v>436</v>
      </c>
      <c r="W71" s="101" t="s">
        <v>437</v>
      </c>
      <c r="X71" s="107" t="s">
        <v>438</v>
      </c>
      <c r="Y71" s="101" t="s">
        <v>439</v>
      </c>
      <c r="Z71" s="101" t="s">
        <v>440</v>
      </c>
      <c r="AA71" s="107" t="s">
        <v>441</v>
      </c>
      <c r="AB71" s="101" t="s">
        <v>442</v>
      </c>
      <c r="AC71" s="101" t="s">
        <v>443</v>
      </c>
    </row>
    <row r="72" spans="1:29" ht="15.75" x14ac:dyDescent="0.25">
      <c r="A72" s="1">
        <v>40189</v>
      </c>
      <c r="B72" s="56" t="str">
        <f t="shared" si="0"/>
        <v>QtrStart</v>
      </c>
      <c r="C72" s="56" t="s">
        <v>255</v>
      </c>
      <c r="F72" s="1">
        <v>40175</v>
      </c>
      <c r="G72" s="1">
        <v>40202</v>
      </c>
      <c r="H72" t="s">
        <v>90</v>
      </c>
      <c r="I72" t="s">
        <v>17</v>
      </c>
      <c r="J72" t="s">
        <v>17</v>
      </c>
      <c r="L72" t="s">
        <v>206</v>
      </c>
      <c r="M72" s="17" t="str">
        <f t="shared" si="1"/>
        <v>QtrStart</v>
      </c>
      <c r="N72" s="18" t="str">
        <f t="shared" si="2"/>
        <v>P</v>
      </c>
      <c r="O72" s="3" t="str">
        <f t="shared" si="3"/>
        <v>Dec 28 2009</v>
      </c>
      <c r="Q72" s="107" t="s">
        <v>509</v>
      </c>
      <c r="R72" s="98" t="s">
        <v>510</v>
      </c>
      <c r="S72" s="102" t="s">
        <v>511</v>
      </c>
      <c r="T72" s="100" t="s">
        <v>512</v>
      </c>
      <c r="U72" s="107" t="s">
        <v>513</v>
      </c>
      <c r="V72" s="101" t="s">
        <v>514</v>
      </c>
      <c r="W72" s="101" t="s">
        <v>515</v>
      </c>
      <c r="X72" s="107" t="s">
        <v>516</v>
      </c>
      <c r="Y72" s="101" t="s">
        <v>517</v>
      </c>
      <c r="Z72" s="101" t="s">
        <v>518</v>
      </c>
      <c r="AA72" s="107" t="s">
        <v>519</v>
      </c>
      <c r="AB72" s="101" t="s">
        <v>520</v>
      </c>
      <c r="AC72" s="101" t="s">
        <v>521</v>
      </c>
    </row>
    <row r="73" spans="1:29" ht="15.75" x14ac:dyDescent="0.25">
      <c r="A73" s="1">
        <v>37291</v>
      </c>
      <c r="B73" s="56" t="str">
        <f t="shared" ref="B73:B86" si="4">$M$1</f>
        <v>QtrStart</v>
      </c>
      <c r="C73" s="56" t="s">
        <v>255</v>
      </c>
      <c r="F73" s="1">
        <v>37284</v>
      </c>
      <c r="G73" s="1">
        <v>37311</v>
      </c>
      <c r="H73" t="s">
        <v>78</v>
      </c>
      <c r="I73" t="s">
        <v>143</v>
      </c>
      <c r="J73" t="s">
        <v>17</v>
      </c>
      <c r="L73" t="s">
        <v>603</v>
      </c>
      <c r="M73" s="17" t="str">
        <f t="shared" ref="M73:M86" si="5">B73</f>
        <v>QtrStart</v>
      </c>
      <c r="N73" s="18" t="str">
        <f t="shared" ref="N73:N86" si="6">IF(MATCH(O73,Q73:AC73,0), "P", "F")</f>
        <v>P</v>
      </c>
      <c r="O73" s="3" t="str">
        <f t="shared" ref="O73:O86" si="7">MID(L73,1,11)</f>
        <v>Dec 31 2001</v>
      </c>
      <c r="Q73" s="107" t="s">
        <v>444</v>
      </c>
      <c r="R73" s="98" t="s">
        <v>445</v>
      </c>
      <c r="S73" s="102" t="s">
        <v>446</v>
      </c>
      <c r="T73" s="100" t="s">
        <v>447</v>
      </c>
      <c r="U73" s="107" t="s">
        <v>448</v>
      </c>
      <c r="V73" s="101" t="s">
        <v>449</v>
      </c>
      <c r="W73" s="101" t="s">
        <v>450</v>
      </c>
      <c r="X73" s="107" t="s">
        <v>451</v>
      </c>
      <c r="Y73" s="101" t="s">
        <v>452</v>
      </c>
      <c r="Z73" s="101" t="s">
        <v>453</v>
      </c>
      <c r="AA73" s="107" t="s">
        <v>454</v>
      </c>
      <c r="AB73" s="101" t="s">
        <v>455</v>
      </c>
      <c r="AC73" s="101" t="s">
        <v>456</v>
      </c>
    </row>
    <row r="74" spans="1:29" ht="15.75" x14ac:dyDescent="0.25">
      <c r="A74" s="1">
        <v>47124</v>
      </c>
      <c r="B74" s="56" t="str">
        <f t="shared" si="4"/>
        <v>QtrStart</v>
      </c>
      <c r="C74" s="56" t="s">
        <v>255</v>
      </c>
      <c r="F74" s="1">
        <v>47119</v>
      </c>
      <c r="G74" s="1">
        <v>47146</v>
      </c>
      <c r="H74" t="s">
        <v>105</v>
      </c>
      <c r="I74" t="s">
        <v>17</v>
      </c>
      <c r="J74" t="s">
        <v>17</v>
      </c>
      <c r="L74" t="s">
        <v>212</v>
      </c>
      <c r="M74" s="17" t="str">
        <f t="shared" si="5"/>
        <v>QtrStart</v>
      </c>
      <c r="N74" s="18" t="str">
        <f t="shared" si="6"/>
        <v>P</v>
      </c>
      <c r="O74" s="3" t="str">
        <f t="shared" si="7"/>
        <v>Jan  1 2029</v>
      </c>
      <c r="Q74" s="107" t="s">
        <v>483</v>
      </c>
      <c r="R74" s="98" t="s">
        <v>484</v>
      </c>
      <c r="S74" s="102" t="s">
        <v>485</v>
      </c>
      <c r="T74" s="100" t="s">
        <v>486</v>
      </c>
      <c r="U74" s="107" t="s">
        <v>487</v>
      </c>
      <c r="V74" s="101" t="s">
        <v>488</v>
      </c>
      <c r="W74" s="101" t="s">
        <v>489</v>
      </c>
      <c r="X74" s="107" t="s">
        <v>490</v>
      </c>
      <c r="Y74" s="101" t="s">
        <v>491</v>
      </c>
      <c r="Z74" s="101" t="s">
        <v>492</v>
      </c>
      <c r="AA74" s="107" t="s">
        <v>493</v>
      </c>
      <c r="AB74" s="101" t="s">
        <v>494</v>
      </c>
      <c r="AC74" s="101" t="s">
        <v>495</v>
      </c>
    </row>
    <row r="75" spans="1:29" ht="15.75" x14ac:dyDescent="0.25">
      <c r="A75" s="1">
        <v>45759</v>
      </c>
      <c r="B75" s="56" t="str">
        <f t="shared" si="4"/>
        <v>QtrStart</v>
      </c>
      <c r="C75" s="56" t="s">
        <v>255</v>
      </c>
      <c r="F75" s="1">
        <v>45740</v>
      </c>
      <c r="G75" s="1">
        <v>45767</v>
      </c>
      <c r="H75" t="s">
        <v>97</v>
      </c>
      <c r="I75" t="s">
        <v>12</v>
      </c>
      <c r="J75" t="s">
        <v>17</v>
      </c>
      <c r="L75" t="s">
        <v>604</v>
      </c>
      <c r="M75" s="17" t="str">
        <f t="shared" si="5"/>
        <v>QtrStart</v>
      </c>
      <c r="N75" s="18" t="str">
        <f t="shared" si="6"/>
        <v>P</v>
      </c>
      <c r="O75" s="3" t="str">
        <f t="shared" si="7"/>
        <v>Dec 30 2024</v>
      </c>
      <c r="Q75" s="107" t="s">
        <v>522</v>
      </c>
      <c r="R75" s="98" t="s">
        <v>523</v>
      </c>
      <c r="S75" s="102" t="s">
        <v>524</v>
      </c>
      <c r="T75" s="100" t="s">
        <v>525</v>
      </c>
      <c r="U75" s="107" t="s">
        <v>526</v>
      </c>
      <c r="V75" s="101" t="s">
        <v>527</v>
      </c>
      <c r="W75" s="101" t="s">
        <v>528</v>
      </c>
      <c r="X75" s="107" t="s">
        <v>529</v>
      </c>
      <c r="Y75" s="101" t="s">
        <v>530</v>
      </c>
      <c r="Z75" s="101" t="s">
        <v>531</v>
      </c>
      <c r="AA75" s="107" t="s">
        <v>532</v>
      </c>
      <c r="AB75" s="101" t="s">
        <v>533</v>
      </c>
      <c r="AC75" s="101" t="s">
        <v>534</v>
      </c>
    </row>
    <row r="76" spans="1:29" ht="15.75" x14ac:dyDescent="0.25">
      <c r="A76" s="1">
        <v>46257</v>
      </c>
      <c r="B76" s="56" t="str">
        <f t="shared" si="4"/>
        <v>QtrStart</v>
      </c>
      <c r="C76" s="56" t="s">
        <v>255</v>
      </c>
      <c r="F76" s="1">
        <v>46244</v>
      </c>
      <c r="G76" s="1">
        <v>46271</v>
      </c>
      <c r="H76" t="s">
        <v>99</v>
      </c>
      <c r="I76" t="s">
        <v>141</v>
      </c>
      <c r="J76" t="s">
        <v>54</v>
      </c>
      <c r="L76" t="s">
        <v>605</v>
      </c>
      <c r="M76" s="17" t="str">
        <f t="shared" si="5"/>
        <v>QtrStart</v>
      </c>
      <c r="N76" s="18" t="str">
        <f t="shared" si="6"/>
        <v>P</v>
      </c>
      <c r="O76" s="3" t="str">
        <f t="shared" si="7"/>
        <v>Jul 13 2026</v>
      </c>
      <c r="Q76" s="107" t="s">
        <v>535</v>
      </c>
      <c r="R76" s="98" t="s">
        <v>536</v>
      </c>
      <c r="S76" s="102" t="s">
        <v>537</v>
      </c>
      <c r="T76" s="100" t="s">
        <v>538</v>
      </c>
      <c r="U76" s="107" t="s">
        <v>539</v>
      </c>
      <c r="V76" s="101" t="s">
        <v>540</v>
      </c>
      <c r="W76" s="101" t="s">
        <v>541</v>
      </c>
      <c r="X76" s="107" t="s">
        <v>542</v>
      </c>
      <c r="Y76" s="101" t="s">
        <v>543</v>
      </c>
      <c r="Z76" s="101" t="s">
        <v>544</v>
      </c>
      <c r="AA76" s="107" t="s">
        <v>545</v>
      </c>
      <c r="AB76" s="101" t="s">
        <v>546</v>
      </c>
      <c r="AC76" s="101" t="s">
        <v>547</v>
      </c>
    </row>
    <row r="77" spans="1:29" ht="15.75" x14ac:dyDescent="0.25">
      <c r="A77" s="1">
        <v>40817</v>
      </c>
      <c r="B77" s="56" t="str">
        <f t="shared" si="4"/>
        <v>QtrStart</v>
      </c>
      <c r="C77" s="56" t="s">
        <v>255</v>
      </c>
      <c r="F77" s="1">
        <v>40791</v>
      </c>
      <c r="G77" s="1">
        <v>40818</v>
      </c>
      <c r="H77" t="s">
        <v>91</v>
      </c>
      <c r="I77" t="s">
        <v>144</v>
      </c>
      <c r="J77" t="s">
        <v>54</v>
      </c>
      <c r="L77" t="s">
        <v>606</v>
      </c>
      <c r="M77" s="17" t="str">
        <f t="shared" si="5"/>
        <v>QtrStart</v>
      </c>
      <c r="N77" s="18" t="str">
        <f t="shared" si="6"/>
        <v>P</v>
      </c>
      <c r="O77" s="3" t="str">
        <f t="shared" si="7"/>
        <v>Jul 11 2011</v>
      </c>
      <c r="Q77" s="107" t="s">
        <v>340</v>
      </c>
      <c r="R77" s="98" t="s">
        <v>341</v>
      </c>
      <c r="S77" s="102" t="s">
        <v>342</v>
      </c>
      <c r="T77" s="100" t="s">
        <v>343</v>
      </c>
      <c r="U77" s="107" t="s">
        <v>344</v>
      </c>
      <c r="V77" s="101" t="s">
        <v>345</v>
      </c>
      <c r="W77" s="101" t="s">
        <v>346</v>
      </c>
      <c r="X77" s="107" t="s">
        <v>347</v>
      </c>
      <c r="Y77" s="101" t="s">
        <v>348</v>
      </c>
      <c r="Z77" s="101" t="s">
        <v>349</v>
      </c>
      <c r="AA77" s="107" t="s">
        <v>350</v>
      </c>
      <c r="AB77" s="101" t="s">
        <v>351</v>
      </c>
      <c r="AC77" s="101" t="s">
        <v>352</v>
      </c>
    </row>
    <row r="78" spans="1:29" ht="15.75" x14ac:dyDescent="0.25">
      <c r="A78" s="1">
        <v>44758</v>
      </c>
      <c r="B78" s="56" t="str">
        <f t="shared" si="4"/>
        <v>QtrStart</v>
      </c>
      <c r="C78" s="56" t="s">
        <v>255</v>
      </c>
      <c r="F78" s="1">
        <v>44753</v>
      </c>
      <c r="G78" s="1">
        <v>44780</v>
      </c>
      <c r="H78" t="s">
        <v>95</v>
      </c>
      <c r="I78" t="s">
        <v>148</v>
      </c>
      <c r="J78" t="s">
        <v>54</v>
      </c>
      <c r="L78" t="s">
        <v>595</v>
      </c>
      <c r="M78" s="17" t="str">
        <f t="shared" si="5"/>
        <v>QtrStart</v>
      </c>
      <c r="N78" s="18" t="str">
        <f t="shared" si="6"/>
        <v>P</v>
      </c>
      <c r="O78" s="3" t="str">
        <f t="shared" si="7"/>
        <v>Jul 11 2022</v>
      </c>
      <c r="Q78" s="107" t="s">
        <v>418</v>
      </c>
      <c r="R78" s="98" t="s">
        <v>419</v>
      </c>
      <c r="S78" s="102" t="s">
        <v>420</v>
      </c>
      <c r="T78" s="100" t="s">
        <v>421</v>
      </c>
      <c r="U78" s="107" t="s">
        <v>422</v>
      </c>
      <c r="V78" s="101" t="s">
        <v>423</v>
      </c>
      <c r="W78" s="101" t="s">
        <v>424</v>
      </c>
      <c r="X78" s="107" t="s">
        <v>425</v>
      </c>
      <c r="Y78" s="101" t="s">
        <v>426</v>
      </c>
      <c r="Z78" s="101" t="s">
        <v>427</v>
      </c>
      <c r="AA78" s="107" t="s">
        <v>428</v>
      </c>
      <c r="AB78" s="101" t="s">
        <v>429</v>
      </c>
      <c r="AC78" s="101" t="s">
        <v>430</v>
      </c>
    </row>
    <row r="79" spans="1:29" ht="15.75" x14ac:dyDescent="0.25">
      <c r="A79" s="1">
        <v>41402</v>
      </c>
      <c r="B79" s="56" t="str">
        <f t="shared" si="4"/>
        <v>QtrStart</v>
      </c>
      <c r="C79" s="56" t="s">
        <v>255</v>
      </c>
      <c r="F79" s="1">
        <v>41386</v>
      </c>
      <c r="G79" s="1">
        <v>41413</v>
      </c>
      <c r="H79" t="s">
        <v>67</v>
      </c>
      <c r="I79" t="s">
        <v>142</v>
      </c>
      <c r="J79" t="s">
        <v>143</v>
      </c>
      <c r="L79" t="s">
        <v>607</v>
      </c>
      <c r="M79" s="17" t="str">
        <f t="shared" si="5"/>
        <v>QtrStart</v>
      </c>
      <c r="N79" s="18" t="str">
        <f t="shared" si="6"/>
        <v>P</v>
      </c>
      <c r="O79" s="3" t="str">
        <f t="shared" si="7"/>
        <v>Apr 22 2013</v>
      </c>
      <c r="Q79" s="107" t="s">
        <v>275</v>
      </c>
      <c r="R79" s="98" t="s">
        <v>276</v>
      </c>
      <c r="S79" s="102" t="s">
        <v>277</v>
      </c>
      <c r="T79" s="100" t="s">
        <v>278</v>
      </c>
      <c r="U79" s="107" t="s">
        <v>279</v>
      </c>
      <c r="V79" s="101" t="s">
        <v>280</v>
      </c>
      <c r="W79" s="101" t="s">
        <v>281</v>
      </c>
      <c r="X79" s="107" t="s">
        <v>282</v>
      </c>
      <c r="Y79" s="101" t="s">
        <v>283</v>
      </c>
      <c r="Z79" s="101" t="s">
        <v>284</v>
      </c>
      <c r="AA79" s="107" t="s">
        <v>285</v>
      </c>
      <c r="AB79" s="101" t="s">
        <v>286</v>
      </c>
      <c r="AC79" s="101" t="s">
        <v>287</v>
      </c>
    </row>
    <row r="80" spans="1:29" ht="15.75" x14ac:dyDescent="0.25">
      <c r="A80" s="1">
        <v>40831</v>
      </c>
      <c r="B80" s="56" t="str">
        <f t="shared" si="4"/>
        <v>QtrStart</v>
      </c>
      <c r="C80" s="56" t="s">
        <v>255</v>
      </c>
      <c r="F80" s="1">
        <v>40819</v>
      </c>
      <c r="G80" s="1">
        <v>40846</v>
      </c>
      <c r="H80" t="s">
        <v>91</v>
      </c>
      <c r="I80" t="s">
        <v>150</v>
      </c>
      <c r="J80" t="s">
        <v>12</v>
      </c>
      <c r="L80" t="s">
        <v>606</v>
      </c>
      <c r="M80" s="17" t="str">
        <f t="shared" si="5"/>
        <v>QtrStart</v>
      </c>
      <c r="N80" s="18" t="str">
        <f t="shared" si="6"/>
        <v>P</v>
      </c>
      <c r="O80" s="3" t="str">
        <f t="shared" si="7"/>
        <v>Jul 11 2011</v>
      </c>
      <c r="Q80" s="107" t="s">
        <v>340</v>
      </c>
      <c r="R80" s="98" t="s">
        <v>341</v>
      </c>
      <c r="S80" s="102" t="s">
        <v>342</v>
      </c>
      <c r="T80" s="100" t="s">
        <v>343</v>
      </c>
      <c r="U80" s="107" t="s">
        <v>344</v>
      </c>
      <c r="V80" s="101" t="s">
        <v>345</v>
      </c>
      <c r="W80" s="101" t="s">
        <v>346</v>
      </c>
      <c r="X80" s="107" t="s">
        <v>347</v>
      </c>
      <c r="Y80" s="101" t="s">
        <v>348</v>
      </c>
      <c r="Z80" s="101" t="s">
        <v>349</v>
      </c>
      <c r="AA80" s="107" t="s">
        <v>350</v>
      </c>
      <c r="AB80" s="101" t="s">
        <v>351</v>
      </c>
      <c r="AC80" s="101" t="s">
        <v>352</v>
      </c>
    </row>
    <row r="81" spans="1:29" ht="15.75" x14ac:dyDescent="0.25">
      <c r="A81" s="1">
        <v>38093</v>
      </c>
      <c r="B81" s="56" t="str">
        <f t="shared" si="4"/>
        <v>QtrStart</v>
      </c>
      <c r="C81" s="56" t="s">
        <v>255</v>
      </c>
      <c r="F81" s="1">
        <v>38068</v>
      </c>
      <c r="G81" s="1">
        <v>38095</v>
      </c>
      <c r="H81" t="s">
        <v>82</v>
      </c>
      <c r="I81" t="s">
        <v>12</v>
      </c>
      <c r="J81" t="s">
        <v>17</v>
      </c>
      <c r="L81" t="s">
        <v>207</v>
      </c>
      <c r="M81" s="17" t="str">
        <f t="shared" si="5"/>
        <v>QtrStart</v>
      </c>
      <c r="N81" s="18" t="str">
        <f t="shared" si="6"/>
        <v>P</v>
      </c>
      <c r="O81" s="3" t="str">
        <f t="shared" si="7"/>
        <v>Dec 29 2003</v>
      </c>
      <c r="Q81" s="107" t="s">
        <v>548</v>
      </c>
      <c r="R81" s="98" t="s">
        <v>549</v>
      </c>
      <c r="S81" s="102" t="s">
        <v>550</v>
      </c>
      <c r="T81" s="100" t="s">
        <v>551</v>
      </c>
      <c r="U81" s="107" t="s">
        <v>552</v>
      </c>
      <c r="V81" s="101" t="s">
        <v>553</v>
      </c>
      <c r="W81" s="101" t="s">
        <v>554</v>
      </c>
      <c r="X81" s="107" t="s">
        <v>555</v>
      </c>
      <c r="Y81" s="101" t="s">
        <v>556</v>
      </c>
      <c r="Z81" s="101" t="s">
        <v>557</v>
      </c>
      <c r="AA81" s="107" t="s">
        <v>558</v>
      </c>
      <c r="AB81" s="101" t="s">
        <v>559</v>
      </c>
      <c r="AC81" s="101" t="s">
        <v>560</v>
      </c>
    </row>
    <row r="82" spans="1:29" ht="15.75" x14ac:dyDescent="0.25">
      <c r="A82" s="1">
        <v>42965</v>
      </c>
      <c r="B82" s="56" t="str">
        <f t="shared" si="4"/>
        <v>QtrStart</v>
      </c>
      <c r="C82" s="56" t="s">
        <v>255</v>
      </c>
      <c r="F82" s="1">
        <v>42954</v>
      </c>
      <c r="G82" s="1">
        <v>42981</v>
      </c>
      <c r="H82" t="s">
        <v>70</v>
      </c>
      <c r="I82" t="s">
        <v>141</v>
      </c>
      <c r="J82" t="s">
        <v>54</v>
      </c>
      <c r="L82" t="s">
        <v>608</v>
      </c>
      <c r="M82" s="17" t="str">
        <f t="shared" si="5"/>
        <v>QtrStart</v>
      </c>
      <c r="N82" s="18" t="str">
        <f t="shared" si="6"/>
        <v>P</v>
      </c>
      <c r="O82" s="3" t="str">
        <f t="shared" si="7"/>
        <v>Jul 10 2017</v>
      </c>
      <c r="Q82" s="107" t="s">
        <v>314</v>
      </c>
      <c r="R82" s="98" t="s">
        <v>315</v>
      </c>
      <c r="S82" s="102" t="s">
        <v>316</v>
      </c>
      <c r="T82" s="100" t="s">
        <v>317</v>
      </c>
      <c r="U82" s="107" t="s">
        <v>318</v>
      </c>
      <c r="V82" s="101" t="s">
        <v>319</v>
      </c>
      <c r="W82" s="101" t="s">
        <v>320</v>
      </c>
      <c r="X82" s="107" t="s">
        <v>321</v>
      </c>
      <c r="Y82" s="101" t="s">
        <v>322</v>
      </c>
      <c r="Z82" s="101" t="s">
        <v>323</v>
      </c>
      <c r="AA82" s="107" t="s">
        <v>324</v>
      </c>
      <c r="AB82" s="101" t="s">
        <v>325</v>
      </c>
      <c r="AC82" s="101" t="s">
        <v>326</v>
      </c>
    </row>
    <row r="83" spans="1:29" ht="15.75" x14ac:dyDescent="0.25">
      <c r="A83" s="1">
        <v>40487</v>
      </c>
      <c r="B83" s="56" t="str">
        <f t="shared" si="4"/>
        <v>QtrStart</v>
      </c>
      <c r="C83" s="56" t="s">
        <v>255</v>
      </c>
      <c r="F83" s="1">
        <v>40483</v>
      </c>
      <c r="G83" s="1">
        <v>40510</v>
      </c>
      <c r="H83" t="s">
        <v>90</v>
      </c>
      <c r="I83" t="s">
        <v>13</v>
      </c>
      <c r="J83" t="s">
        <v>12</v>
      </c>
      <c r="L83" t="s">
        <v>201</v>
      </c>
      <c r="M83" s="17" t="str">
        <f t="shared" si="5"/>
        <v>QtrStart</v>
      </c>
      <c r="N83" s="18" t="str">
        <f t="shared" si="6"/>
        <v>P</v>
      </c>
      <c r="O83" s="3" t="str">
        <f t="shared" si="7"/>
        <v>Oct  4 2010</v>
      </c>
      <c r="Q83" s="107" t="s">
        <v>509</v>
      </c>
      <c r="R83" s="98" t="s">
        <v>510</v>
      </c>
      <c r="S83" s="102" t="s">
        <v>511</v>
      </c>
      <c r="T83" s="100" t="s">
        <v>512</v>
      </c>
      <c r="U83" s="107" t="s">
        <v>513</v>
      </c>
      <c r="V83" s="101" t="s">
        <v>514</v>
      </c>
      <c r="W83" s="101" t="s">
        <v>515</v>
      </c>
      <c r="X83" s="107" t="s">
        <v>516</v>
      </c>
      <c r="Y83" s="101" t="s">
        <v>517</v>
      </c>
      <c r="Z83" s="101" t="s">
        <v>518</v>
      </c>
      <c r="AA83" s="107" t="s">
        <v>519</v>
      </c>
      <c r="AB83" s="101" t="s">
        <v>520</v>
      </c>
      <c r="AC83" s="101" t="s">
        <v>521</v>
      </c>
    </row>
    <row r="84" spans="1:29" ht="15.75" x14ac:dyDescent="0.25">
      <c r="A84" s="1">
        <v>46324</v>
      </c>
      <c r="B84" s="56" t="str">
        <f t="shared" si="4"/>
        <v>QtrStart</v>
      </c>
      <c r="C84" s="56" t="s">
        <v>255</v>
      </c>
      <c r="F84" s="1">
        <v>46300</v>
      </c>
      <c r="G84" s="1">
        <v>46327</v>
      </c>
      <c r="H84" t="s">
        <v>99</v>
      </c>
      <c r="I84" t="s">
        <v>150</v>
      </c>
      <c r="J84" t="s">
        <v>12</v>
      </c>
      <c r="L84" t="s">
        <v>605</v>
      </c>
      <c r="M84" s="17" t="str">
        <f t="shared" si="5"/>
        <v>QtrStart</v>
      </c>
      <c r="N84" s="18" t="str">
        <f t="shared" si="6"/>
        <v>P</v>
      </c>
      <c r="O84" s="3" t="str">
        <f t="shared" si="7"/>
        <v>Jul 13 2026</v>
      </c>
      <c r="Q84" s="107" t="s">
        <v>535</v>
      </c>
      <c r="R84" s="98" t="s">
        <v>536</v>
      </c>
      <c r="S84" s="102" t="s">
        <v>537</v>
      </c>
      <c r="T84" s="100" t="s">
        <v>538</v>
      </c>
      <c r="U84" s="107" t="s">
        <v>539</v>
      </c>
      <c r="V84" s="101" t="s">
        <v>540</v>
      </c>
      <c r="W84" s="101" t="s">
        <v>541</v>
      </c>
      <c r="X84" s="107" t="s">
        <v>542</v>
      </c>
      <c r="Y84" s="101" t="s">
        <v>543</v>
      </c>
      <c r="Z84" s="101" t="s">
        <v>544</v>
      </c>
      <c r="AA84" s="107" t="s">
        <v>545</v>
      </c>
      <c r="AB84" s="101" t="s">
        <v>546</v>
      </c>
      <c r="AC84" s="101" t="s">
        <v>547</v>
      </c>
    </row>
    <row r="85" spans="1:29" ht="15.75" x14ac:dyDescent="0.25">
      <c r="A85" s="1">
        <v>45178</v>
      </c>
      <c r="B85" s="56" t="str">
        <f t="shared" si="4"/>
        <v>QtrStart</v>
      </c>
      <c r="C85" s="56" t="s">
        <v>255</v>
      </c>
      <c r="F85" s="1">
        <v>45173</v>
      </c>
      <c r="G85" s="1">
        <v>45200</v>
      </c>
      <c r="H85" t="s">
        <v>96</v>
      </c>
      <c r="I85" t="s">
        <v>144</v>
      </c>
      <c r="J85" t="s">
        <v>54</v>
      </c>
      <c r="L85" t="s">
        <v>609</v>
      </c>
      <c r="M85" s="17" t="str">
        <f t="shared" si="5"/>
        <v>QtrStart</v>
      </c>
      <c r="N85" s="18" t="str">
        <f t="shared" si="6"/>
        <v>P</v>
      </c>
      <c r="O85" s="3" t="str">
        <f t="shared" si="7"/>
        <v>Jul 10 2023</v>
      </c>
      <c r="Q85" s="107" t="s">
        <v>561</v>
      </c>
      <c r="R85" s="98" t="s">
        <v>562</v>
      </c>
      <c r="S85" s="102" t="s">
        <v>563</v>
      </c>
      <c r="T85" s="100" t="s">
        <v>564</v>
      </c>
      <c r="U85" s="107" t="s">
        <v>565</v>
      </c>
      <c r="V85" s="101" t="s">
        <v>566</v>
      </c>
      <c r="W85" s="101" t="s">
        <v>567</v>
      </c>
      <c r="X85" s="107" t="s">
        <v>568</v>
      </c>
      <c r="Y85" s="101" t="s">
        <v>569</v>
      </c>
      <c r="Z85" s="101" t="s">
        <v>570</v>
      </c>
      <c r="AA85" s="107" t="s">
        <v>571</v>
      </c>
      <c r="AB85" s="101" t="s">
        <v>572</v>
      </c>
      <c r="AC85" s="101" t="s">
        <v>573</v>
      </c>
    </row>
    <row r="86" spans="1:29" ht="15.75" x14ac:dyDescent="0.25">
      <c r="A86" s="1">
        <v>42760</v>
      </c>
      <c r="B86" s="56" t="str">
        <f t="shared" si="4"/>
        <v>QtrStart</v>
      </c>
      <c r="C86" s="56" t="s">
        <v>255</v>
      </c>
      <c r="F86" s="1">
        <v>42758</v>
      </c>
      <c r="G86" s="1">
        <v>42785</v>
      </c>
      <c r="H86" t="s">
        <v>70</v>
      </c>
      <c r="I86" t="s">
        <v>143</v>
      </c>
      <c r="J86" t="s">
        <v>17</v>
      </c>
      <c r="L86" t="s">
        <v>591</v>
      </c>
      <c r="M86" s="17" t="str">
        <f t="shared" si="5"/>
        <v>QtrStart</v>
      </c>
      <c r="N86" s="18" t="str">
        <f t="shared" si="6"/>
        <v>P</v>
      </c>
      <c r="O86" s="3" t="str">
        <f t="shared" si="7"/>
        <v>Dec 26 2016</v>
      </c>
      <c r="Q86" s="107" t="s">
        <v>314</v>
      </c>
      <c r="R86" s="98" t="s">
        <v>315</v>
      </c>
      <c r="S86" s="102" t="s">
        <v>316</v>
      </c>
      <c r="T86" s="100" t="s">
        <v>317</v>
      </c>
      <c r="U86" s="107" t="s">
        <v>318</v>
      </c>
      <c r="V86" s="101" t="s">
        <v>319</v>
      </c>
      <c r="W86" s="101" t="s">
        <v>320</v>
      </c>
      <c r="X86" s="107" t="s">
        <v>321</v>
      </c>
      <c r="Y86" s="101" t="s">
        <v>322</v>
      </c>
      <c r="Z86" s="101" t="s">
        <v>323</v>
      </c>
      <c r="AA86" s="107" t="s">
        <v>324</v>
      </c>
      <c r="AB86" s="101" t="s">
        <v>325</v>
      </c>
      <c r="AC86" s="101" t="s">
        <v>326</v>
      </c>
    </row>
    <row r="87" spans="1:29" ht="15.75" x14ac:dyDescent="0.25">
      <c r="A87" s="1"/>
      <c r="B87" s="56"/>
      <c r="C87" s="57"/>
      <c r="F87" s="1"/>
      <c r="G87" s="1"/>
      <c r="M87" s="17"/>
      <c r="N87" s="18"/>
      <c r="O87" s="3"/>
    </row>
    <row r="88" spans="1:29" ht="15.75" x14ac:dyDescent="0.25">
      <c r="A88" s="1"/>
      <c r="B88" s="56"/>
      <c r="C88" s="57"/>
      <c r="F88" s="1"/>
      <c r="G88" s="1"/>
      <c r="M88" s="17"/>
      <c r="N88" s="19"/>
      <c r="O88" s="3"/>
    </row>
    <row r="89" spans="1:29" ht="15.75" x14ac:dyDescent="0.25">
      <c r="A89" s="1"/>
      <c r="B89" s="56"/>
      <c r="C89" s="57"/>
      <c r="F89" s="1"/>
      <c r="G89" s="1"/>
      <c r="M89" s="17"/>
      <c r="N89" s="19"/>
      <c r="O89" s="3"/>
    </row>
    <row r="90" spans="1:29" ht="15.75" x14ac:dyDescent="0.25">
      <c r="A90" s="1"/>
      <c r="B90" s="56"/>
      <c r="C90" s="57"/>
      <c r="F90" s="1"/>
      <c r="G90" s="1"/>
      <c r="M90" s="17"/>
      <c r="N90" s="19"/>
      <c r="O90" s="3"/>
    </row>
    <row r="91" spans="1:29" ht="15.75" x14ac:dyDescent="0.25">
      <c r="A91" s="1"/>
      <c r="B91" s="56"/>
      <c r="C91" s="57"/>
      <c r="F91" s="1"/>
      <c r="G91" s="1"/>
      <c r="M91" s="17"/>
      <c r="N91" s="19"/>
      <c r="O91" s="3"/>
    </row>
    <row r="92" spans="1:29" ht="15.75" x14ac:dyDescent="0.25">
      <c r="A92" s="1"/>
      <c r="B92" s="56"/>
      <c r="C92" s="57"/>
      <c r="F92" s="1"/>
      <c r="G92" s="1"/>
      <c r="M92" s="17"/>
      <c r="N92" s="19"/>
      <c r="O92" s="3"/>
    </row>
    <row r="93" spans="1:29" ht="15.75" x14ac:dyDescent="0.25">
      <c r="A93" s="1"/>
      <c r="B93" s="56"/>
      <c r="C93" s="57"/>
      <c r="F93" s="1"/>
      <c r="G93" s="1"/>
      <c r="M93" s="17"/>
      <c r="N93" s="19"/>
      <c r="O93" s="3"/>
    </row>
    <row r="94" spans="1:29" ht="15.75" x14ac:dyDescent="0.25">
      <c r="A94" s="1"/>
      <c r="B94" s="56"/>
      <c r="C94" s="57"/>
      <c r="F94" s="1"/>
      <c r="G94" s="1"/>
      <c r="M94" s="17"/>
      <c r="N94" s="19"/>
      <c r="O94" s="3"/>
    </row>
    <row r="95" spans="1:29" ht="15.75" x14ac:dyDescent="0.25">
      <c r="A95" s="1"/>
      <c r="B95" s="56"/>
      <c r="C95" s="57"/>
      <c r="F95" s="1"/>
      <c r="G95" s="1"/>
      <c r="M95" s="17"/>
      <c r="N95" s="19"/>
      <c r="O95" s="3"/>
    </row>
    <row r="96" spans="1:29" ht="15.75" x14ac:dyDescent="0.25">
      <c r="A96" s="1"/>
      <c r="B96" s="56"/>
      <c r="C96" s="57"/>
      <c r="F96" s="1"/>
      <c r="G96" s="1"/>
      <c r="M96" s="17"/>
      <c r="N96" s="19"/>
      <c r="O96" s="3"/>
    </row>
    <row r="97" spans="1:15" ht="15.75" x14ac:dyDescent="0.25">
      <c r="A97" s="1"/>
      <c r="B97" s="56"/>
      <c r="C97" s="57"/>
      <c r="F97" s="1"/>
      <c r="G97" s="1"/>
      <c r="M97" s="17"/>
      <c r="N97" s="19"/>
      <c r="O97" s="3"/>
    </row>
    <row r="98" spans="1:15" ht="15.75" x14ac:dyDescent="0.25">
      <c r="A98" s="1"/>
      <c r="B98" s="56"/>
      <c r="C98" s="57"/>
      <c r="F98" s="1"/>
      <c r="G98" s="1"/>
      <c r="M98" s="17"/>
      <c r="N98" s="19"/>
      <c r="O98" s="3"/>
    </row>
    <row r="99" spans="1:15" ht="15.75" x14ac:dyDescent="0.25">
      <c r="A99" s="1"/>
      <c r="B99" s="56"/>
      <c r="C99" s="57"/>
      <c r="F99" s="1"/>
      <c r="G99" s="1"/>
      <c r="M99" s="17"/>
      <c r="N99" s="19"/>
      <c r="O99" s="3"/>
    </row>
    <row r="100" spans="1:15" x14ac:dyDescent="0.25">
      <c r="A100" s="1"/>
      <c r="B100" s="3"/>
      <c r="F100" s="1"/>
      <c r="G100" s="1"/>
      <c r="M100" s="1"/>
    </row>
    <row r="101" spans="1:15" x14ac:dyDescent="0.25">
      <c r="A101" s="1"/>
      <c r="B101" s="3"/>
      <c r="F101" s="1"/>
      <c r="G101" s="1"/>
      <c r="M101" s="1"/>
    </row>
    <row r="102" spans="1:15" x14ac:dyDescent="0.25">
      <c r="A102" s="1"/>
      <c r="B102" s="3"/>
      <c r="F102" s="1"/>
      <c r="G102" s="1"/>
      <c r="M102" s="1"/>
    </row>
    <row r="103" spans="1:15" x14ac:dyDescent="0.25">
      <c r="A103" s="1"/>
      <c r="B103" s="3"/>
      <c r="F103" s="1"/>
      <c r="G103" s="1"/>
      <c r="M103" s="1"/>
    </row>
    <row r="104" spans="1:15" x14ac:dyDescent="0.25">
      <c r="A104" s="1"/>
      <c r="B104" s="3"/>
      <c r="F104" s="1"/>
      <c r="G104" s="1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5">
    <mergeCell ref="A5:D5"/>
    <mergeCell ref="F5:J5"/>
    <mergeCell ref="L5:O5"/>
    <mergeCell ref="Q5:AC5"/>
    <mergeCell ref="Q6:AC6"/>
  </mergeCells>
  <conditionalFormatting sqref="N8:N99">
    <cfRule type="cellIs" dxfId="20" priority="3" operator="equal">
      <formula>"F"</formula>
    </cfRule>
  </conditionalFormatting>
  <conditionalFormatting sqref="S8:S86">
    <cfRule type="cellIs" dxfId="19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48129" r:id="rId4" name="ExecuteQueries"/>
      </mc:Fallback>
    </mc:AlternateContent>
    <mc:AlternateContent xmlns:mc="http://schemas.openxmlformats.org/markup-compatibility/2006">
      <mc:Choice Requires="x14">
        <control shapeId="48130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400050</xdr:colOff>
                <xdr:row>2</xdr:row>
                <xdr:rowOff>104775</xdr:rowOff>
              </to>
            </anchor>
          </controlPr>
        </control>
      </mc:Choice>
      <mc:Fallback>
        <control shapeId="48130" r:id="rId6" name="ClearBt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C000"/>
  </sheetPr>
  <dimension ref="A1:CT412"/>
  <sheetViews>
    <sheetView topLeftCell="H1" workbookViewId="0">
      <selection activeCell="N23" sqref="N23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0.5703125" customWidth="1"/>
    <col min="4" max="4" width="6.7109375" customWidth="1"/>
    <col min="5" max="5" width="5" style="2" customWidth="1"/>
    <col min="6" max="7" width="10.7109375" bestFit="1" customWidth="1"/>
    <col min="8" max="8" width="11.85546875" customWidth="1"/>
    <col min="9" max="9" width="9.140625" customWidth="1"/>
    <col min="10" max="10" width="10.42578125" customWidth="1"/>
    <col min="11" max="11" width="17.28515625" style="52" customWidth="1"/>
    <col min="12" max="12" width="19.7109375" bestFit="1" customWidth="1"/>
    <col min="13" max="13" width="10.7109375" customWidth="1"/>
    <col min="14" max="14" width="8.28515625" customWidth="1"/>
    <col min="15" max="15" width="15.7109375" style="127" bestFit="1" customWidth="1"/>
    <col min="16" max="16" width="13.5703125" style="127" bestFit="1" customWidth="1"/>
    <col min="17" max="17" width="6.7109375" customWidth="1"/>
    <col min="18" max="18" width="15.140625" customWidth="1"/>
    <col min="19" max="19" width="10.7109375" bestFit="1" customWidth="1"/>
    <col min="20" max="20" width="12.28515625" bestFit="1" customWidth="1"/>
    <col min="21" max="21" width="11.28515625" bestFit="1" customWidth="1"/>
    <col min="22" max="22" width="16.28515625" style="127" customWidth="1"/>
    <col min="23" max="23" width="11" bestFit="1" customWidth="1"/>
    <col min="24" max="24" width="11.5703125" bestFit="1" customWidth="1"/>
    <col min="25" max="25" width="10.85546875" bestFit="1" customWidth="1"/>
    <col min="26" max="26" width="10.85546875" style="127" customWidth="1"/>
    <col min="27" max="27" width="10.28515625" bestFit="1" customWidth="1"/>
    <col min="28" max="28" width="11.28515625" bestFit="1" customWidth="1"/>
    <col min="29" max="29" width="11.140625" bestFit="1" customWidth="1"/>
    <col min="30" max="30" width="11.140625" style="127" customWidth="1"/>
    <col min="31" max="31" width="10.28515625" bestFit="1" customWidth="1"/>
    <col min="32" max="32" width="10.85546875" bestFit="1" customWidth="1"/>
    <col min="33" max="33" width="11.42578125" bestFit="1" customWidth="1"/>
    <col min="34" max="34" width="19.85546875" bestFit="1" customWidth="1"/>
    <col min="36" max="36" width="10.7109375" bestFit="1" customWidth="1"/>
    <col min="37" max="39" width="9.7109375" bestFit="1" customWidth="1"/>
    <col min="40" max="40" width="9.7109375" style="5" bestFit="1" customWidth="1"/>
    <col min="41" max="43" width="9.7109375" bestFit="1" customWidth="1"/>
    <col min="44" max="44" width="9.7109375" style="5" bestFit="1" customWidth="1"/>
    <col min="48" max="48" width="9.7109375" style="5" bestFit="1" customWidth="1"/>
    <col min="57" max="57" width="9.7109375" style="5" bestFit="1" customWidth="1"/>
    <col min="61" max="61" width="9.7109375" style="5" bestFit="1" customWidth="1"/>
    <col min="65" max="65" width="9.7109375" style="5" bestFit="1" customWidth="1"/>
  </cols>
  <sheetData>
    <row r="1" spans="1:98" x14ac:dyDescent="0.25">
      <c r="E1"/>
      <c r="K1"/>
      <c r="L1" t="s">
        <v>187</v>
      </c>
      <c r="M1" t="s">
        <v>662</v>
      </c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7"/>
      <c r="CG1" s="127"/>
      <c r="CH1" s="127"/>
      <c r="CI1" s="127"/>
    </row>
    <row r="2" spans="1:98" x14ac:dyDescent="0.25">
      <c r="E2"/>
      <c r="H2" t="s">
        <v>20</v>
      </c>
      <c r="I2" s="5">
        <v>79</v>
      </c>
      <c r="K2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7"/>
    </row>
    <row r="3" spans="1:98" x14ac:dyDescent="0.25">
      <c r="E3"/>
      <c r="K3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27"/>
      <c r="CC3" s="127"/>
      <c r="CD3" s="127"/>
      <c r="CE3" s="127"/>
      <c r="CF3" s="127"/>
      <c r="CG3" s="127"/>
      <c r="CH3" s="127"/>
      <c r="CI3" s="127"/>
    </row>
    <row r="4" spans="1:98" s="2" customFormat="1" ht="15.75" thickBot="1" x14ac:dyDescent="0.3">
      <c r="K4" s="52"/>
      <c r="O4" s="128"/>
      <c r="P4" s="128"/>
      <c r="V4" s="128"/>
      <c r="Z4" s="128"/>
      <c r="AD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/>
      <c r="AX4" s="128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8"/>
      <c r="CC4" s="128"/>
      <c r="CD4" s="128"/>
      <c r="CE4" s="128"/>
      <c r="CF4" s="128"/>
      <c r="CG4" s="128"/>
      <c r="CH4" s="128"/>
      <c r="CI4" s="128"/>
    </row>
    <row r="5" spans="1:98" ht="15.75" thickBot="1" x14ac:dyDescent="0.3">
      <c r="A5" s="155" t="s">
        <v>1</v>
      </c>
      <c r="B5" s="155"/>
      <c r="C5" s="155"/>
      <c r="D5" s="93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0"/>
      <c r="Q5" s="160"/>
      <c r="R5" s="162" t="s">
        <v>10</v>
      </c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J5" s="127"/>
      <c r="AK5" s="127"/>
      <c r="AL5" s="127"/>
      <c r="AM5" s="127"/>
      <c r="AN5" s="127"/>
      <c r="AO5" s="127"/>
      <c r="AP5" s="127"/>
      <c r="AQ5" s="127"/>
      <c r="AR5" s="127"/>
      <c r="AS5" s="127"/>
      <c r="AT5" s="127"/>
      <c r="AU5" s="127"/>
      <c r="AV5" s="127"/>
      <c r="AW5" s="127"/>
      <c r="AX5" s="127"/>
      <c r="AY5" s="127"/>
      <c r="AZ5" s="127"/>
      <c r="BA5" s="127"/>
      <c r="BB5" s="127"/>
      <c r="BC5" s="127"/>
      <c r="BD5" s="127"/>
      <c r="BE5" s="127"/>
      <c r="BF5" s="127"/>
      <c r="BG5" s="127"/>
      <c r="BH5" s="127"/>
      <c r="BI5" s="127"/>
      <c r="BJ5" s="127"/>
      <c r="BK5" s="127"/>
      <c r="BL5" s="127"/>
      <c r="BM5" s="127"/>
      <c r="BN5" s="127"/>
      <c r="BO5" s="127"/>
      <c r="BP5" s="127"/>
      <c r="BQ5" s="127"/>
      <c r="BR5" s="127"/>
      <c r="BS5" s="127"/>
      <c r="BT5" s="127"/>
      <c r="BU5" s="127"/>
      <c r="BV5" s="127"/>
      <c r="BW5" s="127"/>
      <c r="BX5" s="127"/>
      <c r="BY5" s="127"/>
      <c r="BZ5" s="127"/>
      <c r="CA5" s="127"/>
      <c r="CB5" s="127"/>
      <c r="CC5" s="127"/>
      <c r="CD5" s="127"/>
      <c r="CE5" s="127"/>
      <c r="CF5" s="127"/>
      <c r="CG5" s="127"/>
      <c r="CH5" s="127"/>
      <c r="CI5" s="127"/>
    </row>
    <row r="6" spans="1:98" s="4" customFormat="1" x14ac:dyDescent="0.25">
      <c r="A6" s="7" t="s">
        <v>2</v>
      </c>
      <c r="B6" s="8" t="s">
        <v>9</v>
      </c>
      <c r="C6" s="9"/>
      <c r="D6" s="126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52"/>
      <c r="L6" s="11" t="s">
        <v>11</v>
      </c>
      <c r="M6" s="13" t="s">
        <v>18</v>
      </c>
      <c r="N6" s="14" t="s">
        <v>49</v>
      </c>
      <c r="O6" s="151" t="s">
        <v>1286</v>
      </c>
      <c r="P6" s="151" t="s">
        <v>1286</v>
      </c>
      <c r="Q6" s="12"/>
      <c r="R6" s="164" t="s">
        <v>574</v>
      </c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129"/>
      <c r="BH6" s="129"/>
      <c r="BI6" s="129"/>
      <c r="BJ6" s="129"/>
      <c r="BK6" s="129"/>
      <c r="BL6" s="129"/>
      <c r="BM6" s="129"/>
      <c r="BN6" s="129"/>
      <c r="BO6" s="129"/>
      <c r="BP6" s="129"/>
      <c r="BQ6" s="129"/>
      <c r="BR6" s="129"/>
      <c r="BS6" s="129"/>
      <c r="BT6" s="129"/>
      <c r="BU6" s="129"/>
      <c r="BV6" s="129"/>
      <c r="BW6" s="129"/>
      <c r="BX6" s="129"/>
      <c r="BY6" s="129"/>
      <c r="BZ6" s="129"/>
      <c r="CA6" s="129"/>
      <c r="CB6" s="129"/>
      <c r="CC6" s="129"/>
      <c r="CD6" s="129"/>
      <c r="CE6" s="129"/>
      <c r="CF6" s="129"/>
      <c r="CG6" s="129"/>
      <c r="CH6" s="129"/>
      <c r="CI6" s="129"/>
    </row>
    <row r="7" spans="1:98" s="2" customFormat="1" x14ac:dyDescent="0.25">
      <c r="F7" s="6"/>
      <c r="G7" s="6"/>
      <c r="K7" s="52"/>
      <c r="M7" s="15"/>
      <c r="N7" s="16"/>
      <c r="O7" s="118"/>
      <c r="P7" s="118"/>
      <c r="R7" s="106" t="s">
        <v>584</v>
      </c>
      <c r="S7" s="106" t="s">
        <v>575</v>
      </c>
      <c r="T7" s="106" t="s">
        <v>576</v>
      </c>
      <c r="U7" s="106" t="s">
        <v>577</v>
      </c>
      <c r="V7" s="136" t="s">
        <v>1283</v>
      </c>
      <c r="W7" s="106" t="s">
        <v>585</v>
      </c>
      <c r="X7" s="106" t="s">
        <v>578</v>
      </c>
      <c r="Y7" s="106" t="s">
        <v>579</v>
      </c>
      <c r="Z7" s="136" t="s">
        <v>1284</v>
      </c>
      <c r="AA7" s="106" t="s">
        <v>587</v>
      </c>
      <c r="AB7" s="106" t="s">
        <v>580</v>
      </c>
      <c r="AC7" s="106" t="s">
        <v>581</v>
      </c>
      <c r="AD7" s="136" t="s">
        <v>1285</v>
      </c>
      <c r="AE7" s="106" t="s">
        <v>586</v>
      </c>
      <c r="AF7" s="106" t="s">
        <v>582</v>
      </c>
      <c r="AG7" s="106" t="s">
        <v>583</v>
      </c>
      <c r="AH7" s="2" t="s">
        <v>693</v>
      </c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</row>
    <row r="8" spans="1:98" ht="15.75" x14ac:dyDescent="0.25">
      <c r="A8" s="50">
        <v>41274</v>
      </c>
      <c r="B8" s="56" t="str">
        <f t="shared" ref="B8:B39" si="0">$M$1</f>
        <v>Qtrend</v>
      </c>
      <c r="C8" s="56"/>
      <c r="D8" s="57"/>
      <c r="F8" s="1">
        <v>41274</v>
      </c>
      <c r="G8" s="1">
        <v>41301</v>
      </c>
      <c r="H8" s="1" t="s">
        <v>67</v>
      </c>
      <c r="I8" t="s">
        <v>17</v>
      </c>
      <c r="J8" t="s">
        <v>17</v>
      </c>
      <c r="L8" t="s">
        <v>663</v>
      </c>
      <c r="M8" s="17" t="str">
        <f>B8</f>
        <v>Qtrend</v>
      </c>
      <c r="N8" s="18" t="str">
        <f>IF(MATCH(P8,R8:AH8,0), "P", "F")</f>
        <v>P</v>
      </c>
      <c r="O8" s="152" t="str">
        <f>DateToNum(L8)</f>
        <v>4/21/2013</v>
      </c>
      <c r="P8" s="119" t="str">
        <f>DateToLetter(O8)</f>
        <v>Apr 21 2013</v>
      </c>
      <c r="Q8" s="3"/>
      <c r="R8" s="97" t="s">
        <v>275</v>
      </c>
      <c r="S8" s="103" t="s">
        <v>276</v>
      </c>
      <c r="T8" s="104" t="s">
        <v>277</v>
      </c>
      <c r="U8" s="105" t="s">
        <v>278</v>
      </c>
      <c r="V8" s="154" t="str">
        <f>DateToLetter(AJ8)</f>
        <v>Apr 21 2013</v>
      </c>
      <c r="W8" s="97" t="s">
        <v>279</v>
      </c>
      <c r="X8" s="97" t="s">
        <v>280</v>
      </c>
      <c r="Y8" s="97" t="s">
        <v>281</v>
      </c>
      <c r="Z8" s="97" t="str">
        <f>DateToLetter(AL8)</f>
        <v>Jul 14 2013</v>
      </c>
      <c r="AA8" s="97" t="s">
        <v>282</v>
      </c>
      <c r="AB8" s="97" t="s">
        <v>283</v>
      </c>
      <c r="AC8" s="97" t="s">
        <v>284</v>
      </c>
      <c r="AD8" s="97" t="str">
        <f>DateToLetter(AN8)</f>
        <v>Oct 6 2013</v>
      </c>
      <c r="AE8" s="97" t="s">
        <v>285</v>
      </c>
      <c r="AF8" s="97" t="s">
        <v>286</v>
      </c>
      <c r="AG8" s="97" t="s">
        <v>287</v>
      </c>
      <c r="AH8" s="130" t="s">
        <v>712</v>
      </c>
      <c r="AI8" s="95"/>
      <c r="AJ8" s="154">
        <f>DateToNum(W8) - 1</f>
        <v>41385</v>
      </c>
      <c r="AK8" s="95"/>
      <c r="AL8" s="153">
        <f>DateToNum(AA8) - 1</f>
        <v>41469</v>
      </c>
      <c r="AM8" s="95"/>
      <c r="AN8" s="153">
        <f>DateToNum(AE8) - 1</f>
        <v>41553</v>
      </c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</row>
    <row r="9" spans="1:98" ht="15.75" x14ac:dyDescent="0.25">
      <c r="A9" s="50">
        <v>41638</v>
      </c>
      <c r="B9" s="56" t="str">
        <f t="shared" si="0"/>
        <v>Qtrend</v>
      </c>
      <c r="C9" s="56"/>
      <c r="D9" s="57"/>
      <c r="F9" s="1">
        <v>41638</v>
      </c>
      <c r="G9" s="1">
        <v>41665</v>
      </c>
      <c r="H9" s="1" t="s">
        <v>92</v>
      </c>
      <c r="I9" t="s">
        <v>17</v>
      </c>
      <c r="J9" t="s">
        <v>17</v>
      </c>
      <c r="L9" t="s">
        <v>664</v>
      </c>
      <c r="M9" s="17" t="str">
        <f t="shared" ref="M9:M72" si="1">B9</f>
        <v>Qtrend</v>
      </c>
      <c r="N9" s="133" t="str">
        <f t="shared" ref="N9:N72" si="2">IF(MATCH(P9,R9:AH9,0), "P", "F")</f>
        <v>P</v>
      </c>
      <c r="O9" s="152" t="str">
        <f t="shared" ref="O9:O72" si="3">DateToNum(L9)</f>
        <v>4/20/2014</v>
      </c>
      <c r="P9" s="119" t="str">
        <f t="shared" ref="P9:P72" si="4">DateToLetter(O9)</f>
        <v>Apr 20 2014</v>
      </c>
      <c r="Q9" s="3"/>
      <c r="R9" s="97" t="s">
        <v>288</v>
      </c>
      <c r="S9" s="103" t="s">
        <v>289</v>
      </c>
      <c r="T9" s="104" t="s">
        <v>290</v>
      </c>
      <c r="U9" s="105" t="s">
        <v>291</v>
      </c>
      <c r="V9" s="154" t="str">
        <f t="shared" ref="V9:V72" si="5">DateToLetter(AJ9)</f>
        <v>Apr 20 2014</v>
      </c>
      <c r="W9" s="97" t="s">
        <v>292</v>
      </c>
      <c r="X9" s="97" t="s">
        <v>293</v>
      </c>
      <c r="Y9" s="97" t="s">
        <v>294</v>
      </c>
      <c r="Z9" s="97" t="str">
        <f t="shared" ref="Z9:Z72" si="6">DateToLetter(AL9)</f>
        <v>Jul 13 2014</v>
      </c>
      <c r="AA9" s="97" t="s">
        <v>295</v>
      </c>
      <c r="AB9" s="97" t="s">
        <v>296</v>
      </c>
      <c r="AC9" s="97" t="s">
        <v>297</v>
      </c>
      <c r="AD9" s="97" t="str">
        <f t="shared" ref="AD9:AD72" si="7">DateToLetter(AN9)</f>
        <v>Oct 5 2014</v>
      </c>
      <c r="AE9" s="97" t="s">
        <v>298</v>
      </c>
      <c r="AF9" s="97" t="s">
        <v>299</v>
      </c>
      <c r="AG9" s="97" t="s">
        <v>300</v>
      </c>
      <c r="AH9" s="130" t="s">
        <v>713</v>
      </c>
      <c r="AI9" s="95"/>
      <c r="AJ9" s="154">
        <f t="shared" ref="AJ9:AJ72" si="8">DateToNum(W9) - 1</f>
        <v>41749</v>
      </c>
      <c r="AK9" s="95"/>
      <c r="AL9" s="153">
        <f t="shared" ref="AL9:AL72" si="9">DateToNum(AA9) - 1</f>
        <v>41833</v>
      </c>
      <c r="AM9" s="95"/>
      <c r="AN9" s="153">
        <f t="shared" ref="AN9:AN72" si="10">DateToNum(AE9) - 1</f>
        <v>41917</v>
      </c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</row>
    <row r="10" spans="1:98" ht="15.75" x14ac:dyDescent="0.25">
      <c r="A10" s="50">
        <v>42368</v>
      </c>
      <c r="B10" s="56" t="str">
        <f t="shared" si="0"/>
        <v>Qtrend</v>
      </c>
      <c r="C10" s="56"/>
      <c r="D10" s="57"/>
      <c r="F10" s="1">
        <v>42366</v>
      </c>
      <c r="G10" s="1">
        <v>42393</v>
      </c>
      <c r="H10" s="1" t="s">
        <v>16</v>
      </c>
      <c r="I10" t="s">
        <v>17</v>
      </c>
      <c r="J10" t="s">
        <v>17</v>
      </c>
      <c r="L10" t="s">
        <v>235</v>
      </c>
      <c r="M10" s="17" t="str">
        <f t="shared" si="1"/>
        <v>Qtrend</v>
      </c>
      <c r="N10" s="133" t="str">
        <f t="shared" si="2"/>
        <v>P</v>
      </c>
      <c r="O10" s="152" t="str">
        <f t="shared" si="3"/>
        <v>4/17/2016</v>
      </c>
      <c r="P10" s="119" t="str">
        <f t="shared" si="4"/>
        <v>Apr 17 2016</v>
      </c>
      <c r="Q10" s="3"/>
      <c r="R10" s="97" t="s">
        <v>301</v>
      </c>
      <c r="S10" s="103" t="s">
        <v>302</v>
      </c>
      <c r="T10" s="104" t="s">
        <v>303</v>
      </c>
      <c r="U10" s="105" t="s">
        <v>304</v>
      </c>
      <c r="V10" s="154" t="str">
        <f t="shared" si="5"/>
        <v>Apr 17 2016</v>
      </c>
      <c r="W10" s="97" t="s">
        <v>305</v>
      </c>
      <c r="X10" s="97" t="s">
        <v>306</v>
      </c>
      <c r="Y10" s="97" t="s">
        <v>307</v>
      </c>
      <c r="Z10" s="97" t="str">
        <f t="shared" si="6"/>
        <v>Jul 10 2016</v>
      </c>
      <c r="AA10" s="97" t="s">
        <v>308</v>
      </c>
      <c r="AB10" s="97" t="s">
        <v>309</v>
      </c>
      <c r="AC10" s="97" t="s">
        <v>310</v>
      </c>
      <c r="AD10" s="97" t="str">
        <f t="shared" si="7"/>
        <v>Oct 2 2016</v>
      </c>
      <c r="AE10" s="97" t="s">
        <v>311</v>
      </c>
      <c r="AF10" s="97" t="s">
        <v>312</v>
      </c>
      <c r="AG10" s="97" t="s">
        <v>313</v>
      </c>
      <c r="AH10" s="130" t="s">
        <v>714</v>
      </c>
      <c r="AI10" s="95"/>
      <c r="AJ10" s="154">
        <f t="shared" si="8"/>
        <v>42477</v>
      </c>
      <c r="AK10" s="95"/>
      <c r="AL10" s="153">
        <f t="shared" si="9"/>
        <v>42561</v>
      </c>
      <c r="AM10" s="95"/>
      <c r="AN10" s="153">
        <f t="shared" si="10"/>
        <v>42645</v>
      </c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</row>
    <row r="11" spans="1:98" ht="15.75" x14ac:dyDescent="0.25">
      <c r="A11" s="50">
        <v>42369</v>
      </c>
      <c r="B11" s="56" t="str">
        <f t="shared" si="0"/>
        <v>Qtrend</v>
      </c>
      <c r="C11" s="56"/>
      <c r="D11" s="57"/>
      <c r="F11" s="1">
        <v>42366</v>
      </c>
      <c r="G11" s="1">
        <v>42393</v>
      </c>
      <c r="H11" s="1" t="s">
        <v>16</v>
      </c>
      <c r="I11" t="s">
        <v>17</v>
      </c>
      <c r="J11" t="s">
        <v>17</v>
      </c>
      <c r="L11" t="s">
        <v>235</v>
      </c>
      <c r="M11" s="17" t="str">
        <f t="shared" si="1"/>
        <v>Qtrend</v>
      </c>
      <c r="N11" s="133" t="str">
        <f t="shared" si="2"/>
        <v>P</v>
      </c>
      <c r="O11" s="152" t="str">
        <f t="shared" si="3"/>
        <v>4/17/2016</v>
      </c>
      <c r="P11" s="119" t="str">
        <f t="shared" si="4"/>
        <v>Apr 17 2016</v>
      </c>
      <c r="Q11" s="3"/>
      <c r="R11" s="97" t="s">
        <v>301</v>
      </c>
      <c r="S11" s="103" t="s">
        <v>302</v>
      </c>
      <c r="T11" s="104" t="s">
        <v>303</v>
      </c>
      <c r="U11" s="105" t="s">
        <v>304</v>
      </c>
      <c r="V11" s="154" t="str">
        <f t="shared" si="5"/>
        <v>Apr 17 2016</v>
      </c>
      <c r="W11" s="97" t="s">
        <v>305</v>
      </c>
      <c r="X11" s="97" t="s">
        <v>306</v>
      </c>
      <c r="Y11" s="97" t="s">
        <v>307</v>
      </c>
      <c r="Z11" s="97" t="str">
        <f t="shared" si="6"/>
        <v>Jul 10 2016</v>
      </c>
      <c r="AA11" s="97" t="s">
        <v>308</v>
      </c>
      <c r="AB11" s="97" t="s">
        <v>309</v>
      </c>
      <c r="AC11" s="97" t="s">
        <v>310</v>
      </c>
      <c r="AD11" s="97" t="str">
        <f t="shared" si="7"/>
        <v>Oct 2 2016</v>
      </c>
      <c r="AE11" s="97" t="s">
        <v>311</v>
      </c>
      <c r="AF11" s="97" t="s">
        <v>312</v>
      </c>
      <c r="AG11" s="97" t="s">
        <v>313</v>
      </c>
      <c r="AH11" s="130" t="s">
        <v>714</v>
      </c>
      <c r="AI11" s="95"/>
      <c r="AJ11" s="154">
        <f t="shared" si="8"/>
        <v>42477</v>
      </c>
      <c r="AK11" s="95"/>
      <c r="AL11" s="153">
        <f t="shared" si="9"/>
        <v>42561</v>
      </c>
      <c r="AM11" s="95"/>
      <c r="AN11" s="153">
        <f t="shared" si="10"/>
        <v>42645</v>
      </c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5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</row>
    <row r="12" spans="1:98" ht="15.75" x14ac:dyDescent="0.25">
      <c r="A12" s="30">
        <v>42491</v>
      </c>
      <c r="B12" s="56" t="str">
        <f t="shared" si="0"/>
        <v>Qtrend</v>
      </c>
      <c r="C12" s="56"/>
      <c r="D12" s="57"/>
      <c r="F12" s="1">
        <v>42478</v>
      </c>
      <c r="G12" s="1">
        <v>42505</v>
      </c>
      <c r="H12" s="1" t="s">
        <v>16</v>
      </c>
      <c r="I12" t="s">
        <v>142</v>
      </c>
      <c r="J12" t="s">
        <v>143</v>
      </c>
      <c r="L12" t="s">
        <v>236</v>
      </c>
      <c r="M12" s="17" t="str">
        <f t="shared" si="1"/>
        <v>Qtrend</v>
      </c>
      <c r="N12" s="133" t="str">
        <f t="shared" si="2"/>
        <v>P</v>
      </c>
      <c r="O12" s="152" t="str">
        <f t="shared" si="3"/>
        <v>7/10/2016</v>
      </c>
      <c r="P12" s="119" t="str">
        <f t="shared" si="4"/>
        <v>Jul 10 2016</v>
      </c>
      <c r="Q12" s="3"/>
      <c r="R12" s="107" t="s">
        <v>301</v>
      </c>
      <c r="S12" s="98" t="s">
        <v>302</v>
      </c>
      <c r="T12" s="99" t="s">
        <v>303</v>
      </c>
      <c r="U12" s="100" t="s">
        <v>304</v>
      </c>
      <c r="V12" s="154" t="str">
        <f t="shared" si="5"/>
        <v>Apr 17 2016</v>
      </c>
      <c r="W12" s="107" t="s">
        <v>305</v>
      </c>
      <c r="X12" s="101" t="s">
        <v>306</v>
      </c>
      <c r="Y12" s="101" t="s">
        <v>307</v>
      </c>
      <c r="Z12" s="97" t="str">
        <f t="shared" si="6"/>
        <v>Jul 10 2016</v>
      </c>
      <c r="AA12" s="107" t="s">
        <v>308</v>
      </c>
      <c r="AB12" s="101" t="s">
        <v>309</v>
      </c>
      <c r="AC12" s="101" t="s">
        <v>310</v>
      </c>
      <c r="AD12" s="97" t="str">
        <f t="shared" si="7"/>
        <v>Oct 2 2016</v>
      </c>
      <c r="AE12" s="107" t="s">
        <v>311</v>
      </c>
      <c r="AF12" s="101" t="s">
        <v>312</v>
      </c>
      <c r="AG12" s="108" t="s">
        <v>313</v>
      </c>
      <c r="AH12" s="130" t="s">
        <v>714</v>
      </c>
      <c r="AI12" s="95"/>
      <c r="AJ12" s="154">
        <f t="shared" si="8"/>
        <v>42477</v>
      </c>
      <c r="AK12" s="95"/>
      <c r="AL12" s="153">
        <f t="shared" si="9"/>
        <v>42561</v>
      </c>
      <c r="AM12" s="95"/>
      <c r="AN12" s="153">
        <f t="shared" si="10"/>
        <v>42645</v>
      </c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/>
      <c r="CG12" s="95"/>
      <c r="CH12" s="95"/>
      <c r="CI12" s="95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</row>
    <row r="13" spans="1:98" ht="15.75" x14ac:dyDescent="0.25">
      <c r="A13" s="30">
        <v>42860</v>
      </c>
      <c r="B13" s="56" t="str">
        <f t="shared" si="0"/>
        <v>Qtrend</v>
      </c>
      <c r="C13" s="56"/>
      <c r="D13" s="57"/>
      <c r="F13" s="1">
        <v>42842</v>
      </c>
      <c r="G13" s="1">
        <v>42869</v>
      </c>
      <c r="H13" s="1" t="s">
        <v>70</v>
      </c>
      <c r="I13" t="s">
        <v>142</v>
      </c>
      <c r="J13" t="s">
        <v>143</v>
      </c>
      <c r="L13" t="s">
        <v>181</v>
      </c>
      <c r="M13" s="17" t="str">
        <f t="shared" si="1"/>
        <v>Qtrend</v>
      </c>
      <c r="N13" s="133" t="str">
        <f t="shared" si="2"/>
        <v>P</v>
      </c>
      <c r="O13" s="152" t="str">
        <f t="shared" si="3"/>
        <v>7/9/2017</v>
      </c>
      <c r="P13" s="119" t="str">
        <f t="shared" si="4"/>
        <v>Jul 9 2017</v>
      </c>
      <c r="Q13" s="3"/>
      <c r="R13" s="107" t="s">
        <v>314</v>
      </c>
      <c r="S13" s="98" t="s">
        <v>315</v>
      </c>
      <c r="T13" s="99" t="s">
        <v>316</v>
      </c>
      <c r="U13" s="100" t="s">
        <v>317</v>
      </c>
      <c r="V13" s="154" t="str">
        <f t="shared" si="5"/>
        <v>Apr 16 2017</v>
      </c>
      <c r="W13" s="107" t="s">
        <v>318</v>
      </c>
      <c r="X13" s="101" t="s">
        <v>319</v>
      </c>
      <c r="Y13" s="101" t="s">
        <v>320</v>
      </c>
      <c r="Z13" s="97" t="str">
        <f t="shared" si="6"/>
        <v>Jul 9 2017</v>
      </c>
      <c r="AA13" s="107" t="s">
        <v>321</v>
      </c>
      <c r="AB13" s="101" t="s">
        <v>322</v>
      </c>
      <c r="AC13" s="101" t="s">
        <v>323</v>
      </c>
      <c r="AD13" s="97" t="str">
        <f t="shared" si="7"/>
        <v>Oct 1 2017</v>
      </c>
      <c r="AE13" s="107" t="s">
        <v>324</v>
      </c>
      <c r="AF13" s="101" t="s">
        <v>325</v>
      </c>
      <c r="AG13" s="108" t="s">
        <v>326</v>
      </c>
      <c r="AH13" s="130" t="s">
        <v>707</v>
      </c>
      <c r="AI13" s="95"/>
      <c r="AJ13" s="154">
        <f t="shared" si="8"/>
        <v>42841</v>
      </c>
      <c r="AK13" s="95"/>
      <c r="AL13" s="153">
        <f t="shared" si="9"/>
        <v>42925</v>
      </c>
      <c r="AM13" s="95"/>
      <c r="AN13" s="153">
        <f t="shared" si="10"/>
        <v>43009</v>
      </c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/>
      <c r="CG13" s="95"/>
      <c r="CH13" s="95"/>
      <c r="CI13" s="95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</row>
    <row r="14" spans="1:98" ht="15.75" x14ac:dyDescent="0.25">
      <c r="A14" s="55">
        <v>37953</v>
      </c>
      <c r="B14" s="56" t="str">
        <f t="shared" si="0"/>
        <v>Qtrend</v>
      </c>
      <c r="C14" s="56" t="s">
        <v>108</v>
      </c>
      <c r="D14" s="57"/>
      <c r="F14" s="1">
        <v>37928</v>
      </c>
      <c r="G14" s="1">
        <v>37955</v>
      </c>
      <c r="H14" s="1" t="s">
        <v>80</v>
      </c>
      <c r="I14" t="s">
        <v>13</v>
      </c>
      <c r="J14" t="s">
        <v>12</v>
      </c>
      <c r="L14" t="s">
        <v>116</v>
      </c>
      <c r="M14" s="17" t="str">
        <f t="shared" si="1"/>
        <v>Qtrend</v>
      </c>
      <c r="N14" s="133" t="str">
        <f t="shared" si="2"/>
        <v>P</v>
      </c>
      <c r="O14" s="152" t="str">
        <f t="shared" si="3"/>
        <v>12/28/2003</v>
      </c>
      <c r="P14" s="119" t="str">
        <f t="shared" si="4"/>
        <v>Dec 28 2003</v>
      </c>
      <c r="Q14" s="3"/>
      <c r="R14" s="107" t="s">
        <v>353</v>
      </c>
      <c r="S14" s="98" t="s">
        <v>354</v>
      </c>
      <c r="T14" s="99" t="s">
        <v>355</v>
      </c>
      <c r="U14" s="100" t="s">
        <v>356</v>
      </c>
      <c r="V14" s="154" t="str">
        <f t="shared" si="5"/>
        <v>Apr 20 2003</v>
      </c>
      <c r="W14" s="107" t="s">
        <v>357</v>
      </c>
      <c r="X14" s="101" t="s">
        <v>358</v>
      </c>
      <c r="Y14" s="101" t="s">
        <v>359</v>
      </c>
      <c r="Z14" s="97" t="str">
        <f t="shared" si="6"/>
        <v>Jul 13 2003</v>
      </c>
      <c r="AA14" s="107" t="s">
        <v>360</v>
      </c>
      <c r="AB14" s="101" t="s">
        <v>361</v>
      </c>
      <c r="AC14" s="101" t="s">
        <v>362</v>
      </c>
      <c r="AD14" s="97" t="str">
        <f t="shared" si="7"/>
        <v>Oct 5 2003</v>
      </c>
      <c r="AE14" s="107" t="s">
        <v>363</v>
      </c>
      <c r="AF14" s="101" t="s">
        <v>364</v>
      </c>
      <c r="AG14" s="108" t="s">
        <v>365</v>
      </c>
      <c r="AH14" s="130" t="s">
        <v>694</v>
      </c>
      <c r="AI14" s="95"/>
      <c r="AJ14" s="154">
        <f t="shared" si="8"/>
        <v>37731</v>
      </c>
      <c r="AK14" s="95"/>
      <c r="AL14" s="153">
        <f t="shared" si="9"/>
        <v>37815</v>
      </c>
      <c r="AM14" s="95"/>
      <c r="AN14" s="153">
        <f t="shared" si="10"/>
        <v>37899</v>
      </c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2"/>
      <c r="CK14" s="92"/>
      <c r="CL14" s="92"/>
      <c r="CM14" s="92"/>
      <c r="CN14" s="92"/>
      <c r="CO14" s="92"/>
      <c r="CP14" s="92"/>
      <c r="CQ14" s="92"/>
      <c r="CR14" s="92"/>
      <c r="CS14" s="92"/>
      <c r="CT14" s="92"/>
    </row>
    <row r="15" spans="1:98" ht="15.75" x14ac:dyDescent="0.25">
      <c r="A15" s="55">
        <v>37954</v>
      </c>
      <c r="B15" s="56" t="str">
        <f t="shared" si="0"/>
        <v>Qtrend</v>
      </c>
      <c r="C15" s="56" t="s">
        <v>108</v>
      </c>
      <c r="D15" s="57"/>
      <c r="F15" s="1">
        <v>37928</v>
      </c>
      <c r="G15" s="1">
        <v>37955</v>
      </c>
      <c r="H15" s="1" t="s">
        <v>80</v>
      </c>
      <c r="I15" t="s">
        <v>13</v>
      </c>
      <c r="J15" t="s">
        <v>12</v>
      </c>
      <c r="L15" t="s">
        <v>116</v>
      </c>
      <c r="M15" s="17" t="str">
        <f t="shared" si="1"/>
        <v>Qtrend</v>
      </c>
      <c r="N15" s="133" t="str">
        <f t="shared" si="2"/>
        <v>P</v>
      </c>
      <c r="O15" s="152" t="str">
        <f t="shared" si="3"/>
        <v>12/28/2003</v>
      </c>
      <c r="P15" s="119" t="str">
        <f t="shared" si="4"/>
        <v>Dec 28 2003</v>
      </c>
      <c r="Q15" s="3"/>
      <c r="R15" s="107" t="s">
        <v>353</v>
      </c>
      <c r="S15" s="98" t="s">
        <v>354</v>
      </c>
      <c r="T15" s="99" t="s">
        <v>355</v>
      </c>
      <c r="U15" s="100" t="s">
        <v>356</v>
      </c>
      <c r="V15" s="154" t="str">
        <f t="shared" si="5"/>
        <v>Apr 20 2003</v>
      </c>
      <c r="W15" s="107" t="s">
        <v>357</v>
      </c>
      <c r="X15" s="101" t="s">
        <v>358</v>
      </c>
      <c r="Y15" s="101" t="s">
        <v>359</v>
      </c>
      <c r="Z15" s="97" t="str">
        <f t="shared" si="6"/>
        <v>Jul 13 2003</v>
      </c>
      <c r="AA15" s="107" t="s">
        <v>360</v>
      </c>
      <c r="AB15" s="101" t="s">
        <v>361</v>
      </c>
      <c r="AC15" s="101" t="s">
        <v>362</v>
      </c>
      <c r="AD15" s="97" t="str">
        <f t="shared" si="7"/>
        <v>Oct 5 2003</v>
      </c>
      <c r="AE15" s="107" t="s">
        <v>363</v>
      </c>
      <c r="AF15" s="101" t="s">
        <v>364</v>
      </c>
      <c r="AG15" s="108" t="s">
        <v>365</v>
      </c>
      <c r="AH15" s="130" t="s">
        <v>694</v>
      </c>
      <c r="AI15" s="95"/>
      <c r="AJ15" s="154">
        <f t="shared" si="8"/>
        <v>37731</v>
      </c>
      <c r="AK15" s="95"/>
      <c r="AL15" s="153">
        <f t="shared" si="9"/>
        <v>37815</v>
      </c>
      <c r="AM15" s="95"/>
      <c r="AN15" s="153">
        <f t="shared" si="10"/>
        <v>37899</v>
      </c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</row>
    <row r="16" spans="1:98" ht="15.75" x14ac:dyDescent="0.25">
      <c r="A16" s="55">
        <v>37955</v>
      </c>
      <c r="B16" s="56" t="str">
        <f t="shared" si="0"/>
        <v>Qtrend</v>
      </c>
      <c r="C16" s="56" t="s">
        <v>108</v>
      </c>
      <c r="D16" s="57"/>
      <c r="F16" s="1">
        <v>37928</v>
      </c>
      <c r="G16" s="1">
        <v>37955</v>
      </c>
      <c r="H16" s="1" t="s">
        <v>80</v>
      </c>
      <c r="I16" t="s">
        <v>13</v>
      </c>
      <c r="J16" t="s">
        <v>12</v>
      </c>
      <c r="L16" t="s">
        <v>116</v>
      </c>
      <c r="M16" s="17" t="str">
        <f t="shared" si="1"/>
        <v>Qtrend</v>
      </c>
      <c r="N16" s="133" t="str">
        <f t="shared" si="2"/>
        <v>P</v>
      </c>
      <c r="O16" s="152" t="str">
        <f t="shared" si="3"/>
        <v>12/28/2003</v>
      </c>
      <c r="P16" s="119" t="str">
        <f t="shared" si="4"/>
        <v>Dec 28 2003</v>
      </c>
      <c r="Q16" s="3"/>
      <c r="R16" s="107" t="s">
        <v>353</v>
      </c>
      <c r="S16" s="98" t="s">
        <v>354</v>
      </c>
      <c r="T16" s="99" t="s">
        <v>355</v>
      </c>
      <c r="U16" s="100" t="s">
        <v>356</v>
      </c>
      <c r="V16" s="154" t="str">
        <f t="shared" si="5"/>
        <v>Apr 20 2003</v>
      </c>
      <c r="W16" s="107" t="s">
        <v>357</v>
      </c>
      <c r="X16" s="101" t="s">
        <v>358</v>
      </c>
      <c r="Y16" s="101" t="s">
        <v>359</v>
      </c>
      <c r="Z16" s="97" t="str">
        <f t="shared" si="6"/>
        <v>Jul 13 2003</v>
      </c>
      <c r="AA16" s="107" t="s">
        <v>360</v>
      </c>
      <c r="AB16" s="101" t="s">
        <v>361</v>
      </c>
      <c r="AC16" s="101" t="s">
        <v>362</v>
      </c>
      <c r="AD16" s="97" t="str">
        <f t="shared" si="7"/>
        <v>Oct 5 2003</v>
      </c>
      <c r="AE16" s="107" t="s">
        <v>363</v>
      </c>
      <c r="AF16" s="101" t="s">
        <v>364</v>
      </c>
      <c r="AG16" s="108" t="s">
        <v>365</v>
      </c>
      <c r="AH16" s="130" t="s">
        <v>694</v>
      </c>
      <c r="AI16" s="95"/>
      <c r="AJ16" s="154">
        <f t="shared" si="8"/>
        <v>37731</v>
      </c>
      <c r="AK16" s="95"/>
      <c r="AL16" s="153">
        <f t="shared" si="9"/>
        <v>37815</v>
      </c>
      <c r="AM16" s="95"/>
      <c r="AN16" s="153">
        <f t="shared" si="10"/>
        <v>37899</v>
      </c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</row>
    <row r="17" spans="1:98" ht="15.75" x14ac:dyDescent="0.25">
      <c r="A17" s="55">
        <v>37956</v>
      </c>
      <c r="B17" s="56" t="str">
        <f t="shared" si="0"/>
        <v>Qtrend</v>
      </c>
      <c r="C17" s="56" t="s">
        <v>108</v>
      </c>
      <c r="D17" s="57"/>
      <c r="F17" s="1">
        <v>37956</v>
      </c>
      <c r="G17" s="1">
        <v>37983</v>
      </c>
      <c r="H17" s="1" t="s">
        <v>80</v>
      </c>
      <c r="I17" t="s">
        <v>14</v>
      </c>
      <c r="J17" t="s">
        <v>12</v>
      </c>
      <c r="L17" t="s">
        <v>116</v>
      </c>
      <c r="M17" s="17" t="str">
        <f t="shared" si="1"/>
        <v>Qtrend</v>
      </c>
      <c r="N17" s="133" t="str">
        <f t="shared" si="2"/>
        <v>P</v>
      </c>
      <c r="O17" s="152" t="str">
        <f t="shared" si="3"/>
        <v>12/28/2003</v>
      </c>
      <c r="P17" s="119" t="str">
        <f t="shared" si="4"/>
        <v>Dec 28 2003</v>
      </c>
      <c r="Q17" s="3"/>
      <c r="R17" s="107" t="s">
        <v>353</v>
      </c>
      <c r="S17" s="98" t="s">
        <v>354</v>
      </c>
      <c r="T17" s="99" t="s">
        <v>355</v>
      </c>
      <c r="U17" s="100" t="s">
        <v>356</v>
      </c>
      <c r="V17" s="154" t="str">
        <f t="shared" si="5"/>
        <v>Apr 20 2003</v>
      </c>
      <c r="W17" s="107" t="s">
        <v>357</v>
      </c>
      <c r="X17" s="101" t="s">
        <v>358</v>
      </c>
      <c r="Y17" s="101" t="s">
        <v>359</v>
      </c>
      <c r="Z17" s="97" t="str">
        <f t="shared" si="6"/>
        <v>Jul 13 2003</v>
      </c>
      <c r="AA17" s="107" t="s">
        <v>360</v>
      </c>
      <c r="AB17" s="101" t="s">
        <v>361</v>
      </c>
      <c r="AC17" s="101" t="s">
        <v>362</v>
      </c>
      <c r="AD17" s="97" t="str">
        <f t="shared" si="7"/>
        <v>Oct 5 2003</v>
      </c>
      <c r="AE17" s="107" t="s">
        <v>363</v>
      </c>
      <c r="AF17" s="101" t="s">
        <v>364</v>
      </c>
      <c r="AG17" s="108" t="s">
        <v>365</v>
      </c>
      <c r="AH17" s="130" t="s">
        <v>694</v>
      </c>
      <c r="AI17" s="95"/>
      <c r="AJ17" s="154">
        <f t="shared" si="8"/>
        <v>37731</v>
      </c>
      <c r="AK17" s="95"/>
      <c r="AL17" s="153">
        <f t="shared" si="9"/>
        <v>37815</v>
      </c>
      <c r="AM17" s="95"/>
      <c r="AN17" s="153">
        <f t="shared" si="10"/>
        <v>37899</v>
      </c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2"/>
      <c r="CK17" s="92"/>
      <c r="CL17" s="92"/>
      <c r="CM17" s="92"/>
      <c r="CN17" s="92"/>
      <c r="CO17" s="92"/>
      <c r="CP17" s="92"/>
      <c r="CQ17" s="92"/>
      <c r="CR17" s="92"/>
      <c r="CS17" s="92"/>
      <c r="CT17" s="92"/>
    </row>
    <row r="18" spans="1:98" ht="15.75" x14ac:dyDescent="0.25">
      <c r="A18" s="55">
        <v>38320</v>
      </c>
      <c r="B18" s="56" t="str">
        <f t="shared" si="0"/>
        <v>Qtrend</v>
      </c>
      <c r="C18" s="56" t="s">
        <v>108</v>
      </c>
      <c r="D18" s="57"/>
      <c r="F18" s="1">
        <v>38320</v>
      </c>
      <c r="G18" s="1">
        <v>38347</v>
      </c>
      <c r="H18" s="1" t="s">
        <v>82</v>
      </c>
      <c r="I18" t="s">
        <v>14</v>
      </c>
      <c r="J18" t="s">
        <v>12</v>
      </c>
      <c r="L18" t="s">
        <v>117</v>
      </c>
      <c r="M18" s="17" t="str">
        <f t="shared" si="1"/>
        <v>Qtrend</v>
      </c>
      <c r="N18" s="133" t="str">
        <f t="shared" si="2"/>
        <v>P</v>
      </c>
      <c r="O18" s="152" t="str">
        <f t="shared" si="3"/>
        <v>12/26/2004</v>
      </c>
      <c r="P18" s="119" t="str">
        <f t="shared" si="4"/>
        <v>Dec 26 2004</v>
      </c>
      <c r="Q18" s="3"/>
      <c r="R18" s="107" t="s">
        <v>548</v>
      </c>
      <c r="S18" s="98" t="s">
        <v>549</v>
      </c>
      <c r="T18" s="99" t="s">
        <v>550</v>
      </c>
      <c r="U18" s="100" t="s">
        <v>551</v>
      </c>
      <c r="V18" s="154" t="str">
        <f t="shared" si="5"/>
        <v>Apr 18 2004</v>
      </c>
      <c r="W18" s="107" t="s">
        <v>552</v>
      </c>
      <c r="X18" s="101" t="s">
        <v>553</v>
      </c>
      <c r="Y18" s="101" t="s">
        <v>554</v>
      </c>
      <c r="Z18" s="97" t="str">
        <f t="shared" si="6"/>
        <v>Jul 11 2004</v>
      </c>
      <c r="AA18" s="107" t="s">
        <v>555</v>
      </c>
      <c r="AB18" s="101" t="s">
        <v>556</v>
      </c>
      <c r="AC18" s="101" t="s">
        <v>557</v>
      </c>
      <c r="AD18" s="97" t="str">
        <f t="shared" si="7"/>
        <v>Oct 3 2004</v>
      </c>
      <c r="AE18" s="107" t="s">
        <v>558</v>
      </c>
      <c r="AF18" s="101" t="s">
        <v>559</v>
      </c>
      <c r="AG18" s="108" t="s">
        <v>560</v>
      </c>
      <c r="AH18" s="130" t="s">
        <v>695</v>
      </c>
      <c r="AI18" s="95"/>
      <c r="AJ18" s="154">
        <f t="shared" si="8"/>
        <v>38095</v>
      </c>
      <c r="AK18" s="95"/>
      <c r="AL18" s="153">
        <f t="shared" si="9"/>
        <v>38179</v>
      </c>
      <c r="AM18" s="95"/>
      <c r="AN18" s="153">
        <f t="shared" si="10"/>
        <v>38263</v>
      </c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</row>
    <row r="19" spans="1:98" ht="15.75" x14ac:dyDescent="0.25">
      <c r="A19" s="55">
        <v>38684</v>
      </c>
      <c r="B19" s="56" t="str">
        <f t="shared" si="0"/>
        <v>Qtrend</v>
      </c>
      <c r="C19" s="56" t="s">
        <v>108</v>
      </c>
      <c r="D19" s="57"/>
      <c r="F19" s="1">
        <v>38684</v>
      </c>
      <c r="G19" s="1">
        <v>38711</v>
      </c>
      <c r="H19" s="1" t="s">
        <v>84</v>
      </c>
      <c r="I19" t="s">
        <v>14</v>
      </c>
      <c r="J19" t="s">
        <v>12</v>
      </c>
      <c r="L19" t="s">
        <v>118</v>
      </c>
      <c r="M19" s="17" t="str">
        <f t="shared" si="1"/>
        <v>Qtrend</v>
      </c>
      <c r="N19" s="133" t="str">
        <f t="shared" si="2"/>
        <v>P</v>
      </c>
      <c r="O19" s="152" t="str">
        <f t="shared" si="3"/>
        <v>12/25/2005</v>
      </c>
      <c r="P19" s="119" t="str">
        <f t="shared" si="4"/>
        <v>Dec 25 2005</v>
      </c>
      <c r="Q19" s="3"/>
      <c r="R19" s="107" t="s">
        <v>366</v>
      </c>
      <c r="S19" s="98" t="s">
        <v>367</v>
      </c>
      <c r="T19" s="99" t="s">
        <v>368</v>
      </c>
      <c r="U19" s="100" t="s">
        <v>369</v>
      </c>
      <c r="V19" s="154" t="str">
        <f t="shared" si="5"/>
        <v>Apr 17 2005</v>
      </c>
      <c r="W19" s="107" t="s">
        <v>370</v>
      </c>
      <c r="X19" s="101" t="s">
        <v>371</v>
      </c>
      <c r="Y19" s="101" t="s">
        <v>372</v>
      </c>
      <c r="Z19" s="97" t="str">
        <f t="shared" si="6"/>
        <v>Jul 10 2005</v>
      </c>
      <c r="AA19" s="107" t="s">
        <v>373</v>
      </c>
      <c r="AB19" s="101" t="s">
        <v>374</v>
      </c>
      <c r="AC19" s="101" t="s">
        <v>375</v>
      </c>
      <c r="AD19" s="97" t="str">
        <f t="shared" si="7"/>
        <v>Oct 2 2005</v>
      </c>
      <c r="AE19" s="107" t="s">
        <v>376</v>
      </c>
      <c r="AF19" s="101" t="s">
        <v>377</v>
      </c>
      <c r="AG19" s="108" t="s">
        <v>378</v>
      </c>
      <c r="AH19" s="130" t="s">
        <v>696</v>
      </c>
      <c r="AI19" s="95"/>
      <c r="AJ19" s="154">
        <f t="shared" si="8"/>
        <v>38459</v>
      </c>
      <c r="AK19" s="95"/>
      <c r="AL19" s="153">
        <f t="shared" si="9"/>
        <v>38543</v>
      </c>
      <c r="AM19" s="95"/>
      <c r="AN19" s="153">
        <f t="shared" si="10"/>
        <v>38627</v>
      </c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5"/>
      <c r="CC19" s="95"/>
      <c r="CD19" s="95"/>
      <c r="CE19" s="95"/>
      <c r="CF19" s="95"/>
      <c r="CG19" s="95"/>
      <c r="CH19" s="95"/>
      <c r="CI19" s="95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</row>
    <row r="20" spans="1:98" ht="15.75" x14ac:dyDescent="0.25">
      <c r="A20" s="55">
        <v>46356</v>
      </c>
      <c r="B20" s="56" t="str">
        <f t="shared" si="0"/>
        <v>Qtrend</v>
      </c>
      <c r="C20" s="56" t="s">
        <v>108</v>
      </c>
      <c r="D20" s="57"/>
      <c r="F20" s="1">
        <v>46356</v>
      </c>
      <c r="G20" s="1">
        <v>46383</v>
      </c>
      <c r="H20" s="1" t="s">
        <v>99</v>
      </c>
      <c r="I20" t="s">
        <v>14</v>
      </c>
      <c r="J20" t="s">
        <v>12</v>
      </c>
      <c r="L20" t="s">
        <v>665</v>
      </c>
      <c r="M20" s="17" t="str">
        <f t="shared" si="1"/>
        <v>Qtrend</v>
      </c>
      <c r="N20" s="133" t="str">
        <f t="shared" si="2"/>
        <v>P</v>
      </c>
      <c r="O20" s="152" t="str">
        <f t="shared" si="3"/>
        <v>12/27/2026</v>
      </c>
      <c r="P20" s="119" t="str">
        <f t="shared" si="4"/>
        <v>Dec 27 2026</v>
      </c>
      <c r="Q20" s="3"/>
      <c r="R20" s="107" t="s">
        <v>535</v>
      </c>
      <c r="S20" s="98" t="s">
        <v>536</v>
      </c>
      <c r="T20" s="99" t="s">
        <v>537</v>
      </c>
      <c r="U20" s="100" t="s">
        <v>538</v>
      </c>
      <c r="V20" s="154" t="str">
        <f t="shared" si="5"/>
        <v>Apr 19 2026</v>
      </c>
      <c r="W20" s="107" t="s">
        <v>539</v>
      </c>
      <c r="X20" s="101" t="s">
        <v>540</v>
      </c>
      <c r="Y20" s="101" t="s">
        <v>541</v>
      </c>
      <c r="Z20" s="97" t="str">
        <f t="shared" si="6"/>
        <v>Jul 12 2026</v>
      </c>
      <c r="AA20" s="107" t="s">
        <v>542</v>
      </c>
      <c r="AB20" s="101" t="s">
        <v>543</v>
      </c>
      <c r="AC20" s="101" t="s">
        <v>544</v>
      </c>
      <c r="AD20" s="97" t="str">
        <f t="shared" si="7"/>
        <v>Oct 4 2026</v>
      </c>
      <c r="AE20" s="107" t="s">
        <v>545</v>
      </c>
      <c r="AF20" s="101" t="s">
        <v>546</v>
      </c>
      <c r="AG20" s="108" t="s">
        <v>547</v>
      </c>
      <c r="AH20" s="130" t="s">
        <v>697</v>
      </c>
      <c r="AI20" s="95"/>
      <c r="AJ20" s="154">
        <f t="shared" si="8"/>
        <v>46131</v>
      </c>
      <c r="AK20" s="95"/>
      <c r="AL20" s="153">
        <f t="shared" si="9"/>
        <v>46215</v>
      </c>
      <c r="AM20" s="95"/>
      <c r="AN20" s="153">
        <f t="shared" si="10"/>
        <v>46299</v>
      </c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</row>
    <row r="21" spans="1:98" ht="15.75" x14ac:dyDescent="0.25">
      <c r="A21" s="55">
        <v>46720</v>
      </c>
      <c r="B21" s="56" t="str">
        <f t="shared" si="0"/>
        <v>Qtrend</v>
      </c>
      <c r="C21" s="56" t="s">
        <v>108</v>
      </c>
      <c r="D21" s="57"/>
      <c r="F21" s="1">
        <v>46720</v>
      </c>
      <c r="G21" s="1">
        <v>46747</v>
      </c>
      <c r="H21" s="1" t="s">
        <v>101</v>
      </c>
      <c r="I21" t="s">
        <v>14</v>
      </c>
      <c r="J21" t="s">
        <v>12</v>
      </c>
      <c r="L21" t="s">
        <v>666</v>
      </c>
      <c r="M21" s="17" t="str">
        <f t="shared" si="1"/>
        <v>Qtrend</v>
      </c>
      <c r="N21" s="133" t="str">
        <f t="shared" si="2"/>
        <v>P</v>
      </c>
      <c r="O21" s="152" t="str">
        <f t="shared" si="3"/>
        <v>12/26/2027</v>
      </c>
      <c r="P21" s="119" t="str">
        <f t="shared" si="4"/>
        <v>Dec 26 2027</v>
      </c>
      <c r="Q21" s="3"/>
      <c r="R21" s="107" t="s">
        <v>610</v>
      </c>
      <c r="S21" s="98" t="s">
        <v>611</v>
      </c>
      <c r="T21" s="99" t="s">
        <v>612</v>
      </c>
      <c r="U21" s="100" t="s">
        <v>613</v>
      </c>
      <c r="V21" s="154" t="str">
        <f t="shared" si="5"/>
        <v>Apr 18 2027</v>
      </c>
      <c r="W21" s="107" t="s">
        <v>614</v>
      </c>
      <c r="X21" s="101" t="s">
        <v>615</v>
      </c>
      <c r="Y21" s="101" t="s">
        <v>616</v>
      </c>
      <c r="Z21" s="97" t="str">
        <f t="shared" si="6"/>
        <v>Jul 11 2027</v>
      </c>
      <c r="AA21" s="107" t="s">
        <v>617</v>
      </c>
      <c r="AB21" s="101" t="s">
        <v>618</v>
      </c>
      <c r="AC21" s="101" t="s">
        <v>619</v>
      </c>
      <c r="AD21" s="97" t="str">
        <f t="shared" si="7"/>
        <v>Oct 3 2027</v>
      </c>
      <c r="AE21" s="107" t="s">
        <v>620</v>
      </c>
      <c r="AF21" s="101" t="s">
        <v>621</v>
      </c>
      <c r="AG21" s="108" t="s">
        <v>622</v>
      </c>
      <c r="AH21" s="130" t="s">
        <v>698</v>
      </c>
      <c r="AI21" s="95"/>
      <c r="AJ21" s="154">
        <f t="shared" si="8"/>
        <v>46495</v>
      </c>
      <c r="AK21" s="95"/>
      <c r="AL21" s="153">
        <f t="shared" si="9"/>
        <v>46579</v>
      </c>
      <c r="AM21" s="95"/>
      <c r="AN21" s="153">
        <f t="shared" si="10"/>
        <v>46663</v>
      </c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2"/>
      <c r="CK21" s="92"/>
      <c r="CL21" s="92"/>
      <c r="CM21" s="92"/>
      <c r="CN21" s="92"/>
      <c r="CO21" s="92"/>
      <c r="CP21" s="92"/>
      <c r="CQ21" s="92"/>
      <c r="CR21" s="92"/>
      <c r="CS21" s="92"/>
      <c r="CT21" s="92"/>
    </row>
    <row r="22" spans="1:98" ht="15.75" x14ac:dyDescent="0.25">
      <c r="A22" s="55">
        <v>47084</v>
      </c>
      <c r="B22" s="56" t="str">
        <f t="shared" si="0"/>
        <v>Qtrend</v>
      </c>
      <c r="C22" s="56" t="s">
        <v>108</v>
      </c>
      <c r="D22" s="57"/>
      <c r="F22" s="1">
        <v>47084</v>
      </c>
      <c r="G22" s="1">
        <v>47118</v>
      </c>
      <c r="H22" s="1" t="s">
        <v>103</v>
      </c>
      <c r="I22" t="s">
        <v>14</v>
      </c>
      <c r="J22" t="s">
        <v>12</v>
      </c>
      <c r="L22" t="s">
        <v>132</v>
      </c>
      <c r="M22" s="17" t="str">
        <f t="shared" si="1"/>
        <v>Qtrend</v>
      </c>
      <c r="N22" s="133" t="str">
        <f t="shared" si="2"/>
        <v>P</v>
      </c>
      <c r="O22" s="152" t="str">
        <f t="shared" si="3"/>
        <v>12/31/2028</v>
      </c>
      <c r="P22" s="119" t="str">
        <f t="shared" si="4"/>
        <v>Dec 31 2028</v>
      </c>
      <c r="Q22" s="3"/>
      <c r="R22" s="107" t="s">
        <v>623</v>
      </c>
      <c r="S22" s="98" t="s">
        <v>624</v>
      </c>
      <c r="T22" s="102" t="s">
        <v>625</v>
      </c>
      <c r="U22" s="100" t="s">
        <v>626</v>
      </c>
      <c r="V22" s="154" t="str">
        <f t="shared" si="5"/>
        <v>Apr 16 2028</v>
      </c>
      <c r="W22" s="107" t="s">
        <v>627</v>
      </c>
      <c r="X22" s="101" t="s">
        <v>628</v>
      </c>
      <c r="Y22" s="101" t="s">
        <v>629</v>
      </c>
      <c r="Z22" s="97" t="str">
        <f t="shared" si="6"/>
        <v>Jul 9 2028</v>
      </c>
      <c r="AA22" s="107" t="s">
        <v>630</v>
      </c>
      <c r="AB22" s="101" t="s">
        <v>631</v>
      </c>
      <c r="AC22" s="101" t="s">
        <v>632</v>
      </c>
      <c r="AD22" s="97" t="str">
        <f t="shared" si="7"/>
        <v>Oct 1 2028</v>
      </c>
      <c r="AE22" s="107" t="s">
        <v>633</v>
      </c>
      <c r="AF22" s="101" t="s">
        <v>634</v>
      </c>
      <c r="AG22" s="108" t="s">
        <v>635</v>
      </c>
      <c r="AH22" s="130" t="s">
        <v>699</v>
      </c>
      <c r="AI22" s="95"/>
      <c r="AJ22" s="154">
        <f t="shared" si="8"/>
        <v>46859</v>
      </c>
      <c r="AK22" s="95"/>
      <c r="AL22" s="153">
        <f t="shared" si="9"/>
        <v>46943</v>
      </c>
      <c r="AM22" s="95"/>
      <c r="AN22" s="153">
        <f t="shared" si="10"/>
        <v>47027</v>
      </c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5"/>
      <c r="CC22" s="95"/>
      <c r="CD22" s="95"/>
      <c r="CE22" s="95"/>
      <c r="CF22" s="95"/>
      <c r="CG22" s="95"/>
      <c r="CH22" s="95"/>
      <c r="CI22" s="95"/>
      <c r="CJ22" s="92"/>
      <c r="CK22" s="92"/>
      <c r="CL22" s="92"/>
      <c r="CM22" s="92"/>
      <c r="CN22" s="92"/>
      <c r="CO22" s="92"/>
      <c r="CP22" s="92"/>
      <c r="CQ22" s="92"/>
      <c r="CR22" s="92"/>
      <c r="CS22" s="92"/>
      <c r="CT22" s="92"/>
    </row>
    <row r="23" spans="1:98" ht="15.75" x14ac:dyDescent="0.25">
      <c r="A23" s="55">
        <v>47455</v>
      </c>
      <c r="B23" s="56" t="str">
        <f t="shared" si="0"/>
        <v>Qtrend</v>
      </c>
      <c r="C23" s="56" t="s">
        <v>108</v>
      </c>
      <c r="D23" s="57"/>
      <c r="F23" s="1">
        <v>47455</v>
      </c>
      <c r="G23" s="1">
        <v>47482</v>
      </c>
      <c r="H23" s="1" t="s">
        <v>105</v>
      </c>
      <c r="I23" t="s">
        <v>14</v>
      </c>
      <c r="J23" t="s">
        <v>12</v>
      </c>
      <c r="L23" t="s">
        <v>217</v>
      </c>
      <c r="M23" s="17" t="str">
        <f t="shared" si="1"/>
        <v>Qtrend</v>
      </c>
      <c r="N23" s="133" t="str">
        <f t="shared" si="2"/>
        <v>P</v>
      </c>
      <c r="O23" s="152" t="str">
        <f t="shared" si="3"/>
        <v>12/30/2029</v>
      </c>
      <c r="P23" s="119" t="str">
        <f t="shared" si="4"/>
        <v>Dec 30 2029</v>
      </c>
      <c r="Q23" s="3"/>
      <c r="R23" s="107" t="s">
        <v>483</v>
      </c>
      <c r="S23" s="98" t="s">
        <v>484</v>
      </c>
      <c r="T23" s="102" t="s">
        <v>485</v>
      </c>
      <c r="U23" s="100" t="s">
        <v>486</v>
      </c>
      <c r="V23" s="154" t="str">
        <f t="shared" si="5"/>
        <v>Apr 22 2029</v>
      </c>
      <c r="W23" s="107" t="s">
        <v>487</v>
      </c>
      <c r="X23" s="101" t="s">
        <v>488</v>
      </c>
      <c r="Y23" s="101" t="s">
        <v>489</v>
      </c>
      <c r="Z23" s="97" t="str">
        <f t="shared" si="6"/>
        <v>Jul 15 2029</v>
      </c>
      <c r="AA23" s="107" t="s">
        <v>490</v>
      </c>
      <c r="AB23" s="101" t="s">
        <v>491</v>
      </c>
      <c r="AC23" s="101" t="s">
        <v>492</v>
      </c>
      <c r="AD23" s="97" t="str">
        <f t="shared" si="7"/>
        <v>Oct 7 2029</v>
      </c>
      <c r="AE23" s="107" t="s">
        <v>493</v>
      </c>
      <c r="AF23" s="101" t="s">
        <v>494</v>
      </c>
      <c r="AG23" s="108" t="s">
        <v>495</v>
      </c>
      <c r="AH23" s="130" t="s">
        <v>700</v>
      </c>
      <c r="AI23" s="95"/>
      <c r="AJ23" s="154">
        <f t="shared" si="8"/>
        <v>47230</v>
      </c>
      <c r="AK23" s="95"/>
      <c r="AL23" s="153">
        <f t="shared" si="9"/>
        <v>47314</v>
      </c>
      <c r="AM23" s="95"/>
      <c r="AN23" s="153">
        <f t="shared" si="10"/>
        <v>47398</v>
      </c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5"/>
      <c r="CJ23" s="92"/>
      <c r="CK23" s="92"/>
      <c r="CL23" s="92"/>
      <c r="CM23" s="92"/>
      <c r="CN23" s="92"/>
      <c r="CO23" s="92"/>
      <c r="CP23" s="92"/>
      <c r="CQ23" s="92"/>
      <c r="CR23" s="92"/>
      <c r="CS23" s="92"/>
      <c r="CT23" s="92"/>
    </row>
    <row r="24" spans="1:98" ht="15.75" x14ac:dyDescent="0.25">
      <c r="A24" s="55">
        <v>47819</v>
      </c>
      <c r="B24" s="56" t="str">
        <f t="shared" si="0"/>
        <v>Qtrend</v>
      </c>
      <c r="C24" s="56" t="s">
        <v>108</v>
      </c>
      <c r="D24" s="57"/>
      <c r="F24" s="1">
        <v>47819</v>
      </c>
      <c r="G24" s="1">
        <v>47846</v>
      </c>
      <c r="H24" s="1" t="s">
        <v>107</v>
      </c>
      <c r="I24" t="s">
        <v>14</v>
      </c>
      <c r="J24" t="s">
        <v>12</v>
      </c>
      <c r="L24" t="s">
        <v>667</v>
      </c>
      <c r="M24" s="17" t="str">
        <f t="shared" si="1"/>
        <v>Qtrend</v>
      </c>
      <c r="N24" s="133" t="str">
        <f t="shared" si="2"/>
        <v>P</v>
      </c>
      <c r="O24" s="152" t="str">
        <f t="shared" si="3"/>
        <v>12/29/2030</v>
      </c>
      <c r="P24" s="119" t="str">
        <f t="shared" si="4"/>
        <v>Dec 29 2030</v>
      </c>
      <c r="Q24" s="3"/>
      <c r="R24" s="107" t="s">
        <v>636</v>
      </c>
      <c r="S24" s="98" t="s">
        <v>637</v>
      </c>
      <c r="T24" s="102" t="s">
        <v>638</v>
      </c>
      <c r="U24" s="100" t="s">
        <v>639</v>
      </c>
      <c r="V24" s="154" t="str">
        <f t="shared" si="5"/>
        <v>Apr 21 2030</v>
      </c>
      <c r="W24" s="107" t="s">
        <v>640</v>
      </c>
      <c r="X24" s="101" t="s">
        <v>641</v>
      </c>
      <c r="Y24" s="101" t="s">
        <v>642</v>
      </c>
      <c r="Z24" s="97" t="str">
        <f t="shared" si="6"/>
        <v>Jul 14 2030</v>
      </c>
      <c r="AA24" s="107" t="s">
        <v>643</v>
      </c>
      <c r="AB24" s="101" t="s">
        <v>644</v>
      </c>
      <c r="AC24" s="101" t="s">
        <v>645</v>
      </c>
      <c r="AD24" s="97" t="str">
        <f t="shared" si="7"/>
        <v>Oct 6 2030</v>
      </c>
      <c r="AE24" s="107" t="s">
        <v>646</v>
      </c>
      <c r="AF24" s="101" t="s">
        <v>647</v>
      </c>
      <c r="AG24" s="108" t="s">
        <v>648</v>
      </c>
      <c r="AH24" s="130" t="s">
        <v>701</v>
      </c>
      <c r="AI24" s="95"/>
      <c r="AJ24" s="154">
        <f t="shared" si="8"/>
        <v>47594</v>
      </c>
      <c r="AK24" s="95"/>
      <c r="AL24" s="153">
        <f t="shared" si="9"/>
        <v>47678</v>
      </c>
      <c r="AM24" s="95"/>
      <c r="AN24" s="153">
        <f t="shared" si="10"/>
        <v>47762</v>
      </c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/>
      <c r="BK24" s="95"/>
      <c r="BL24" s="95"/>
      <c r="BM24" s="95"/>
      <c r="BN24" s="95"/>
      <c r="BO24" s="95"/>
      <c r="BP24" s="95"/>
      <c r="BQ24" s="95"/>
      <c r="BR24" s="95"/>
      <c r="BS24" s="95"/>
      <c r="BT24" s="95"/>
      <c r="BU24" s="95"/>
      <c r="BV24" s="95"/>
      <c r="BW24" s="95"/>
      <c r="BX24" s="95"/>
      <c r="BY24" s="95"/>
      <c r="BZ24" s="95"/>
      <c r="CA24" s="95"/>
      <c r="CB24" s="95"/>
      <c r="CC24" s="95"/>
      <c r="CD24" s="95"/>
      <c r="CE24" s="95"/>
      <c r="CF24" s="95"/>
      <c r="CG24" s="95"/>
      <c r="CH24" s="95"/>
      <c r="CI24" s="95"/>
      <c r="CJ24" s="92"/>
      <c r="CK24" s="92"/>
      <c r="CL24" s="92"/>
      <c r="CM24" s="92"/>
      <c r="CN24" s="92"/>
      <c r="CO24" s="92"/>
      <c r="CP24" s="92"/>
      <c r="CQ24" s="92"/>
      <c r="CR24" s="92"/>
      <c r="CS24" s="92"/>
      <c r="CT24" s="92"/>
    </row>
    <row r="25" spans="1:98" ht="15.75" x14ac:dyDescent="0.25">
      <c r="A25" s="55">
        <v>37255</v>
      </c>
      <c r="B25" s="56" t="str">
        <f t="shared" si="0"/>
        <v>Qtrend</v>
      </c>
      <c r="C25" s="56" t="s">
        <v>109</v>
      </c>
      <c r="D25" s="57"/>
      <c r="F25" s="1">
        <v>37228</v>
      </c>
      <c r="G25" s="1">
        <v>37255</v>
      </c>
      <c r="H25" s="1" t="s">
        <v>77</v>
      </c>
      <c r="I25" t="s">
        <v>14</v>
      </c>
      <c r="J25" t="s">
        <v>12</v>
      </c>
      <c r="L25" t="s">
        <v>114</v>
      </c>
      <c r="M25" s="17" t="str">
        <f t="shared" si="1"/>
        <v>Qtrend</v>
      </c>
      <c r="N25" s="133" t="str">
        <f t="shared" si="2"/>
        <v>P</v>
      </c>
      <c r="O25" s="152" t="str">
        <f t="shared" si="3"/>
        <v>12/30/2001</v>
      </c>
      <c r="P25" s="119" t="str">
        <f t="shared" si="4"/>
        <v>Dec 30 2001</v>
      </c>
      <c r="Q25" s="3"/>
      <c r="R25" s="107" t="s">
        <v>496</v>
      </c>
      <c r="S25" s="98" t="s">
        <v>497</v>
      </c>
      <c r="T25" s="102" t="s">
        <v>498</v>
      </c>
      <c r="U25" s="100" t="s">
        <v>499</v>
      </c>
      <c r="V25" s="154" t="str">
        <f t="shared" si="5"/>
        <v>Apr 22 2001</v>
      </c>
      <c r="W25" s="107" t="s">
        <v>500</v>
      </c>
      <c r="X25" s="101" t="s">
        <v>501</v>
      </c>
      <c r="Y25" s="101" t="s">
        <v>502</v>
      </c>
      <c r="Z25" s="97" t="str">
        <f t="shared" si="6"/>
        <v>Jul 15 2001</v>
      </c>
      <c r="AA25" s="107" t="s">
        <v>503</v>
      </c>
      <c r="AB25" s="101" t="s">
        <v>504</v>
      </c>
      <c r="AC25" s="101" t="s">
        <v>505</v>
      </c>
      <c r="AD25" s="97" t="str">
        <f t="shared" si="7"/>
        <v>Oct 7 2001</v>
      </c>
      <c r="AE25" s="107" t="s">
        <v>506</v>
      </c>
      <c r="AF25" s="101" t="s">
        <v>507</v>
      </c>
      <c r="AG25" s="108" t="s">
        <v>508</v>
      </c>
      <c r="AH25" s="130" t="s">
        <v>702</v>
      </c>
      <c r="AI25" s="95"/>
      <c r="AJ25" s="154">
        <f t="shared" si="8"/>
        <v>37003</v>
      </c>
      <c r="AK25" s="95"/>
      <c r="AL25" s="153">
        <f t="shared" si="9"/>
        <v>37087</v>
      </c>
      <c r="AM25" s="95"/>
      <c r="AN25" s="153">
        <f t="shared" si="10"/>
        <v>37171</v>
      </c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2"/>
      <c r="CK25" s="92"/>
      <c r="CL25" s="92"/>
      <c r="CM25" s="92"/>
      <c r="CN25" s="92"/>
      <c r="CO25" s="92"/>
      <c r="CP25" s="92"/>
      <c r="CQ25" s="92"/>
      <c r="CR25" s="92"/>
      <c r="CS25" s="92"/>
      <c r="CT25" s="92"/>
    </row>
    <row r="26" spans="1:98" ht="15.75" x14ac:dyDescent="0.25">
      <c r="A26" s="55">
        <v>37619</v>
      </c>
      <c r="B26" s="56" t="str">
        <f t="shared" si="0"/>
        <v>Qtrend</v>
      </c>
      <c r="C26" s="56" t="s">
        <v>109</v>
      </c>
      <c r="D26" s="57"/>
      <c r="F26" s="1">
        <v>37592</v>
      </c>
      <c r="G26" s="1">
        <v>37619</v>
      </c>
      <c r="H26" s="1" t="s">
        <v>78</v>
      </c>
      <c r="I26" t="s">
        <v>14</v>
      </c>
      <c r="J26" t="s">
        <v>12</v>
      </c>
      <c r="L26" t="s">
        <v>115</v>
      </c>
      <c r="M26" s="17" t="str">
        <f t="shared" si="1"/>
        <v>Qtrend</v>
      </c>
      <c r="N26" s="133" t="str">
        <f t="shared" si="2"/>
        <v>P</v>
      </c>
      <c r="O26" s="152" t="str">
        <f t="shared" si="3"/>
        <v>12/29/2002</v>
      </c>
      <c r="P26" s="119" t="str">
        <f t="shared" si="4"/>
        <v>Dec 29 2002</v>
      </c>
      <c r="Q26" s="3"/>
      <c r="R26" s="107" t="s">
        <v>444</v>
      </c>
      <c r="S26" s="98" t="s">
        <v>445</v>
      </c>
      <c r="T26" s="102" t="s">
        <v>446</v>
      </c>
      <c r="U26" s="100" t="s">
        <v>447</v>
      </c>
      <c r="V26" s="154" t="str">
        <f t="shared" si="5"/>
        <v>Apr 21 2002</v>
      </c>
      <c r="W26" s="107" t="s">
        <v>448</v>
      </c>
      <c r="X26" s="101" t="s">
        <v>449</v>
      </c>
      <c r="Y26" s="101" t="s">
        <v>450</v>
      </c>
      <c r="Z26" s="97" t="str">
        <f t="shared" si="6"/>
        <v>Jul 14 2002</v>
      </c>
      <c r="AA26" s="107" t="s">
        <v>451</v>
      </c>
      <c r="AB26" s="101" t="s">
        <v>452</v>
      </c>
      <c r="AC26" s="101" t="s">
        <v>453</v>
      </c>
      <c r="AD26" s="97" t="str">
        <f t="shared" si="7"/>
        <v>Oct 6 2002</v>
      </c>
      <c r="AE26" s="107" t="s">
        <v>454</v>
      </c>
      <c r="AF26" s="101" t="s">
        <v>455</v>
      </c>
      <c r="AG26" s="108" t="s">
        <v>456</v>
      </c>
      <c r="AH26" s="130" t="s">
        <v>703</v>
      </c>
      <c r="AI26" s="95"/>
      <c r="AJ26" s="154">
        <f t="shared" si="8"/>
        <v>37367</v>
      </c>
      <c r="AK26" s="95"/>
      <c r="AL26" s="153">
        <f t="shared" si="9"/>
        <v>37451</v>
      </c>
      <c r="AM26" s="95"/>
      <c r="AN26" s="153">
        <f t="shared" si="10"/>
        <v>37535</v>
      </c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/>
      <c r="CH26" s="95"/>
      <c r="CI26" s="95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</row>
    <row r="27" spans="1:98" ht="15.75" x14ac:dyDescent="0.25">
      <c r="A27" s="55">
        <v>37983</v>
      </c>
      <c r="B27" s="56" t="str">
        <f t="shared" si="0"/>
        <v>Qtrend</v>
      </c>
      <c r="C27" s="56" t="s">
        <v>109</v>
      </c>
      <c r="D27" s="57"/>
      <c r="F27" s="1">
        <v>37956</v>
      </c>
      <c r="G27" s="1">
        <v>37983</v>
      </c>
      <c r="H27" s="1" t="s">
        <v>80</v>
      </c>
      <c r="I27" t="s">
        <v>14</v>
      </c>
      <c r="J27" t="s">
        <v>12</v>
      </c>
      <c r="L27" t="s">
        <v>116</v>
      </c>
      <c r="M27" s="17" t="str">
        <f t="shared" si="1"/>
        <v>Qtrend</v>
      </c>
      <c r="N27" s="133" t="str">
        <f t="shared" si="2"/>
        <v>P</v>
      </c>
      <c r="O27" s="152" t="str">
        <f t="shared" si="3"/>
        <v>12/28/2003</v>
      </c>
      <c r="P27" s="119" t="str">
        <f t="shared" si="4"/>
        <v>Dec 28 2003</v>
      </c>
      <c r="Q27" s="3"/>
      <c r="R27" s="107" t="s">
        <v>353</v>
      </c>
      <c r="S27" s="98" t="s">
        <v>354</v>
      </c>
      <c r="T27" s="102" t="s">
        <v>355</v>
      </c>
      <c r="U27" s="100" t="s">
        <v>356</v>
      </c>
      <c r="V27" s="154" t="str">
        <f t="shared" si="5"/>
        <v>Apr 20 2003</v>
      </c>
      <c r="W27" s="107" t="s">
        <v>357</v>
      </c>
      <c r="X27" s="101" t="s">
        <v>358</v>
      </c>
      <c r="Y27" s="101" t="s">
        <v>359</v>
      </c>
      <c r="Z27" s="97" t="str">
        <f t="shared" si="6"/>
        <v>Jul 13 2003</v>
      </c>
      <c r="AA27" s="107" t="s">
        <v>360</v>
      </c>
      <c r="AB27" s="101" t="s">
        <v>361</v>
      </c>
      <c r="AC27" s="101" t="s">
        <v>362</v>
      </c>
      <c r="AD27" s="97" t="str">
        <f t="shared" si="7"/>
        <v>Oct 5 2003</v>
      </c>
      <c r="AE27" s="107" t="s">
        <v>363</v>
      </c>
      <c r="AF27" s="101" t="s">
        <v>364</v>
      </c>
      <c r="AG27" s="108" t="s">
        <v>365</v>
      </c>
      <c r="AH27" s="130" t="s">
        <v>694</v>
      </c>
      <c r="AI27" s="95"/>
      <c r="AJ27" s="154">
        <f t="shared" si="8"/>
        <v>37731</v>
      </c>
      <c r="AK27" s="95"/>
      <c r="AL27" s="153">
        <f t="shared" si="9"/>
        <v>37815</v>
      </c>
      <c r="AM27" s="95"/>
      <c r="AN27" s="153">
        <f t="shared" si="10"/>
        <v>37899</v>
      </c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  <c r="BS27" s="95"/>
      <c r="BT27" s="95"/>
      <c r="BU27" s="95"/>
      <c r="BV27" s="95"/>
      <c r="BW27" s="95"/>
      <c r="BX27" s="95"/>
      <c r="BY27" s="95"/>
      <c r="BZ27" s="95"/>
      <c r="CA27" s="95"/>
      <c r="CB27" s="95"/>
      <c r="CC27" s="95"/>
      <c r="CD27" s="95"/>
      <c r="CE27" s="95"/>
      <c r="CF27" s="95"/>
      <c r="CG27" s="95"/>
      <c r="CH27" s="95"/>
      <c r="CI27" s="95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</row>
    <row r="28" spans="1:98" ht="15.75" x14ac:dyDescent="0.25">
      <c r="A28" s="55">
        <v>38347</v>
      </c>
      <c r="B28" s="56" t="str">
        <f t="shared" si="0"/>
        <v>Qtrend</v>
      </c>
      <c r="C28" s="56" t="s">
        <v>109</v>
      </c>
      <c r="D28" s="57"/>
      <c r="F28" s="1">
        <v>38320</v>
      </c>
      <c r="G28" s="1">
        <v>38347</v>
      </c>
      <c r="H28" s="1" t="s">
        <v>82</v>
      </c>
      <c r="I28" t="s">
        <v>14</v>
      </c>
      <c r="J28" t="s">
        <v>12</v>
      </c>
      <c r="L28" t="s">
        <v>117</v>
      </c>
      <c r="M28" s="17" t="str">
        <f t="shared" si="1"/>
        <v>Qtrend</v>
      </c>
      <c r="N28" s="133" t="str">
        <f t="shared" si="2"/>
        <v>P</v>
      </c>
      <c r="O28" s="152" t="str">
        <f t="shared" si="3"/>
        <v>12/26/2004</v>
      </c>
      <c r="P28" s="119" t="str">
        <f t="shared" si="4"/>
        <v>Dec 26 2004</v>
      </c>
      <c r="Q28" s="3"/>
      <c r="R28" s="107" t="s">
        <v>548</v>
      </c>
      <c r="S28" s="98" t="s">
        <v>549</v>
      </c>
      <c r="T28" s="102" t="s">
        <v>550</v>
      </c>
      <c r="U28" s="100" t="s">
        <v>551</v>
      </c>
      <c r="V28" s="154" t="str">
        <f t="shared" si="5"/>
        <v>Apr 18 2004</v>
      </c>
      <c r="W28" s="107" t="s">
        <v>552</v>
      </c>
      <c r="X28" s="101" t="s">
        <v>553</v>
      </c>
      <c r="Y28" s="101" t="s">
        <v>554</v>
      </c>
      <c r="Z28" s="97" t="str">
        <f t="shared" si="6"/>
        <v>Jul 11 2004</v>
      </c>
      <c r="AA28" s="107" t="s">
        <v>555</v>
      </c>
      <c r="AB28" s="101" t="s">
        <v>556</v>
      </c>
      <c r="AC28" s="101" t="s">
        <v>557</v>
      </c>
      <c r="AD28" s="97" t="str">
        <f t="shared" si="7"/>
        <v>Oct 3 2004</v>
      </c>
      <c r="AE28" s="107" t="s">
        <v>558</v>
      </c>
      <c r="AF28" s="101" t="s">
        <v>559</v>
      </c>
      <c r="AG28" s="108" t="s">
        <v>560</v>
      </c>
      <c r="AH28" s="130" t="s">
        <v>695</v>
      </c>
      <c r="AI28" s="95"/>
      <c r="AJ28" s="154">
        <f t="shared" si="8"/>
        <v>38095</v>
      </c>
      <c r="AK28" s="95"/>
      <c r="AL28" s="153">
        <f t="shared" si="9"/>
        <v>38179</v>
      </c>
      <c r="AM28" s="95"/>
      <c r="AN28" s="153">
        <f t="shared" si="10"/>
        <v>38263</v>
      </c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5"/>
      <c r="CC28" s="95"/>
      <c r="CD28" s="95"/>
      <c r="CE28" s="95"/>
      <c r="CF28" s="95"/>
      <c r="CG28" s="95"/>
      <c r="CH28" s="95"/>
      <c r="CI28" s="95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</row>
    <row r="29" spans="1:98" ht="15.75" x14ac:dyDescent="0.25">
      <c r="A29" s="55">
        <v>38711</v>
      </c>
      <c r="B29" s="56" t="str">
        <f t="shared" si="0"/>
        <v>Qtrend</v>
      </c>
      <c r="C29" s="56" t="s">
        <v>109</v>
      </c>
      <c r="D29" s="57"/>
      <c r="F29" s="1">
        <v>38684</v>
      </c>
      <c r="G29" s="1">
        <v>38711</v>
      </c>
      <c r="H29" s="1" t="s">
        <v>84</v>
      </c>
      <c r="I29" t="s">
        <v>14</v>
      </c>
      <c r="J29" t="s">
        <v>12</v>
      </c>
      <c r="L29" t="s">
        <v>118</v>
      </c>
      <c r="M29" s="17" t="str">
        <f t="shared" si="1"/>
        <v>Qtrend</v>
      </c>
      <c r="N29" s="133" t="str">
        <f t="shared" si="2"/>
        <v>P</v>
      </c>
      <c r="O29" s="152" t="str">
        <f t="shared" si="3"/>
        <v>12/25/2005</v>
      </c>
      <c r="P29" s="119" t="str">
        <f t="shared" si="4"/>
        <v>Dec 25 2005</v>
      </c>
      <c r="Q29" s="3"/>
      <c r="R29" s="107" t="s">
        <v>366</v>
      </c>
      <c r="S29" s="98" t="s">
        <v>367</v>
      </c>
      <c r="T29" s="102" t="s">
        <v>368</v>
      </c>
      <c r="U29" s="100" t="s">
        <v>369</v>
      </c>
      <c r="V29" s="154" t="str">
        <f t="shared" si="5"/>
        <v>Apr 17 2005</v>
      </c>
      <c r="W29" s="107" t="s">
        <v>370</v>
      </c>
      <c r="X29" s="101" t="s">
        <v>371</v>
      </c>
      <c r="Y29" s="101" t="s">
        <v>372</v>
      </c>
      <c r="Z29" s="97" t="str">
        <f t="shared" si="6"/>
        <v>Jul 10 2005</v>
      </c>
      <c r="AA29" s="107" t="s">
        <v>373</v>
      </c>
      <c r="AB29" s="101" t="s">
        <v>374</v>
      </c>
      <c r="AC29" s="101" t="s">
        <v>375</v>
      </c>
      <c r="AD29" s="97" t="str">
        <f t="shared" si="7"/>
        <v>Oct 2 2005</v>
      </c>
      <c r="AE29" s="107" t="s">
        <v>376</v>
      </c>
      <c r="AF29" s="101" t="s">
        <v>377</v>
      </c>
      <c r="AG29" s="108" t="s">
        <v>378</v>
      </c>
      <c r="AH29" s="130" t="s">
        <v>696</v>
      </c>
      <c r="AI29" s="95"/>
      <c r="AJ29" s="154">
        <f t="shared" si="8"/>
        <v>38459</v>
      </c>
      <c r="AK29" s="95"/>
      <c r="AL29" s="153">
        <f t="shared" si="9"/>
        <v>38543</v>
      </c>
      <c r="AM29" s="95"/>
      <c r="AN29" s="153">
        <f t="shared" si="10"/>
        <v>38627</v>
      </c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5"/>
      <c r="CC29" s="95"/>
      <c r="CD29" s="95"/>
      <c r="CE29" s="95"/>
      <c r="CF29" s="95"/>
      <c r="CG29" s="95"/>
      <c r="CH29" s="95"/>
      <c r="CI29" s="95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</row>
    <row r="30" spans="1:98" ht="15.75" x14ac:dyDescent="0.25">
      <c r="A30" s="55">
        <v>39082</v>
      </c>
      <c r="B30" s="56" t="str">
        <f t="shared" si="0"/>
        <v>Qtrend</v>
      </c>
      <c r="C30" s="56" t="s">
        <v>109</v>
      </c>
      <c r="D30" s="57"/>
      <c r="F30" s="1">
        <v>39048</v>
      </c>
      <c r="G30" s="1">
        <v>39082</v>
      </c>
      <c r="H30" s="1" t="s">
        <v>86</v>
      </c>
      <c r="I30" t="s">
        <v>14</v>
      </c>
      <c r="J30" t="s">
        <v>12</v>
      </c>
      <c r="L30" t="s">
        <v>119</v>
      </c>
      <c r="M30" s="17" t="str">
        <f t="shared" si="1"/>
        <v>Qtrend</v>
      </c>
      <c r="N30" s="133" t="str">
        <f t="shared" si="2"/>
        <v>P</v>
      </c>
      <c r="O30" s="152" t="str">
        <f t="shared" si="3"/>
        <v>12/31/2006</v>
      </c>
      <c r="P30" s="119" t="str">
        <f t="shared" si="4"/>
        <v>Dec 31 2006</v>
      </c>
      <c r="Q30" s="3"/>
      <c r="R30" s="107" t="s">
        <v>649</v>
      </c>
      <c r="S30" s="98" t="s">
        <v>650</v>
      </c>
      <c r="T30" s="102" t="s">
        <v>651</v>
      </c>
      <c r="U30" s="100" t="s">
        <v>652</v>
      </c>
      <c r="V30" s="154" t="str">
        <f t="shared" si="5"/>
        <v>Apr 16 2006</v>
      </c>
      <c r="W30" s="107" t="s">
        <v>653</v>
      </c>
      <c r="X30" s="101" t="s">
        <v>654</v>
      </c>
      <c r="Y30" s="101" t="s">
        <v>655</v>
      </c>
      <c r="Z30" s="97" t="str">
        <f t="shared" si="6"/>
        <v>Jul 9 2006</v>
      </c>
      <c r="AA30" s="107" t="s">
        <v>656</v>
      </c>
      <c r="AB30" s="101" t="s">
        <v>657</v>
      </c>
      <c r="AC30" s="101" t="s">
        <v>658</v>
      </c>
      <c r="AD30" s="97" t="str">
        <f t="shared" si="7"/>
        <v>Oct 1 2006</v>
      </c>
      <c r="AE30" s="107" t="s">
        <v>659</v>
      </c>
      <c r="AF30" s="101" t="s">
        <v>660</v>
      </c>
      <c r="AG30" s="108" t="s">
        <v>661</v>
      </c>
      <c r="AH30" s="130" t="s">
        <v>704</v>
      </c>
      <c r="AI30" s="95"/>
      <c r="AJ30" s="154">
        <f t="shared" si="8"/>
        <v>38823</v>
      </c>
      <c r="AK30" s="95"/>
      <c r="AL30" s="153">
        <f t="shared" si="9"/>
        <v>38907</v>
      </c>
      <c r="AM30" s="95"/>
      <c r="AN30" s="153">
        <f t="shared" si="10"/>
        <v>38991</v>
      </c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5"/>
      <c r="CC30" s="95"/>
      <c r="CD30" s="95"/>
      <c r="CE30" s="95"/>
      <c r="CF30" s="95"/>
      <c r="CG30" s="95"/>
      <c r="CH30" s="95"/>
      <c r="CI30" s="95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</row>
    <row r="31" spans="1:98" ht="15.75" x14ac:dyDescent="0.25">
      <c r="A31" s="55">
        <v>39446</v>
      </c>
      <c r="B31" s="56" t="str">
        <f t="shared" si="0"/>
        <v>Qtrend</v>
      </c>
      <c r="C31" s="56" t="s">
        <v>109</v>
      </c>
      <c r="D31" s="57"/>
      <c r="F31" s="1">
        <v>39419</v>
      </c>
      <c r="G31" s="1">
        <v>39446</v>
      </c>
      <c r="H31" s="1" t="s">
        <v>87</v>
      </c>
      <c r="I31" t="s">
        <v>14</v>
      </c>
      <c r="J31" t="s">
        <v>12</v>
      </c>
      <c r="L31" t="s">
        <v>120</v>
      </c>
      <c r="M31" s="17" t="str">
        <f t="shared" si="1"/>
        <v>Qtrend</v>
      </c>
      <c r="N31" s="133" t="str">
        <f t="shared" si="2"/>
        <v>P</v>
      </c>
      <c r="O31" s="152" t="str">
        <f t="shared" si="3"/>
        <v>12/30/2007</v>
      </c>
      <c r="P31" s="119" t="str">
        <f t="shared" si="4"/>
        <v>Dec 30 2007</v>
      </c>
      <c r="Q31" s="3"/>
      <c r="R31" s="107" t="s">
        <v>431</v>
      </c>
      <c r="S31" s="98" t="s">
        <v>432</v>
      </c>
      <c r="T31" s="102" t="s">
        <v>433</v>
      </c>
      <c r="U31" s="100" t="s">
        <v>434</v>
      </c>
      <c r="V31" s="154" t="str">
        <f t="shared" si="5"/>
        <v>Apr 22 2007</v>
      </c>
      <c r="W31" s="107" t="s">
        <v>435</v>
      </c>
      <c r="X31" s="101" t="s">
        <v>436</v>
      </c>
      <c r="Y31" s="101" t="s">
        <v>437</v>
      </c>
      <c r="Z31" s="97" t="str">
        <f t="shared" si="6"/>
        <v>Jul 15 2007</v>
      </c>
      <c r="AA31" s="107" t="s">
        <v>438</v>
      </c>
      <c r="AB31" s="101" t="s">
        <v>439</v>
      </c>
      <c r="AC31" s="101" t="s">
        <v>440</v>
      </c>
      <c r="AD31" s="97" t="str">
        <f t="shared" si="7"/>
        <v>Oct 7 2007</v>
      </c>
      <c r="AE31" s="107" t="s">
        <v>441</v>
      </c>
      <c r="AF31" s="101" t="s">
        <v>442</v>
      </c>
      <c r="AG31" s="108" t="s">
        <v>443</v>
      </c>
      <c r="AH31" s="130" t="s">
        <v>705</v>
      </c>
      <c r="AI31" s="95"/>
      <c r="AJ31" s="154">
        <f t="shared" si="8"/>
        <v>39194</v>
      </c>
      <c r="AK31" s="95"/>
      <c r="AL31" s="153">
        <f t="shared" si="9"/>
        <v>39278</v>
      </c>
      <c r="AM31" s="95"/>
      <c r="AN31" s="153">
        <f t="shared" si="10"/>
        <v>39362</v>
      </c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  <c r="BW31" s="95"/>
      <c r="BX31" s="95"/>
      <c r="BY31" s="95"/>
      <c r="BZ31" s="95"/>
      <c r="CA31" s="95"/>
      <c r="CB31" s="95"/>
      <c r="CC31" s="95"/>
      <c r="CD31" s="95"/>
      <c r="CE31" s="95"/>
      <c r="CF31" s="95"/>
      <c r="CG31" s="95"/>
      <c r="CH31" s="95"/>
      <c r="CI31" s="95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</row>
    <row r="32" spans="1:98" ht="15.75" x14ac:dyDescent="0.25">
      <c r="A32" s="55">
        <v>39810</v>
      </c>
      <c r="B32" s="56" t="str">
        <f t="shared" si="0"/>
        <v>Qtrend</v>
      </c>
      <c r="C32" s="56" t="s">
        <v>109</v>
      </c>
      <c r="D32" s="57"/>
      <c r="F32" s="1">
        <v>39783</v>
      </c>
      <c r="G32" s="1">
        <v>39810</v>
      </c>
      <c r="H32" s="1" t="s">
        <v>88</v>
      </c>
      <c r="I32" t="s">
        <v>14</v>
      </c>
      <c r="J32" t="s">
        <v>12</v>
      </c>
      <c r="L32" t="s">
        <v>121</v>
      </c>
      <c r="M32" s="17" t="str">
        <f t="shared" si="1"/>
        <v>Qtrend</v>
      </c>
      <c r="N32" s="133" t="str">
        <f t="shared" si="2"/>
        <v>P</v>
      </c>
      <c r="O32" s="152" t="str">
        <f t="shared" si="3"/>
        <v>12/28/2008</v>
      </c>
      <c r="P32" s="119" t="str">
        <f t="shared" si="4"/>
        <v>Dec 28 2008</v>
      </c>
      <c r="Q32" s="3"/>
      <c r="R32" s="107" t="s">
        <v>470</v>
      </c>
      <c r="S32" s="98" t="s">
        <v>471</v>
      </c>
      <c r="T32" s="102" t="s">
        <v>472</v>
      </c>
      <c r="U32" s="100" t="s">
        <v>473</v>
      </c>
      <c r="V32" s="154" t="str">
        <f t="shared" si="5"/>
        <v>Apr 20 2008</v>
      </c>
      <c r="W32" s="107" t="s">
        <v>474</v>
      </c>
      <c r="X32" s="101" t="s">
        <v>475</v>
      </c>
      <c r="Y32" s="101" t="s">
        <v>476</v>
      </c>
      <c r="Z32" s="97" t="str">
        <f t="shared" si="6"/>
        <v>Jul 13 2008</v>
      </c>
      <c r="AA32" s="107" t="s">
        <v>477</v>
      </c>
      <c r="AB32" s="101" t="s">
        <v>478</v>
      </c>
      <c r="AC32" s="101" t="s">
        <v>479</v>
      </c>
      <c r="AD32" s="97" t="str">
        <f t="shared" si="7"/>
        <v>Oct 5 2008</v>
      </c>
      <c r="AE32" s="107" t="s">
        <v>480</v>
      </c>
      <c r="AF32" s="101" t="s">
        <v>481</v>
      </c>
      <c r="AG32" s="108" t="s">
        <v>482</v>
      </c>
      <c r="AH32" s="130" t="s">
        <v>706</v>
      </c>
      <c r="AI32" s="95"/>
      <c r="AJ32" s="154">
        <f t="shared" si="8"/>
        <v>39558</v>
      </c>
      <c r="AK32" s="95"/>
      <c r="AL32" s="153">
        <f t="shared" si="9"/>
        <v>39642</v>
      </c>
      <c r="AM32" s="95"/>
      <c r="AN32" s="153">
        <f t="shared" si="10"/>
        <v>39726</v>
      </c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5"/>
      <c r="CC32" s="95"/>
      <c r="CD32" s="95"/>
      <c r="CE32" s="95"/>
      <c r="CF32" s="95"/>
      <c r="CG32" s="95"/>
      <c r="CH32" s="95"/>
      <c r="CI32" s="95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</row>
    <row r="33" spans="1:98" ht="15" customHeight="1" x14ac:dyDescent="0.25">
      <c r="A33" s="55">
        <v>39048</v>
      </c>
      <c r="B33" s="56" t="str">
        <f t="shared" si="0"/>
        <v>Qtrend</v>
      </c>
      <c r="C33" s="56" t="s">
        <v>111</v>
      </c>
      <c r="D33" s="57"/>
      <c r="F33" s="1">
        <v>39048</v>
      </c>
      <c r="G33" s="1">
        <v>39082</v>
      </c>
      <c r="H33" s="1" t="s">
        <v>86</v>
      </c>
      <c r="I33" t="s">
        <v>14</v>
      </c>
      <c r="J33" t="s">
        <v>12</v>
      </c>
      <c r="L33" t="s">
        <v>119</v>
      </c>
      <c r="M33" s="17" t="str">
        <f t="shared" si="1"/>
        <v>Qtrend</v>
      </c>
      <c r="N33" s="133" t="str">
        <f t="shared" si="2"/>
        <v>P</v>
      </c>
      <c r="O33" s="152" t="str">
        <f t="shared" si="3"/>
        <v>12/31/2006</v>
      </c>
      <c r="P33" s="119" t="str">
        <f t="shared" si="4"/>
        <v>Dec 31 2006</v>
      </c>
      <c r="Q33" s="3"/>
      <c r="R33" s="107" t="s">
        <v>649</v>
      </c>
      <c r="S33" s="98" t="s">
        <v>650</v>
      </c>
      <c r="T33" s="102" t="s">
        <v>651</v>
      </c>
      <c r="U33" s="100" t="s">
        <v>652</v>
      </c>
      <c r="V33" s="154" t="str">
        <f t="shared" si="5"/>
        <v>Apr 16 2006</v>
      </c>
      <c r="W33" s="107" t="s">
        <v>653</v>
      </c>
      <c r="X33" s="101" t="s">
        <v>654</v>
      </c>
      <c r="Y33" s="101" t="s">
        <v>655</v>
      </c>
      <c r="Z33" s="97" t="str">
        <f t="shared" si="6"/>
        <v>Jul 9 2006</v>
      </c>
      <c r="AA33" s="107" t="s">
        <v>656</v>
      </c>
      <c r="AB33" s="101" t="s">
        <v>657</v>
      </c>
      <c r="AC33" s="101" t="s">
        <v>658</v>
      </c>
      <c r="AD33" s="97" t="str">
        <f t="shared" si="7"/>
        <v>Oct 1 2006</v>
      </c>
      <c r="AE33" s="107" t="s">
        <v>659</v>
      </c>
      <c r="AF33" s="101" t="s">
        <v>660</v>
      </c>
      <c r="AG33" s="108" t="s">
        <v>661</v>
      </c>
      <c r="AH33" s="130" t="s">
        <v>704</v>
      </c>
      <c r="AI33" s="95"/>
      <c r="AJ33" s="154">
        <f t="shared" si="8"/>
        <v>38823</v>
      </c>
      <c r="AK33" s="95"/>
      <c r="AL33" s="153">
        <f t="shared" si="9"/>
        <v>38907</v>
      </c>
      <c r="AM33" s="95"/>
      <c r="AN33" s="153">
        <f t="shared" si="10"/>
        <v>38991</v>
      </c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5"/>
      <c r="BP33" s="95"/>
      <c r="BQ33" s="95"/>
      <c r="BR33" s="95"/>
      <c r="BS33" s="95"/>
      <c r="BT33" s="95"/>
      <c r="BU33" s="95"/>
      <c r="BV33" s="95"/>
      <c r="BW33" s="95"/>
      <c r="BX33" s="95"/>
      <c r="BY33" s="95"/>
      <c r="BZ33" s="95"/>
      <c r="CA33" s="95"/>
      <c r="CB33" s="95"/>
      <c r="CC33" s="95"/>
      <c r="CD33" s="95"/>
      <c r="CE33" s="95"/>
      <c r="CF33" s="95"/>
      <c r="CG33" s="95"/>
      <c r="CH33" s="95"/>
      <c r="CI33" s="95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</row>
    <row r="34" spans="1:98" ht="15.75" x14ac:dyDescent="0.25">
      <c r="A34" s="55">
        <v>43066</v>
      </c>
      <c r="B34" s="56" t="str">
        <f t="shared" si="0"/>
        <v>Qtrend</v>
      </c>
      <c r="C34" s="56" t="s">
        <v>111</v>
      </c>
      <c r="D34" s="57"/>
      <c r="F34" s="1">
        <v>43066</v>
      </c>
      <c r="G34" s="1">
        <v>43100</v>
      </c>
      <c r="H34" s="1" t="s">
        <v>70</v>
      </c>
      <c r="I34" t="s">
        <v>14</v>
      </c>
      <c r="J34" t="s">
        <v>12</v>
      </c>
      <c r="L34" t="s">
        <v>131</v>
      </c>
      <c r="M34" s="17" t="str">
        <f t="shared" si="1"/>
        <v>Qtrend</v>
      </c>
      <c r="N34" s="133" t="str">
        <f t="shared" si="2"/>
        <v>P</v>
      </c>
      <c r="O34" s="152" t="str">
        <f t="shared" si="3"/>
        <v>12/31/2017</v>
      </c>
      <c r="P34" s="119" t="str">
        <f t="shared" si="4"/>
        <v>Dec 31 2017</v>
      </c>
      <c r="Q34" s="3"/>
      <c r="R34" s="107" t="s">
        <v>314</v>
      </c>
      <c r="S34" s="98" t="s">
        <v>315</v>
      </c>
      <c r="T34" s="102" t="s">
        <v>316</v>
      </c>
      <c r="U34" s="100" t="s">
        <v>317</v>
      </c>
      <c r="V34" s="154" t="str">
        <f t="shared" si="5"/>
        <v>Apr 16 2017</v>
      </c>
      <c r="W34" s="107" t="s">
        <v>318</v>
      </c>
      <c r="X34" s="101" t="s">
        <v>319</v>
      </c>
      <c r="Y34" s="101" t="s">
        <v>320</v>
      </c>
      <c r="Z34" s="97" t="str">
        <f t="shared" si="6"/>
        <v>Jul 9 2017</v>
      </c>
      <c r="AA34" s="107" t="s">
        <v>321</v>
      </c>
      <c r="AB34" s="101" t="s">
        <v>322</v>
      </c>
      <c r="AC34" s="101" t="s">
        <v>323</v>
      </c>
      <c r="AD34" s="97" t="str">
        <f t="shared" si="7"/>
        <v>Oct 1 2017</v>
      </c>
      <c r="AE34" s="107" t="s">
        <v>324</v>
      </c>
      <c r="AF34" s="101" t="s">
        <v>325</v>
      </c>
      <c r="AG34" s="108" t="s">
        <v>326</v>
      </c>
      <c r="AH34" s="130" t="s">
        <v>707</v>
      </c>
      <c r="AI34" s="95"/>
      <c r="AJ34" s="154">
        <f t="shared" si="8"/>
        <v>42841</v>
      </c>
      <c r="AK34" s="95"/>
      <c r="AL34" s="153">
        <f t="shared" si="9"/>
        <v>42925</v>
      </c>
      <c r="AM34" s="95"/>
      <c r="AN34" s="153">
        <f t="shared" si="10"/>
        <v>43009</v>
      </c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5"/>
      <c r="BP34" s="95"/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5"/>
      <c r="CC34" s="95"/>
      <c r="CD34" s="95"/>
      <c r="CE34" s="95"/>
      <c r="CF34" s="95"/>
      <c r="CG34" s="95"/>
      <c r="CH34" s="95"/>
      <c r="CI34" s="95"/>
      <c r="CJ34" s="92"/>
      <c r="CK34" s="92"/>
      <c r="CL34" s="92"/>
      <c r="CM34" s="92"/>
      <c r="CN34" s="92"/>
      <c r="CO34" s="92"/>
      <c r="CP34" s="92"/>
      <c r="CQ34" s="92"/>
      <c r="CR34" s="92"/>
      <c r="CS34" s="92"/>
      <c r="CT34" s="92"/>
    </row>
    <row r="35" spans="1:98" ht="15.75" x14ac:dyDescent="0.25">
      <c r="A35" s="55">
        <v>47084</v>
      </c>
      <c r="B35" s="56" t="str">
        <f t="shared" si="0"/>
        <v>Qtrend</v>
      </c>
      <c r="C35" s="56" t="s">
        <v>111</v>
      </c>
      <c r="D35" s="57"/>
      <c r="F35" s="1">
        <v>47084</v>
      </c>
      <c r="G35" s="1">
        <v>47118</v>
      </c>
      <c r="H35" s="1" t="s">
        <v>103</v>
      </c>
      <c r="I35" t="s">
        <v>14</v>
      </c>
      <c r="J35" t="s">
        <v>12</v>
      </c>
      <c r="L35" t="s">
        <v>132</v>
      </c>
      <c r="M35" s="17" t="str">
        <f t="shared" si="1"/>
        <v>Qtrend</v>
      </c>
      <c r="N35" s="133" t="str">
        <f t="shared" si="2"/>
        <v>P</v>
      </c>
      <c r="O35" s="152" t="str">
        <f t="shared" si="3"/>
        <v>12/31/2028</v>
      </c>
      <c r="P35" s="119" t="str">
        <f t="shared" si="4"/>
        <v>Dec 31 2028</v>
      </c>
      <c r="Q35" s="3"/>
      <c r="R35" s="107" t="s">
        <v>623</v>
      </c>
      <c r="S35" s="98" t="s">
        <v>624</v>
      </c>
      <c r="T35" s="102" t="s">
        <v>625</v>
      </c>
      <c r="U35" s="100" t="s">
        <v>626</v>
      </c>
      <c r="V35" s="154" t="str">
        <f t="shared" si="5"/>
        <v>Apr 16 2028</v>
      </c>
      <c r="W35" s="107" t="s">
        <v>627</v>
      </c>
      <c r="X35" s="101" t="s">
        <v>628</v>
      </c>
      <c r="Y35" s="101" t="s">
        <v>629</v>
      </c>
      <c r="Z35" s="97" t="str">
        <f t="shared" si="6"/>
        <v>Jul 9 2028</v>
      </c>
      <c r="AA35" s="107" t="s">
        <v>630</v>
      </c>
      <c r="AB35" s="101" t="s">
        <v>631</v>
      </c>
      <c r="AC35" s="101" t="s">
        <v>632</v>
      </c>
      <c r="AD35" s="97" t="str">
        <f t="shared" si="7"/>
        <v>Oct 1 2028</v>
      </c>
      <c r="AE35" s="107" t="s">
        <v>633</v>
      </c>
      <c r="AF35" s="101" t="s">
        <v>634</v>
      </c>
      <c r="AG35" s="108" t="s">
        <v>635</v>
      </c>
      <c r="AH35" s="130" t="s">
        <v>699</v>
      </c>
      <c r="AJ35" s="154">
        <f t="shared" si="8"/>
        <v>46859</v>
      </c>
      <c r="AK35" s="127"/>
      <c r="AL35" s="153">
        <f t="shared" si="9"/>
        <v>46943</v>
      </c>
      <c r="AM35" s="127"/>
      <c r="AN35" s="153">
        <f t="shared" si="10"/>
        <v>47027</v>
      </c>
      <c r="AO35" s="127"/>
      <c r="AP35" s="127"/>
      <c r="AQ35" s="127"/>
      <c r="AR35" s="127"/>
      <c r="AS35" s="127"/>
      <c r="AT35" s="127"/>
      <c r="AU35" s="127"/>
      <c r="AV35" s="127"/>
      <c r="AW35" s="127"/>
      <c r="AX35" s="127"/>
      <c r="AY35" s="127"/>
      <c r="AZ35" s="127"/>
      <c r="BA35" s="127"/>
      <c r="BB35" s="127"/>
      <c r="BC35" s="127"/>
      <c r="BD35" s="127"/>
      <c r="BE35" s="127"/>
      <c r="BF35" s="127"/>
      <c r="BG35" s="127"/>
      <c r="BH35" s="127"/>
      <c r="BI35" s="127"/>
      <c r="BJ35" s="127"/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  <c r="CG35" s="127"/>
      <c r="CH35" s="127"/>
      <c r="CI35" s="127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</row>
    <row r="36" spans="1:98" ht="15.75" x14ac:dyDescent="0.25">
      <c r="A36" s="55">
        <v>39082</v>
      </c>
      <c r="B36" s="56" t="str">
        <f t="shared" si="0"/>
        <v>Qtrend</v>
      </c>
      <c r="C36" s="56" t="s">
        <v>112</v>
      </c>
      <c r="D36" s="57"/>
      <c r="F36" s="1">
        <v>39048</v>
      </c>
      <c r="G36" s="1">
        <v>39082</v>
      </c>
      <c r="H36" s="1" t="s">
        <v>86</v>
      </c>
      <c r="I36" t="s">
        <v>14</v>
      </c>
      <c r="J36" t="s">
        <v>12</v>
      </c>
      <c r="L36" t="s">
        <v>119</v>
      </c>
      <c r="M36" s="17" t="str">
        <f t="shared" si="1"/>
        <v>Qtrend</v>
      </c>
      <c r="N36" s="133" t="str">
        <f t="shared" si="2"/>
        <v>P</v>
      </c>
      <c r="O36" s="152" t="str">
        <f t="shared" si="3"/>
        <v>12/31/2006</v>
      </c>
      <c r="P36" s="119" t="str">
        <f t="shared" si="4"/>
        <v>Dec 31 2006</v>
      </c>
      <c r="Q36" s="3"/>
      <c r="R36" s="107" t="s">
        <v>649</v>
      </c>
      <c r="S36" s="98" t="s">
        <v>650</v>
      </c>
      <c r="T36" s="102" t="s">
        <v>651</v>
      </c>
      <c r="U36" s="100" t="s">
        <v>652</v>
      </c>
      <c r="V36" s="154" t="str">
        <f t="shared" si="5"/>
        <v>Apr 16 2006</v>
      </c>
      <c r="W36" s="107" t="s">
        <v>653</v>
      </c>
      <c r="X36" s="101" t="s">
        <v>654</v>
      </c>
      <c r="Y36" s="101" t="s">
        <v>655</v>
      </c>
      <c r="Z36" s="97" t="str">
        <f t="shared" si="6"/>
        <v>Jul 9 2006</v>
      </c>
      <c r="AA36" s="107" t="s">
        <v>656</v>
      </c>
      <c r="AB36" s="101" t="s">
        <v>657</v>
      </c>
      <c r="AC36" s="101" t="s">
        <v>658</v>
      </c>
      <c r="AD36" s="97" t="str">
        <f t="shared" si="7"/>
        <v>Oct 1 2006</v>
      </c>
      <c r="AE36" s="107" t="s">
        <v>659</v>
      </c>
      <c r="AF36" s="101" t="s">
        <v>660</v>
      </c>
      <c r="AG36" s="108" t="s">
        <v>661</v>
      </c>
      <c r="AH36" s="130" t="s">
        <v>704</v>
      </c>
      <c r="AJ36" s="154">
        <f t="shared" si="8"/>
        <v>38823</v>
      </c>
      <c r="AK36" s="127"/>
      <c r="AL36" s="153">
        <f t="shared" si="9"/>
        <v>38907</v>
      </c>
      <c r="AM36" s="127"/>
      <c r="AN36" s="153">
        <f t="shared" si="10"/>
        <v>38991</v>
      </c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7"/>
      <c r="BD36" s="127"/>
      <c r="BE36" s="127"/>
      <c r="BF36" s="127"/>
      <c r="BG36" s="127"/>
      <c r="BH36" s="127"/>
      <c r="BI36" s="127"/>
      <c r="BJ36" s="127"/>
      <c r="BK36" s="127"/>
      <c r="BL36" s="127"/>
      <c r="BM36" s="127"/>
      <c r="BN36" s="127"/>
      <c r="BO36" s="127"/>
      <c r="BP36" s="127"/>
      <c r="BQ36" s="127"/>
      <c r="BR36" s="127"/>
      <c r="BS36" s="127"/>
      <c r="BT36" s="127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  <c r="CG36" s="127"/>
      <c r="CH36" s="127"/>
      <c r="CI36" s="127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</row>
    <row r="37" spans="1:98" ht="15.75" x14ac:dyDescent="0.25">
      <c r="A37" s="55">
        <v>43100</v>
      </c>
      <c r="B37" s="56" t="str">
        <f t="shared" si="0"/>
        <v>Qtrend</v>
      </c>
      <c r="C37" s="56" t="s">
        <v>112</v>
      </c>
      <c r="D37" s="57"/>
      <c r="F37" s="1">
        <v>43066</v>
      </c>
      <c r="G37" s="1">
        <v>43100</v>
      </c>
      <c r="H37" s="1" t="s">
        <v>70</v>
      </c>
      <c r="I37" t="s">
        <v>14</v>
      </c>
      <c r="J37" t="s">
        <v>12</v>
      </c>
      <c r="L37" t="s">
        <v>131</v>
      </c>
      <c r="M37" s="17" t="str">
        <f t="shared" si="1"/>
        <v>Qtrend</v>
      </c>
      <c r="N37" s="133" t="str">
        <f t="shared" si="2"/>
        <v>P</v>
      </c>
      <c r="O37" s="152" t="str">
        <f t="shared" si="3"/>
        <v>12/31/2017</v>
      </c>
      <c r="P37" s="119" t="str">
        <f t="shared" si="4"/>
        <v>Dec 31 2017</v>
      </c>
      <c r="Q37" s="3"/>
      <c r="R37" s="107" t="s">
        <v>314</v>
      </c>
      <c r="S37" s="98" t="s">
        <v>315</v>
      </c>
      <c r="T37" s="102" t="s">
        <v>316</v>
      </c>
      <c r="U37" s="100" t="s">
        <v>317</v>
      </c>
      <c r="V37" s="154" t="str">
        <f t="shared" si="5"/>
        <v>Apr 16 2017</v>
      </c>
      <c r="W37" s="107" t="s">
        <v>318</v>
      </c>
      <c r="X37" s="101" t="s">
        <v>319</v>
      </c>
      <c r="Y37" s="101" t="s">
        <v>320</v>
      </c>
      <c r="Z37" s="97" t="str">
        <f t="shared" si="6"/>
        <v>Jul 9 2017</v>
      </c>
      <c r="AA37" s="107" t="s">
        <v>321</v>
      </c>
      <c r="AB37" s="101" t="s">
        <v>322</v>
      </c>
      <c r="AC37" s="101" t="s">
        <v>323</v>
      </c>
      <c r="AD37" s="97" t="str">
        <f t="shared" si="7"/>
        <v>Oct 1 2017</v>
      </c>
      <c r="AE37" s="107" t="s">
        <v>324</v>
      </c>
      <c r="AF37" s="101" t="s">
        <v>325</v>
      </c>
      <c r="AG37" s="108" t="s">
        <v>326</v>
      </c>
      <c r="AH37" s="130" t="s">
        <v>707</v>
      </c>
      <c r="AJ37" s="154">
        <f t="shared" si="8"/>
        <v>42841</v>
      </c>
      <c r="AK37" s="127"/>
      <c r="AL37" s="153">
        <f t="shared" si="9"/>
        <v>42925</v>
      </c>
      <c r="AM37" s="127"/>
      <c r="AN37" s="153">
        <f t="shared" si="10"/>
        <v>43009</v>
      </c>
      <c r="AO37" s="127"/>
      <c r="AP37" s="127"/>
      <c r="AQ37" s="127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7"/>
      <c r="BC37" s="127"/>
      <c r="BD37" s="127"/>
      <c r="BE37" s="127"/>
      <c r="BF37" s="127"/>
      <c r="BG37" s="127"/>
      <c r="BH37" s="127"/>
      <c r="BI37" s="127"/>
      <c r="BJ37" s="127"/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7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  <c r="CG37" s="127"/>
      <c r="CH37" s="127"/>
      <c r="CI37" s="127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</row>
    <row r="38" spans="1:98" ht="15.75" x14ac:dyDescent="0.25">
      <c r="A38" s="55">
        <v>47118</v>
      </c>
      <c r="B38" s="56" t="str">
        <f t="shared" si="0"/>
        <v>Qtrend</v>
      </c>
      <c r="C38" s="56" t="s">
        <v>112</v>
      </c>
      <c r="D38" s="57"/>
      <c r="F38" s="1">
        <v>47084</v>
      </c>
      <c r="G38" s="1">
        <v>47118</v>
      </c>
      <c r="H38" s="1" t="s">
        <v>103</v>
      </c>
      <c r="I38" t="s">
        <v>14</v>
      </c>
      <c r="J38" t="s">
        <v>12</v>
      </c>
      <c r="L38" t="s">
        <v>132</v>
      </c>
      <c r="M38" s="17" t="str">
        <f t="shared" si="1"/>
        <v>Qtrend</v>
      </c>
      <c r="N38" s="133" t="str">
        <f t="shared" si="2"/>
        <v>P</v>
      </c>
      <c r="O38" s="152" t="str">
        <f t="shared" si="3"/>
        <v>12/31/2028</v>
      </c>
      <c r="P38" s="119" t="str">
        <f t="shared" si="4"/>
        <v>Dec 31 2028</v>
      </c>
      <c r="Q38" s="3"/>
      <c r="R38" s="107" t="s">
        <v>623</v>
      </c>
      <c r="S38" s="98" t="s">
        <v>624</v>
      </c>
      <c r="T38" s="102" t="s">
        <v>625</v>
      </c>
      <c r="U38" s="100" t="s">
        <v>626</v>
      </c>
      <c r="V38" s="154" t="str">
        <f t="shared" si="5"/>
        <v>Apr 16 2028</v>
      </c>
      <c r="W38" s="107" t="s">
        <v>627</v>
      </c>
      <c r="X38" s="101" t="s">
        <v>628</v>
      </c>
      <c r="Y38" s="101" t="s">
        <v>629</v>
      </c>
      <c r="Z38" s="97" t="str">
        <f t="shared" si="6"/>
        <v>Jul 9 2028</v>
      </c>
      <c r="AA38" s="107" t="s">
        <v>630</v>
      </c>
      <c r="AB38" s="101" t="s">
        <v>631</v>
      </c>
      <c r="AC38" s="101" t="s">
        <v>632</v>
      </c>
      <c r="AD38" s="97" t="str">
        <f t="shared" si="7"/>
        <v>Oct 1 2028</v>
      </c>
      <c r="AE38" s="107" t="s">
        <v>633</v>
      </c>
      <c r="AF38" s="101" t="s">
        <v>634</v>
      </c>
      <c r="AG38" s="108" t="s">
        <v>635</v>
      </c>
      <c r="AH38" s="130" t="s">
        <v>699</v>
      </c>
      <c r="AJ38" s="154">
        <f t="shared" si="8"/>
        <v>46859</v>
      </c>
      <c r="AK38" s="127"/>
      <c r="AL38" s="153">
        <f t="shared" si="9"/>
        <v>46943</v>
      </c>
      <c r="AM38" s="127"/>
      <c r="AN38" s="153">
        <f t="shared" si="10"/>
        <v>47027</v>
      </c>
      <c r="AO38" s="127"/>
      <c r="AP38" s="127"/>
      <c r="AQ38" s="127"/>
      <c r="AR38" s="127"/>
      <c r="AS38" s="127"/>
      <c r="AT38" s="127"/>
      <c r="AU38" s="127"/>
      <c r="AV38" s="127"/>
      <c r="AW38" s="127"/>
      <c r="AX38" s="127"/>
      <c r="AY38" s="127"/>
      <c r="AZ38" s="127"/>
      <c r="BA38" s="127"/>
      <c r="BB38" s="127"/>
      <c r="BC38" s="127"/>
      <c r="BD38" s="127"/>
      <c r="BE38" s="127"/>
      <c r="BF38" s="127"/>
      <c r="BG38" s="127"/>
      <c r="BH38" s="127"/>
      <c r="BI38" s="127"/>
      <c r="BJ38" s="127"/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  <c r="CG38" s="127"/>
      <c r="CH38" s="127"/>
      <c r="CI38" s="127"/>
      <c r="CJ38" s="92"/>
      <c r="CK38" s="92"/>
      <c r="CL38" s="92"/>
      <c r="CM38" s="92"/>
      <c r="CN38" s="92"/>
      <c r="CO38" s="92"/>
      <c r="CP38" s="92"/>
      <c r="CQ38" s="92"/>
      <c r="CR38" s="92"/>
      <c r="CS38" s="92"/>
      <c r="CT38" s="92"/>
    </row>
    <row r="39" spans="1:98" ht="15.75" x14ac:dyDescent="0.25">
      <c r="A39" s="55">
        <v>39048</v>
      </c>
      <c r="B39" s="56" t="str">
        <f t="shared" si="0"/>
        <v>Qtrend</v>
      </c>
      <c r="C39" s="56" t="s">
        <v>111</v>
      </c>
      <c r="D39" s="57"/>
      <c r="F39" s="1">
        <v>39048</v>
      </c>
      <c r="G39" s="1">
        <v>39082</v>
      </c>
      <c r="H39" s="1" t="s">
        <v>86</v>
      </c>
      <c r="I39" t="s">
        <v>14</v>
      </c>
      <c r="J39" t="s">
        <v>12</v>
      </c>
      <c r="L39" t="s">
        <v>119</v>
      </c>
      <c r="M39" s="17" t="str">
        <f t="shared" si="1"/>
        <v>Qtrend</v>
      </c>
      <c r="N39" s="133" t="str">
        <f t="shared" si="2"/>
        <v>P</v>
      </c>
      <c r="O39" s="152" t="str">
        <f t="shared" si="3"/>
        <v>12/31/2006</v>
      </c>
      <c r="P39" s="119" t="str">
        <f t="shared" si="4"/>
        <v>Dec 31 2006</v>
      </c>
      <c r="Q39" s="3"/>
      <c r="R39" s="107" t="s">
        <v>649</v>
      </c>
      <c r="S39" s="98" t="s">
        <v>650</v>
      </c>
      <c r="T39" s="102" t="s">
        <v>651</v>
      </c>
      <c r="U39" s="100" t="s">
        <v>652</v>
      </c>
      <c r="V39" s="154" t="str">
        <f t="shared" si="5"/>
        <v>Apr 16 2006</v>
      </c>
      <c r="W39" s="107" t="s">
        <v>653</v>
      </c>
      <c r="X39" s="101" t="s">
        <v>654</v>
      </c>
      <c r="Y39" s="101" t="s">
        <v>655</v>
      </c>
      <c r="Z39" s="97" t="str">
        <f t="shared" si="6"/>
        <v>Jul 9 2006</v>
      </c>
      <c r="AA39" s="107" t="s">
        <v>656</v>
      </c>
      <c r="AB39" s="101" t="s">
        <v>657</v>
      </c>
      <c r="AC39" s="101" t="s">
        <v>658</v>
      </c>
      <c r="AD39" s="97" t="str">
        <f t="shared" si="7"/>
        <v>Oct 1 2006</v>
      </c>
      <c r="AE39" s="107" t="s">
        <v>659</v>
      </c>
      <c r="AF39" s="101" t="s">
        <v>660</v>
      </c>
      <c r="AG39" s="108" t="s">
        <v>661</v>
      </c>
      <c r="AH39" s="130" t="s">
        <v>704</v>
      </c>
      <c r="AJ39" s="154">
        <f t="shared" si="8"/>
        <v>38823</v>
      </c>
      <c r="AK39" s="127"/>
      <c r="AL39" s="153">
        <f t="shared" si="9"/>
        <v>38907</v>
      </c>
      <c r="AM39" s="127"/>
      <c r="AN39" s="153">
        <f t="shared" si="10"/>
        <v>38991</v>
      </c>
      <c r="AO39" s="127"/>
      <c r="AP39" s="127"/>
      <c r="AQ39" s="127"/>
      <c r="AR39" s="127"/>
      <c r="AS39" s="127"/>
      <c r="AT39" s="127"/>
      <c r="AU39" s="127"/>
      <c r="AV39" s="127"/>
      <c r="AW39" s="127"/>
      <c r="AX39" s="127"/>
      <c r="AY39" s="127"/>
      <c r="AZ39" s="127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  <c r="CG39" s="127"/>
      <c r="CH39" s="127"/>
      <c r="CI39" s="127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</row>
    <row r="40" spans="1:98" ht="15.75" x14ac:dyDescent="0.25">
      <c r="A40" s="55">
        <v>43066</v>
      </c>
      <c r="B40" s="56" t="str">
        <f t="shared" ref="B40:B71" si="11">$M$1</f>
        <v>Qtrend</v>
      </c>
      <c r="C40" s="56" t="s">
        <v>111</v>
      </c>
      <c r="D40" s="57"/>
      <c r="F40" s="1">
        <v>43066</v>
      </c>
      <c r="G40" s="1">
        <v>43100</v>
      </c>
      <c r="H40" s="1" t="s">
        <v>70</v>
      </c>
      <c r="I40" t="s">
        <v>14</v>
      </c>
      <c r="J40" t="s">
        <v>12</v>
      </c>
      <c r="L40" t="s">
        <v>131</v>
      </c>
      <c r="M40" s="17" t="str">
        <f t="shared" si="1"/>
        <v>Qtrend</v>
      </c>
      <c r="N40" s="133" t="str">
        <f t="shared" si="2"/>
        <v>P</v>
      </c>
      <c r="O40" s="152" t="str">
        <f t="shared" si="3"/>
        <v>12/31/2017</v>
      </c>
      <c r="P40" s="119" t="str">
        <f t="shared" si="4"/>
        <v>Dec 31 2017</v>
      </c>
      <c r="Q40" s="3"/>
      <c r="R40" s="107" t="s">
        <v>314</v>
      </c>
      <c r="S40" s="98" t="s">
        <v>315</v>
      </c>
      <c r="T40" s="102" t="s">
        <v>316</v>
      </c>
      <c r="U40" s="100" t="s">
        <v>317</v>
      </c>
      <c r="V40" s="154" t="str">
        <f t="shared" si="5"/>
        <v>Apr 16 2017</v>
      </c>
      <c r="W40" s="107" t="s">
        <v>318</v>
      </c>
      <c r="X40" s="101" t="s">
        <v>319</v>
      </c>
      <c r="Y40" s="101" t="s">
        <v>320</v>
      </c>
      <c r="Z40" s="97" t="str">
        <f t="shared" si="6"/>
        <v>Jul 9 2017</v>
      </c>
      <c r="AA40" s="107" t="s">
        <v>321</v>
      </c>
      <c r="AB40" s="101" t="s">
        <v>322</v>
      </c>
      <c r="AC40" s="101" t="s">
        <v>323</v>
      </c>
      <c r="AD40" s="97" t="str">
        <f t="shared" si="7"/>
        <v>Oct 1 2017</v>
      </c>
      <c r="AE40" s="107" t="s">
        <v>324</v>
      </c>
      <c r="AF40" s="101" t="s">
        <v>325</v>
      </c>
      <c r="AG40" s="108" t="s">
        <v>326</v>
      </c>
      <c r="AH40" s="130" t="s">
        <v>707</v>
      </c>
      <c r="AJ40" s="154">
        <f t="shared" si="8"/>
        <v>42841</v>
      </c>
      <c r="AK40" s="127"/>
      <c r="AL40" s="153">
        <f t="shared" si="9"/>
        <v>42925</v>
      </c>
      <c r="AM40" s="127"/>
      <c r="AN40" s="153">
        <f t="shared" si="10"/>
        <v>43009</v>
      </c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</row>
    <row r="41" spans="1:98" ht="15.75" x14ac:dyDescent="0.25">
      <c r="A41" s="55">
        <v>47084</v>
      </c>
      <c r="B41" s="56" t="str">
        <f t="shared" si="11"/>
        <v>Qtrend</v>
      </c>
      <c r="C41" s="56" t="s">
        <v>111</v>
      </c>
      <c r="D41" s="57"/>
      <c r="F41" s="1">
        <v>47084</v>
      </c>
      <c r="G41" s="1">
        <v>47118</v>
      </c>
      <c r="H41" s="1" t="s">
        <v>103</v>
      </c>
      <c r="I41" t="s">
        <v>14</v>
      </c>
      <c r="J41" t="s">
        <v>12</v>
      </c>
      <c r="L41" t="s">
        <v>132</v>
      </c>
      <c r="M41" s="17" t="str">
        <f t="shared" si="1"/>
        <v>Qtrend</v>
      </c>
      <c r="N41" s="133" t="str">
        <f t="shared" si="2"/>
        <v>P</v>
      </c>
      <c r="O41" s="152" t="str">
        <f t="shared" si="3"/>
        <v>12/31/2028</v>
      </c>
      <c r="P41" s="119" t="str">
        <f t="shared" si="4"/>
        <v>Dec 31 2028</v>
      </c>
      <c r="Q41" s="3"/>
      <c r="R41" s="107" t="s">
        <v>623</v>
      </c>
      <c r="S41" s="98" t="s">
        <v>624</v>
      </c>
      <c r="T41" s="102" t="s">
        <v>625</v>
      </c>
      <c r="U41" s="100" t="s">
        <v>626</v>
      </c>
      <c r="V41" s="154" t="str">
        <f t="shared" si="5"/>
        <v>Apr 16 2028</v>
      </c>
      <c r="W41" s="107" t="s">
        <v>627</v>
      </c>
      <c r="X41" s="101" t="s">
        <v>628</v>
      </c>
      <c r="Y41" s="101" t="s">
        <v>629</v>
      </c>
      <c r="Z41" s="97" t="str">
        <f t="shared" si="6"/>
        <v>Jul 9 2028</v>
      </c>
      <c r="AA41" s="107" t="s">
        <v>630</v>
      </c>
      <c r="AB41" s="101" t="s">
        <v>631</v>
      </c>
      <c r="AC41" s="101" t="s">
        <v>632</v>
      </c>
      <c r="AD41" s="97" t="str">
        <f t="shared" si="7"/>
        <v>Oct 1 2028</v>
      </c>
      <c r="AE41" s="107" t="s">
        <v>633</v>
      </c>
      <c r="AF41" s="101" t="s">
        <v>634</v>
      </c>
      <c r="AG41" s="108" t="s">
        <v>635</v>
      </c>
      <c r="AH41" s="130" t="s">
        <v>699</v>
      </c>
      <c r="AJ41" s="154">
        <f t="shared" si="8"/>
        <v>46859</v>
      </c>
      <c r="AK41" s="127"/>
      <c r="AL41" s="153">
        <f t="shared" si="9"/>
        <v>46943</v>
      </c>
      <c r="AM41" s="127"/>
      <c r="AN41" s="153">
        <f t="shared" si="10"/>
        <v>47027</v>
      </c>
      <c r="AO41" s="127"/>
      <c r="AP41" s="127"/>
      <c r="AQ41" s="127"/>
      <c r="AR41" s="127"/>
      <c r="AS41" s="127"/>
      <c r="AT41" s="127"/>
      <c r="AU41" s="127"/>
      <c r="AV41" s="127"/>
      <c r="AW41" s="127"/>
      <c r="AX41" s="127"/>
      <c r="AY41" s="127"/>
      <c r="AZ41" s="127"/>
      <c r="BA41" s="127"/>
      <c r="BB41" s="127"/>
      <c r="BC41" s="127"/>
      <c r="BD41" s="127"/>
      <c r="BE41" s="127"/>
      <c r="BF41" s="127"/>
      <c r="BG41" s="127"/>
      <c r="BH41" s="127"/>
      <c r="BI41" s="127"/>
      <c r="BJ41" s="127"/>
      <c r="BK41" s="127"/>
      <c r="BL41" s="127"/>
      <c r="BM41" s="127"/>
      <c r="BN41" s="127"/>
      <c r="BO41" s="127"/>
      <c r="BP41" s="127"/>
      <c r="BQ41" s="127"/>
      <c r="BR41" s="127"/>
      <c r="BS41" s="127"/>
      <c r="BT41" s="127"/>
      <c r="BU41" s="127"/>
      <c r="BV41" s="127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  <c r="CG41" s="127"/>
      <c r="CH41" s="127"/>
      <c r="CI41" s="127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</row>
    <row r="42" spans="1:98" ht="15.75" x14ac:dyDescent="0.25">
      <c r="A42" s="55">
        <v>39082</v>
      </c>
      <c r="B42" s="56" t="str">
        <f t="shared" si="11"/>
        <v>Qtrend</v>
      </c>
      <c r="C42" s="56" t="s">
        <v>112</v>
      </c>
      <c r="D42" s="57"/>
      <c r="E42" s="2" t="s">
        <v>71</v>
      </c>
      <c r="F42" s="1">
        <v>39048</v>
      </c>
      <c r="G42" s="1">
        <v>39082</v>
      </c>
      <c r="H42" s="1" t="s">
        <v>86</v>
      </c>
      <c r="I42" t="s">
        <v>14</v>
      </c>
      <c r="J42" t="s">
        <v>12</v>
      </c>
      <c r="L42" t="s">
        <v>119</v>
      </c>
      <c r="M42" s="17" t="str">
        <f t="shared" si="1"/>
        <v>Qtrend</v>
      </c>
      <c r="N42" s="133" t="str">
        <f t="shared" si="2"/>
        <v>P</v>
      </c>
      <c r="O42" s="152" t="str">
        <f t="shared" si="3"/>
        <v>12/31/2006</v>
      </c>
      <c r="P42" s="119" t="str">
        <f t="shared" si="4"/>
        <v>Dec 31 2006</v>
      </c>
      <c r="Q42" s="3"/>
      <c r="R42" s="107" t="s">
        <v>649</v>
      </c>
      <c r="S42" s="98" t="s">
        <v>650</v>
      </c>
      <c r="T42" s="102" t="s">
        <v>651</v>
      </c>
      <c r="U42" s="100" t="s">
        <v>652</v>
      </c>
      <c r="V42" s="154" t="str">
        <f t="shared" si="5"/>
        <v>Apr 16 2006</v>
      </c>
      <c r="W42" s="107" t="s">
        <v>653</v>
      </c>
      <c r="X42" s="101" t="s">
        <v>654</v>
      </c>
      <c r="Y42" s="101" t="s">
        <v>655</v>
      </c>
      <c r="Z42" s="97" t="str">
        <f t="shared" si="6"/>
        <v>Jul 9 2006</v>
      </c>
      <c r="AA42" s="107" t="s">
        <v>656</v>
      </c>
      <c r="AB42" s="101" t="s">
        <v>657</v>
      </c>
      <c r="AC42" s="101" t="s">
        <v>658</v>
      </c>
      <c r="AD42" s="97" t="str">
        <f t="shared" si="7"/>
        <v>Oct 1 2006</v>
      </c>
      <c r="AE42" s="107" t="s">
        <v>659</v>
      </c>
      <c r="AF42" s="101" t="s">
        <v>660</v>
      </c>
      <c r="AG42" s="108" t="s">
        <v>661</v>
      </c>
      <c r="AH42" s="130" t="s">
        <v>704</v>
      </c>
      <c r="AJ42" s="154">
        <f t="shared" si="8"/>
        <v>38823</v>
      </c>
      <c r="AK42" s="127"/>
      <c r="AL42" s="153">
        <f t="shared" si="9"/>
        <v>38907</v>
      </c>
      <c r="AM42" s="127"/>
      <c r="AN42" s="153">
        <f t="shared" si="10"/>
        <v>38991</v>
      </c>
      <c r="AO42" s="127"/>
      <c r="AP42" s="127"/>
      <c r="AQ42" s="127"/>
      <c r="AR42" s="127"/>
      <c r="AS42" s="127"/>
      <c r="AT42" s="127"/>
      <c r="AU42" s="127"/>
      <c r="AV42" s="127"/>
      <c r="AW42" s="127"/>
      <c r="AX42" s="127"/>
      <c r="AY42" s="127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  <c r="BM42" s="127"/>
      <c r="BN42" s="127"/>
      <c r="BO42" s="127"/>
      <c r="BP42" s="127"/>
      <c r="BQ42" s="127"/>
      <c r="BR42" s="127"/>
      <c r="BS42" s="127"/>
      <c r="BT42" s="127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  <c r="CG42" s="127"/>
      <c r="CH42" s="127"/>
      <c r="CI42" s="127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</row>
    <row r="43" spans="1:98" ht="15.75" x14ac:dyDescent="0.25">
      <c r="A43" s="55">
        <v>43100</v>
      </c>
      <c r="B43" s="56" t="str">
        <f t="shared" si="11"/>
        <v>Qtrend</v>
      </c>
      <c r="C43" s="56" t="s">
        <v>112</v>
      </c>
      <c r="D43" s="57"/>
      <c r="F43" s="1">
        <v>43066</v>
      </c>
      <c r="G43" s="1">
        <v>43100</v>
      </c>
      <c r="H43" s="1" t="s">
        <v>70</v>
      </c>
      <c r="I43" t="s">
        <v>14</v>
      </c>
      <c r="J43" t="s">
        <v>12</v>
      </c>
      <c r="L43" t="s">
        <v>131</v>
      </c>
      <c r="M43" s="17" t="str">
        <f t="shared" si="1"/>
        <v>Qtrend</v>
      </c>
      <c r="N43" s="133" t="str">
        <f t="shared" si="2"/>
        <v>P</v>
      </c>
      <c r="O43" s="152" t="str">
        <f t="shared" si="3"/>
        <v>12/31/2017</v>
      </c>
      <c r="P43" s="119" t="str">
        <f t="shared" si="4"/>
        <v>Dec 31 2017</v>
      </c>
      <c r="Q43" s="3"/>
      <c r="R43" s="107" t="s">
        <v>314</v>
      </c>
      <c r="S43" s="98" t="s">
        <v>315</v>
      </c>
      <c r="T43" s="102" t="s">
        <v>316</v>
      </c>
      <c r="U43" s="100" t="s">
        <v>317</v>
      </c>
      <c r="V43" s="154" t="str">
        <f t="shared" si="5"/>
        <v>Apr 16 2017</v>
      </c>
      <c r="W43" s="107" t="s">
        <v>318</v>
      </c>
      <c r="X43" s="101" t="s">
        <v>319</v>
      </c>
      <c r="Y43" s="101" t="s">
        <v>320</v>
      </c>
      <c r="Z43" s="97" t="str">
        <f t="shared" si="6"/>
        <v>Jul 9 2017</v>
      </c>
      <c r="AA43" s="107" t="s">
        <v>321</v>
      </c>
      <c r="AB43" s="101" t="s">
        <v>322</v>
      </c>
      <c r="AC43" s="101" t="s">
        <v>323</v>
      </c>
      <c r="AD43" s="97" t="str">
        <f t="shared" si="7"/>
        <v>Oct 1 2017</v>
      </c>
      <c r="AE43" s="107" t="s">
        <v>324</v>
      </c>
      <c r="AF43" s="101" t="s">
        <v>325</v>
      </c>
      <c r="AG43" s="108" t="s">
        <v>326</v>
      </c>
      <c r="AH43" s="130" t="s">
        <v>707</v>
      </c>
      <c r="AJ43" s="154">
        <f t="shared" si="8"/>
        <v>42841</v>
      </c>
      <c r="AK43" s="127"/>
      <c r="AL43" s="153">
        <f t="shared" si="9"/>
        <v>42925</v>
      </c>
      <c r="AM43" s="127"/>
      <c r="AN43" s="153">
        <f t="shared" si="10"/>
        <v>43009</v>
      </c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7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</row>
    <row r="44" spans="1:98" ht="15.75" x14ac:dyDescent="0.25">
      <c r="A44" s="55">
        <v>47118</v>
      </c>
      <c r="B44" s="56" t="str">
        <f t="shared" si="11"/>
        <v>Qtrend</v>
      </c>
      <c r="C44" s="56" t="s">
        <v>112</v>
      </c>
      <c r="D44" s="57"/>
      <c r="F44" s="1">
        <v>47084</v>
      </c>
      <c r="G44" s="1">
        <v>47118</v>
      </c>
      <c r="H44" s="1" t="s">
        <v>103</v>
      </c>
      <c r="I44" t="s">
        <v>14</v>
      </c>
      <c r="J44" t="s">
        <v>12</v>
      </c>
      <c r="L44" t="s">
        <v>132</v>
      </c>
      <c r="M44" s="17" t="str">
        <f t="shared" si="1"/>
        <v>Qtrend</v>
      </c>
      <c r="N44" s="133" t="str">
        <f t="shared" si="2"/>
        <v>P</v>
      </c>
      <c r="O44" s="152" t="str">
        <f t="shared" si="3"/>
        <v>12/31/2028</v>
      </c>
      <c r="P44" s="119" t="str">
        <f t="shared" si="4"/>
        <v>Dec 31 2028</v>
      </c>
      <c r="Q44" s="3"/>
      <c r="R44" s="107" t="s">
        <v>623</v>
      </c>
      <c r="S44" s="98" t="s">
        <v>624</v>
      </c>
      <c r="T44" s="102" t="s">
        <v>625</v>
      </c>
      <c r="U44" s="100" t="s">
        <v>626</v>
      </c>
      <c r="V44" s="154" t="str">
        <f t="shared" si="5"/>
        <v>Apr 16 2028</v>
      </c>
      <c r="W44" s="107" t="s">
        <v>627</v>
      </c>
      <c r="X44" s="101" t="s">
        <v>628</v>
      </c>
      <c r="Y44" s="101" t="s">
        <v>629</v>
      </c>
      <c r="Z44" s="97" t="str">
        <f t="shared" si="6"/>
        <v>Jul 9 2028</v>
      </c>
      <c r="AA44" s="107" t="s">
        <v>630</v>
      </c>
      <c r="AB44" s="101" t="s">
        <v>631</v>
      </c>
      <c r="AC44" s="101" t="s">
        <v>632</v>
      </c>
      <c r="AD44" s="97" t="str">
        <f t="shared" si="7"/>
        <v>Oct 1 2028</v>
      </c>
      <c r="AE44" s="107" t="s">
        <v>633</v>
      </c>
      <c r="AF44" s="101" t="s">
        <v>634</v>
      </c>
      <c r="AG44" s="108" t="s">
        <v>635</v>
      </c>
      <c r="AH44" s="130" t="s">
        <v>699</v>
      </c>
      <c r="AJ44" s="154">
        <f t="shared" si="8"/>
        <v>46859</v>
      </c>
      <c r="AK44" s="127"/>
      <c r="AL44" s="153">
        <f t="shared" si="9"/>
        <v>46943</v>
      </c>
      <c r="AM44" s="127"/>
      <c r="AN44" s="153">
        <f t="shared" si="10"/>
        <v>47027</v>
      </c>
      <c r="AO44" s="127"/>
      <c r="AP44" s="127"/>
      <c r="AQ44" s="127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  <c r="CG44" s="127"/>
      <c r="CH44" s="127"/>
      <c r="CI44" s="127"/>
      <c r="CJ44" s="92"/>
      <c r="CK44" s="92"/>
      <c r="CL44" s="92"/>
      <c r="CM44" s="92"/>
      <c r="CN44" s="92"/>
      <c r="CO44" s="92"/>
      <c r="CP44" s="92"/>
      <c r="CQ44" s="92"/>
      <c r="CR44" s="92"/>
      <c r="CS44" s="92"/>
      <c r="CT44" s="92"/>
    </row>
    <row r="45" spans="1:98" ht="15.75" x14ac:dyDescent="0.25">
      <c r="A45" s="55">
        <v>39048</v>
      </c>
      <c r="B45" s="56" t="str">
        <f t="shared" si="11"/>
        <v>Qtrend</v>
      </c>
      <c r="C45" s="56" t="s">
        <v>111</v>
      </c>
      <c r="D45" s="57"/>
      <c r="F45" s="1">
        <v>39048</v>
      </c>
      <c r="G45" s="1">
        <v>39082</v>
      </c>
      <c r="H45" s="1" t="s">
        <v>86</v>
      </c>
      <c r="I45" t="s">
        <v>14</v>
      </c>
      <c r="J45" t="s">
        <v>12</v>
      </c>
      <c r="L45" t="s">
        <v>119</v>
      </c>
      <c r="M45" s="17" t="str">
        <f t="shared" si="1"/>
        <v>Qtrend</v>
      </c>
      <c r="N45" s="133" t="str">
        <f t="shared" si="2"/>
        <v>P</v>
      </c>
      <c r="O45" s="152" t="str">
        <f t="shared" si="3"/>
        <v>12/31/2006</v>
      </c>
      <c r="P45" s="119" t="str">
        <f t="shared" si="4"/>
        <v>Dec 31 2006</v>
      </c>
      <c r="Q45" s="3"/>
      <c r="R45" s="107" t="s">
        <v>649</v>
      </c>
      <c r="S45" s="98" t="s">
        <v>650</v>
      </c>
      <c r="T45" s="102" t="s">
        <v>651</v>
      </c>
      <c r="U45" s="100" t="s">
        <v>652</v>
      </c>
      <c r="V45" s="154" t="str">
        <f t="shared" si="5"/>
        <v>Apr 16 2006</v>
      </c>
      <c r="W45" s="107" t="s">
        <v>653</v>
      </c>
      <c r="X45" s="101" t="s">
        <v>654</v>
      </c>
      <c r="Y45" s="101" t="s">
        <v>655</v>
      </c>
      <c r="Z45" s="97" t="str">
        <f t="shared" si="6"/>
        <v>Jul 9 2006</v>
      </c>
      <c r="AA45" s="107" t="s">
        <v>656</v>
      </c>
      <c r="AB45" s="101" t="s">
        <v>657</v>
      </c>
      <c r="AC45" s="101" t="s">
        <v>658</v>
      </c>
      <c r="AD45" s="97" t="str">
        <f t="shared" si="7"/>
        <v>Oct 1 2006</v>
      </c>
      <c r="AE45" s="107" t="s">
        <v>659</v>
      </c>
      <c r="AF45" s="101" t="s">
        <v>660</v>
      </c>
      <c r="AG45" s="108" t="s">
        <v>661</v>
      </c>
      <c r="AH45" s="130" t="s">
        <v>704</v>
      </c>
      <c r="AJ45" s="154">
        <f t="shared" si="8"/>
        <v>38823</v>
      </c>
      <c r="AK45" s="127"/>
      <c r="AL45" s="153">
        <f t="shared" si="9"/>
        <v>38907</v>
      </c>
      <c r="AM45" s="127"/>
      <c r="AN45" s="153">
        <f t="shared" si="10"/>
        <v>38991</v>
      </c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  <c r="BM45" s="127"/>
      <c r="BN45" s="127"/>
      <c r="BO45" s="127"/>
      <c r="BP45" s="127"/>
      <c r="BQ45" s="127"/>
      <c r="BR45" s="127"/>
      <c r="BS45" s="127"/>
      <c r="BT45" s="127"/>
      <c r="BU45" s="127"/>
      <c r="BV45" s="127"/>
      <c r="BW45" s="127"/>
      <c r="BX45" s="127"/>
      <c r="BY45" s="127"/>
      <c r="BZ45" s="127"/>
      <c r="CA45" s="127"/>
      <c r="CB45" s="127"/>
      <c r="CC45" s="127"/>
      <c r="CD45" s="127"/>
      <c r="CE45" s="127"/>
      <c r="CF45" s="127"/>
      <c r="CG45" s="127"/>
      <c r="CH45" s="127"/>
      <c r="CI45" s="127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</row>
    <row r="46" spans="1:98" ht="15.75" x14ac:dyDescent="0.25">
      <c r="A46" s="55">
        <v>43066</v>
      </c>
      <c r="B46" s="56" t="str">
        <f t="shared" si="11"/>
        <v>Qtrend</v>
      </c>
      <c r="C46" s="56" t="s">
        <v>111</v>
      </c>
      <c r="D46" s="57"/>
      <c r="F46" s="1">
        <v>43066</v>
      </c>
      <c r="G46" s="1">
        <v>43100</v>
      </c>
      <c r="H46" s="1" t="s">
        <v>70</v>
      </c>
      <c r="I46" t="s">
        <v>14</v>
      </c>
      <c r="J46" t="s">
        <v>12</v>
      </c>
      <c r="L46" t="s">
        <v>131</v>
      </c>
      <c r="M46" s="17" t="str">
        <f t="shared" si="1"/>
        <v>Qtrend</v>
      </c>
      <c r="N46" s="133" t="str">
        <f t="shared" si="2"/>
        <v>P</v>
      </c>
      <c r="O46" s="152" t="str">
        <f t="shared" si="3"/>
        <v>12/31/2017</v>
      </c>
      <c r="P46" s="119" t="str">
        <f t="shared" si="4"/>
        <v>Dec 31 2017</v>
      </c>
      <c r="Q46" s="3"/>
      <c r="R46" s="107" t="s">
        <v>314</v>
      </c>
      <c r="S46" s="98" t="s">
        <v>315</v>
      </c>
      <c r="T46" s="102" t="s">
        <v>316</v>
      </c>
      <c r="U46" s="100" t="s">
        <v>317</v>
      </c>
      <c r="V46" s="154" t="str">
        <f t="shared" si="5"/>
        <v>Apr 16 2017</v>
      </c>
      <c r="W46" s="107" t="s">
        <v>318</v>
      </c>
      <c r="X46" s="101" t="s">
        <v>319</v>
      </c>
      <c r="Y46" s="101" t="s">
        <v>320</v>
      </c>
      <c r="Z46" s="97" t="str">
        <f t="shared" si="6"/>
        <v>Jul 9 2017</v>
      </c>
      <c r="AA46" s="107" t="s">
        <v>321</v>
      </c>
      <c r="AB46" s="101" t="s">
        <v>322</v>
      </c>
      <c r="AC46" s="101" t="s">
        <v>323</v>
      </c>
      <c r="AD46" s="97" t="str">
        <f t="shared" si="7"/>
        <v>Oct 1 2017</v>
      </c>
      <c r="AE46" s="107" t="s">
        <v>324</v>
      </c>
      <c r="AF46" s="101" t="s">
        <v>325</v>
      </c>
      <c r="AG46" s="108" t="s">
        <v>326</v>
      </c>
      <c r="AH46" s="130" t="s">
        <v>707</v>
      </c>
      <c r="AJ46" s="154">
        <f t="shared" si="8"/>
        <v>42841</v>
      </c>
      <c r="AK46" s="127"/>
      <c r="AL46" s="153">
        <f t="shared" si="9"/>
        <v>42925</v>
      </c>
      <c r="AM46" s="127"/>
      <c r="AN46" s="153">
        <f t="shared" si="10"/>
        <v>43009</v>
      </c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  <c r="BM46" s="127"/>
      <c r="BN46" s="127"/>
      <c r="BO46" s="127"/>
      <c r="BP46" s="127"/>
      <c r="BQ46" s="127"/>
      <c r="BR46" s="127"/>
      <c r="BS46" s="127"/>
      <c r="BT46" s="127"/>
      <c r="BU46" s="127"/>
      <c r="BV46" s="127"/>
      <c r="BW46" s="127"/>
      <c r="BX46" s="127"/>
      <c r="BY46" s="127"/>
      <c r="BZ46" s="127"/>
      <c r="CA46" s="127"/>
      <c r="CB46" s="127"/>
      <c r="CC46" s="127"/>
      <c r="CD46" s="127"/>
      <c r="CE46" s="127"/>
      <c r="CF46" s="127"/>
      <c r="CG46" s="127"/>
      <c r="CH46" s="127"/>
      <c r="CI46" s="127"/>
      <c r="CJ46" s="92"/>
      <c r="CK46" s="92"/>
      <c r="CL46" s="92"/>
      <c r="CM46" s="92"/>
      <c r="CN46" s="92"/>
      <c r="CO46" s="92"/>
      <c r="CP46" s="92"/>
      <c r="CQ46" s="92"/>
      <c r="CR46" s="92"/>
      <c r="CS46" s="92"/>
      <c r="CT46" s="92"/>
    </row>
    <row r="47" spans="1:98" ht="15.75" x14ac:dyDescent="0.25">
      <c r="A47" s="55">
        <v>47084</v>
      </c>
      <c r="B47" s="56" t="str">
        <f t="shared" si="11"/>
        <v>Qtrend</v>
      </c>
      <c r="C47" s="56" t="s">
        <v>111</v>
      </c>
      <c r="D47" s="57"/>
      <c r="F47" s="1">
        <v>47084</v>
      </c>
      <c r="G47" s="1">
        <v>47118</v>
      </c>
      <c r="H47" s="1" t="s">
        <v>103</v>
      </c>
      <c r="I47" t="s">
        <v>14</v>
      </c>
      <c r="J47" t="s">
        <v>12</v>
      </c>
      <c r="L47" t="s">
        <v>132</v>
      </c>
      <c r="M47" s="17" t="str">
        <f t="shared" si="1"/>
        <v>Qtrend</v>
      </c>
      <c r="N47" s="133" t="str">
        <f t="shared" si="2"/>
        <v>P</v>
      </c>
      <c r="O47" s="152" t="str">
        <f t="shared" si="3"/>
        <v>12/31/2028</v>
      </c>
      <c r="P47" s="119" t="str">
        <f t="shared" si="4"/>
        <v>Dec 31 2028</v>
      </c>
      <c r="Q47" s="3"/>
      <c r="R47" s="107" t="s">
        <v>623</v>
      </c>
      <c r="S47" s="98" t="s">
        <v>624</v>
      </c>
      <c r="T47" s="102" t="s">
        <v>625</v>
      </c>
      <c r="U47" s="100" t="s">
        <v>626</v>
      </c>
      <c r="V47" s="154" t="str">
        <f t="shared" si="5"/>
        <v>Apr 16 2028</v>
      </c>
      <c r="W47" s="107" t="s">
        <v>627</v>
      </c>
      <c r="X47" s="101" t="s">
        <v>628</v>
      </c>
      <c r="Y47" s="101" t="s">
        <v>629</v>
      </c>
      <c r="Z47" s="97" t="str">
        <f t="shared" si="6"/>
        <v>Jul 9 2028</v>
      </c>
      <c r="AA47" s="107" t="s">
        <v>630</v>
      </c>
      <c r="AB47" s="101" t="s">
        <v>631</v>
      </c>
      <c r="AC47" s="101" t="s">
        <v>632</v>
      </c>
      <c r="AD47" s="97" t="str">
        <f t="shared" si="7"/>
        <v>Oct 1 2028</v>
      </c>
      <c r="AE47" s="107" t="s">
        <v>633</v>
      </c>
      <c r="AF47" s="101" t="s">
        <v>634</v>
      </c>
      <c r="AG47" s="108" t="s">
        <v>635</v>
      </c>
      <c r="AH47" s="130" t="s">
        <v>699</v>
      </c>
      <c r="AJ47" s="154">
        <f t="shared" si="8"/>
        <v>46859</v>
      </c>
      <c r="AK47" s="127"/>
      <c r="AL47" s="153">
        <f t="shared" si="9"/>
        <v>46943</v>
      </c>
      <c r="AM47" s="127"/>
      <c r="AN47" s="153">
        <f t="shared" si="10"/>
        <v>47027</v>
      </c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  <c r="CG47" s="127"/>
      <c r="CH47" s="127"/>
      <c r="CI47" s="127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</row>
    <row r="48" spans="1:98" ht="15.75" x14ac:dyDescent="0.25">
      <c r="A48" s="55">
        <v>39082</v>
      </c>
      <c r="B48" s="56" t="str">
        <f t="shared" si="11"/>
        <v>Qtrend</v>
      </c>
      <c r="C48" s="56" t="s">
        <v>112</v>
      </c>
      <c r="D48" s="57"/>
      <c r="F48" s="1">
        <v>39048</v>
      </c>
      <c r="G48" s="1">
        <v>39082</v>
      </c>
      <c r="H48" s="1" t="s">
        <v>86</v>
      </c>
      <c r="I48" t="s">
        <v>14</v>
      </c>
      <c r="J48" t="s">
        <v>12</v>
      </c>
      <c r="L48" t="s">
        <v>119</v>
      </c>
      <c r="M48" s="17" t="str">
        <f t="shared" si="1"/>
        <v>Qtrend</v>
      </c>
      <c r="N48" s="133" t="str">
        <f t="shared" si="2"/>
        <v>P</v>
      </c>
      <c r="O48" s="152" t="str">
        <f t="shared" si="3"/>
        <v>12/31/2006</v>
      </c>
      <c r="P48" s="119" t="str">
        <f t="shared" si="4"/>
        <v>Dec 31 2006</v>
      </c>
      <c r="Q48" s="3"/>
      <c r="R48" s="107" t="s">
        <v>649</v>
      </c>
      <c r="S48" s="98" t="s">
        <v>650</v>
      </c>
      <c r="T48" s="102" t="s">
        <v>651</v>
      </c>
      <c r="U48" s="100" t="s">
        <v>652</v>
      </c>
      <c r="V48" s="154" t="str">
        <f t="shared" si="5"/>
        <v>Apr 16 2006</v>
      </c>
      <c r="W48" s="107" t="s">
        <v>653</v>
      </c>
      <c r="X48" s="101" t="s">
        <v>654</v>
      </c>
      <c r="Y48" s="101" t="s">
        <v>655</v>
      </c>
      <c r="Z48" s="97" t="str">
        <f t="shared" si="6"/>
        <v>Jul 9 2006</v>
      </c>
      <c r="AA48" s="107" t="s">
        <v>656</v>
      </c>
      <c r="AB48" s="101" t="s">
        <v>657</v>
      </c>
      <c r="AC48" s="101" t="s">
        <v>658</v>
      </c>
      <c r="AD48" s="97" t="str">
        <f t="shared" si="7"/>
        <v>Oct 1 2006</v>
      </c>
      <c r="AE48" s="107" t="s">
        <v>659</v>
      </c>
      <c r="AF48" s="101" t="s">
        <v>660</v>
      </c>
      <c r="AG48" s="108" t="s">
        <v>661</v>
      </c>
      <c r="AH48" s="130" t="s">
        <v>704</v>
      </c>
      <c r="AJ48" s="154">
        <f t="shared" si="8"/>
        <v>38823</v>
      </c>
      <c r="AK48" s="127"/>
      <c r="AL48" s="153">
        <f t="shared" si="9"/>
        <v>38907</v>
      </c>
      <c r="AM48" s="127"/>
      <c r="AN48" s="153">
        <f t="shared" si="10"/>
        <v>38991</v>
      </c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E48" s="127"/>
      <c r="CF48" s="127"/>
      <c r="CG48" s="127"/>
      <c r="CH48" s="127"/>
      <c r="CI48" s="127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</row>
    <row r="49" spans="1:98" ht="15.75" x14ac:dyDescent="0.25">
      <c r="A49" s="55">
        <v>43100</v>
      </c>
      <c r="B49" s="56" t="str">
        <f t="shared" si="11"/>
        <v>Qtrend</v>
      </c>
      <c r="C49" s="56" t="s">
        <v>112</v>
      </c>
      <c r="D49" s="57"/>
      <c r="F49" s="1">
        <v>43066</v>
      </c>
      <c r="G49" s="1">
        <v>43100</v>
      </c>
      <c r="H49" s="1" t="s">
        <v>70</v>
      </c>
      <c r="I49" t="s">
        <v>14</v>
      </c>
      <c r="J49" t="s">
        <v>12</v>
      </c>
      <c r="L49" t="s">
        <v>131</v>
      </c>
      <c r="M49" s="17" t="str">
        <f t="shared" si="1"/>
        <v>Qtrend</v>
      </c>
      <c r="N49" s="133" t="str">
        <f t="shared" si="2"/>
        <v>P</v>
      </c>
      <c r="O49" s="152" t="str">
        <f t="shared" si="3"/>
        <v>12/31/2017</v>
      </c>
      <c r="P49" s="119" t="str">
        <f t="shared" si="4"/>
        <v>Dec 31 2017</v>
      </c>
      <c r="Q49" s="3"/>
      <c r="R49" s="107" t="s">
        <v>314</v>
      </c>
      <c r="S49" s="98" t="s">
        <v>315</v>
      </c>
      <c r="T49" s="102" t="s">
        <v>316</v>
      </c>
      <c r="U49" s="100" t="s">
        <v>317</v>
      </c>
      <c r="V49" s="154" t="str">
        <f t="shared" si="5"/>
        <v>Apr 16 2017</v>
      </c>
      <c r="W49" s="107" t="s">
        <v>318</v>
      </c>
      <c r="X49" s="101" t="s">
        <v>319</v>
      </c>
      <c r="Y49" s="101" t="s">
        <v>320</v>
      </c>
      <c r="Z49" s="97" t="str">
        <f t="shared" si="6"/>
        <v>Jul 9 2017</v>
      </c>
      <c r="AA49" s="107" t="s">
        <v>321</v>
      </c>
      <c r="AB49" s="101" t="s">
        <v>322</v>
      </c>
      <c r="AC49" s="101" t="s">
        <v>323</v>
      </c>
      <c r="AD49" s="97" t="str">
        <f t="shared" si="7"/>
        <v>Oct 1 2017</v>
      </c>
      <c r="AE49" s="107" t="s">
        <v>324</v>
      </c>
      <c r="AF49" s="101" t="s">
        <v>325</v>
      </c>
      <c r="AG49" s="108" t="s">
        <v>326</v>
      </c>
      <c r="AH49" s="130" t="s">
        <v>707</v>
      </c>
      <c r="AJ49" s="154">
        <f t="shared" si="8"/>
        <v>42841</v>
      </c>
      <c r="AK49" s="127"/>
      <c r="AL49" s="153">
        <f t="shared" si="9"/>
        <v>42925</v>
      </c>
      <c r="AM49" s="127"/>
      <c r="AN49" s="153">
        <f t="shared" si="10"/>
        <v>43009</v>
      </c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  <c r="CG49" s="127"/>
      <c r="CH49" s="127"/>
      <c r="CI49" s="127"/>
      <c r="CJ49" s="92"/>
      <c r="CK49" s="92"/>
      <c r="CL49" s="92"/>
      <c r="CM49" s="92"/>
      <c r="CN49" s="92"/>
      <c r="CO49" s="92"/>
      <c r="CP49" s="92"/>
      <c r="CQ49" s="92"/>
      <c r="CR49" s="92"/>
      <c r="CS49" s="92"/>
      <c r="CT49" s="92"/>
    </row>
    <row r="50" spans="1:98" ht="15.75" x14ac:dyDescent="0.25">
      <c r="A50" s="55">
        <v>47118</v>
      </c>
      <c r="B50" s="56" t="str">
        <f t="shared" si="11"/>
        <v>Qtrend</v>
      </c>
      <c r="C50" s="56" t="s">
        <v>112</v>
      </c>
      <c r="D50" s="57"/>
      <c r="F50" s="1">
        <v>47084</v>
      </c>
      <c r="G50" s="1">
        <v>47118</v>
      </c>
      <c r="H50" s="1" t="s">
        <v>103</v>
      </c>
      <c r="I50" t="s">
        <v>14</v>
      </c>
      <c r="J50" t="s">
        <v>12</v>
      </c>
      <c r="L50" t="s">
        <v>132</v>
      </c>
      <c r="M50" s="17" t="str">
        <f t="shared" si="1"/>
        <v>Qtrend</v>
      </c>
      <c r="N50" s="133" t="str">
        <f t="shared" si="2"/>
        <v>P</v>
      </c>
      <c r="O50" s="152" t="str">
        <f t="shared" si="3"/>
        <v>12/31/2028</v>
      </c>
      <c r="P50" s="119" t="str">
        <f t="shared" si="4"/>
        <v>Dec 31 2028</v>
      </c>
      <c r="Q50" s="3"/>
      <c r="R50" s="107" t="s">
        <v>623</v>
      </c>
      <c r="S50" s="98" t="s">
        <v>624</v>
      </c>
      <c r="T50" s="102" t="s">
        <v>625</v>
      </c>
      <c r="U50" s="100" t="s">
        <v>626</v>
      </c>
      <c r="V50" s="154" t="str">
        <f t="shared" si="5"/>
        <v>Apr 16 2028</v>
      </c>
      <c r="W50" s="107" t="s">
        <v>627</v>
      </c>
      <c r="X50" s="101" t="s">
        <v>628</v>
      </c>
      <c r="Y50" s="101" t="s">
        <v>629</v>
      </c>
      <c r="Z50" s="97" t="str">
        <f t="shared" si="6"/>
        <v>Jul 9 2028</v>
      </c>
      <c r="AA50" s="107" t="s">
        <v>630</v>
      </c>
      <c r="AB50" s="101" t="s">
        <v>631</v>
      </c>
      <c r="AC50" s="101" t="s">
        <v>632</v>
      </c>
      <c r="AD50" s="97" t="str">
        <f t="shared" si="7"/>
        <v>Oct 1 2028</v>
      </c>
      <c r="AE50" s="107" t="s">
        <v>633</v>
      </c>
      <c r="AF50" s="101" t="s">
        <v>634</v>
      </c>
      <c r="AG50" s="108" t="s">
        <v>635</v>
      </c>
      <c r="AH50" s="130" t="s">
        <v>699</v>
      </c>
      <c r="AJ50" s="154">
        <f t="shared" si="8"/>
        <v>46859</v>
      </c>
      <c r="AK50" s="127"/>
      <c r="AL50" s="153">
        <f t="shared" si="9"/>
        <v>46943</v>
      </c>
      <c r="AM50" s="127"/>
      <c r="AN50" s="153">
        <f t="shared" si="10"/>
        <v>47027</v>
      </c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  <c r="BM50" s="127"/>
      <c r="BN50" s="127"/>
      <c r="BO50" s="127"/>
      <c r="BP50" s="127"/>
      <c r="BQ50" s="127"/>
      <c r="BR50" s="127"/>
      <c r="BS50" s="127"/>
      <c r="BT50" s="127"/>
      <c r="BU50" s="127"/>
      <c r="BV50" s="127"/>
      <c r="BW50" s="127"/>
      <c r="BX50" s="127"/>
      <c r="BY50" s="127"/>
      <c r="BZ50" s="127"/>
      <c r="CA50" s="127"/>
      <c r="CB50" s="127"/>
      <c r="CC50" s="127"/>
      <c r="CD50" s="127"/>
      <c r="CE50" s="127"/>
      <c r="CF50" s="127"/>
      <c r="CG50" s="127"/>
      <c r="CH50" s="127"/>
      <c r="CI50" s="127"/>
      <c r="CJ50" s="92"/>
      <c r="CK50" s="92"/>
      <c r="CL50" s="92"/>
      <c r="CM50" s="92"/>
      <c r="CN50" s="92"/>
      <c r="CO50" s="92"/>
      <c r="CP50" s="92"/>
      <c r="CQ50" s="92"/>
      <c r="CR50" s="92"/>
      <c r="CS50" s="92"/>
      <c r="CT50" s="92"/>
    </row>
    <row r="51" spans="1:98" ht="15.75" x14ac:dyDescent="0.25">
      <c r="A51" s="1">
        <v>42817</v>
      </c>
      <c r="B51" s="56" t="str">
        <f t="shared" si="11"/>
        <v>Qtrend</v>
      </c>
      <c r="C51" s="56" t="s">
        <v>255</v>
      </c>
      <c r="D51" s="57"/>
      <c r="F51" s="1">
        <v>42814</v>
      </c>
      <c r="G51" s="1">
        <v>42841</v>
      </c>
      <c r="H51" s="1" t="s">
        <v>70</v>
      </c>
      <c r="I51" t="s">
        <v>12</v>
      </c>
      <c r="J51" t="s">
        <v>17</v>
      </c>
      <c r="L51" t="s">
        <v>668</v>
      </c>
      <c r="M51" s="17" t="str">
        <f t="shared" si="1"/>
        <v>Qtrend</v>
      </c>
      <c r="N51" s="133" t="str">
        <f t="shared" si="2"/>
        <v>P</v>
      </c>
      <c r="O51" s="152" t="str">
        <f t="shared" si="3"/>
        <v>4/16/2017</v>
      </c>
      <c r="P51" s="119" t="str">
        <f t="shared" si="4"/>
        <v>Apr 16 2017</v>
      </c>
      <c r="Q51" s="3"/>
      <c r="R51" s="107" t="s">
        <v>314</v>
      </c>
      <c r="S51" s="98" t="s">
        <v>315</v>
      </c>
      <c r="T51" s="102" t="s">
        <v>316</v>
      </c>
      <c r="U51" s="100" t="s">
        <v>317</v>
      </c>
      <c r="V51" s="154" t="str">
        <f t="shared" si="5"/>
        <v>Apr 16 2017</v>
      </c>
      <c r="W51" s="107" t="s">
        <v>318</v>
      </c>
      <c r="X51" s="101" t="s">
        <v>319</v>
      </c>
      <c r="Y51" s="101" t="s">
        <v>320</v>
      </c>
      <c r="Z51" s="97" t="str">
        <f t="shared" si="6"/>
        <v>Jul 9 2017</v>
      </c>
      <c r="AA51" s="107" t="s">
        <v>321</v>
      </c>
      <c r="AB51" s="101" t="s">
        <v>322</v>
      </c>
      <c r="AC51" s="101" t="s">
        <v>323</v>
      </c>
      <c r="AD51" s="97" t="str">
        <f t="shared" si="7"/>
        <v>Oct 1 2017</v>
      </c>
      <c r="AE51" s="107" t="s">
        <v>324</v>
      </c>
      <c r="AF51" s="101" t="s">
        <v>325</v>
      </c>
      <c r="AG51" s="108" t="s">
        <v>326</v>
      </c>
      <c r="AH51" s="130" t="s">
        <v>707</v>
      </c>
      <c r="AJ51" s="154">
        <f t="shared" si="8"/>
        <v>42841</v>
      </c>
      <c r="AK51" s="127"/>
      <c r="AL51" s="153">
        <f t="shared" si="9"/>
        <v>42925</v>
      </c>
      <c r="AM51" s="127"/>
      <c r="AN51" s="153">
        <f t="shared" si="10"/>
        <v>43009</v>
      </c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  <c r="BM51" s="127"/>
      <c r="BN51" s="127"/>
      <c r="BO51" s="127"/>
      <c r="BP51" s="127"/>
      <c r="BQ51" s="127"/>
      <c r="BR51" s="127"/>
      <c r="BS51" s="127"/>
      <c r="BT51" s="127"/>
      <c r="BU51" s="127"/>
      <c r="BV51" s="127"/>
      <c r="BW51" s="127"/>
      <c r="BX51" s="127"/>
      <c r="BY51" s="127"/>
      <c r="BZ51" s="127"/>
      <c r="CA51" s="127"/>
      <c r="CB51" s="127"/>
      <c r="CC51" s="127"/>
      <c r="CD51" s="127"/>
      <c r="CE51" s="127"/>
      <c r="CF51" s="127"/>
      <c r="CG51" s="127"/>
      <c r="CH51" s="127"/>
      <c r="CI51" s="127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</row>
    <row r="52" spans="1:98" ht="15.75" x14ac:dyDescent="0.25">
      <c r="A52" s="1">
        <v>40855</v>
      </c>
      <c r="B52" s="56" t="str">
        <f t="shared" si="11"/>
        <v>Qtrend</v>
      </c>
      <c r="C52" s="56" t="s">
        <v>255</v>
      </c>
      <c r="D52" s="57"/>
      <c r="F52" s="1">
        <v>40847</v>
      </c>
      <c r="G52" s="1">
        <v>40874</v>
      </c>
      <c r="H52" s="1" t="s">
        <v>91</v>
      </c>
      <c r="I52" t="s">
        <v>13</v>
      </c>
      <c r="J52" t="s">
        <v>12</v>
      </c>
      <c r="L52" t="s">
        <v>124</v>
      </c>
      <c r="M52" s="17" t="str">
        <f t="shared" si="1"/>
        <v>Qtrend</v>
      </c>
      <c r="N52" s="133" t="str">
        <f t="shared" si="2"/>
        <v>P</v>
      </c>
      <c r="O52" s="152" t="str">
        <f t="shared" si="3"/>
        <v>12/25/2011</v>
      </c>
      <c r="P52" s="119" t="str">
        <f t="shared" si="4"/>
        <v>Dec 25 2011</v>
      </c>
      <c r="Q52" s="3"/>
      <c r="R52" s="107" t="s">
        <v>340</v>
      </c>
      <c r="S52" s="98" t="s">
        <v>341</v>
      </c>
      <c r="T52" s="102" t="s">
        <v>342</v>
      </c>
      <c r="U52" s="100" t="s">
        <v>343</v>
      </c>
      <c r="V52" s="154" t="str">
        <f t="shared" si="5"/>
        <v>Apr 17 2011</v>
      </c>
      <c r="W52" s="107" t="s">
        <v>344</v>
      </c>
      <c r="X52" s="101" t="s">
        <v>345</v>
      </c>
      <c r="Y52" s="101" t="s">
        <v>346</v>
      </c>
      <c r="Z52" s="97" t="str">
        <f t="shared" si="6"/>
        <v>Jul 10 2011</v>
      </c>
      <c r="AA52" s="107" t="s">
        <v>347</v>
      </c>
      <c r="AB52" s="101" t="s">
        <v>348</v>
      </c>
      <c r="AC52" s="101" t="s">
        <v>349</v>
      </c>
      <c r="AD52" s="97" t="str">
        <f t="shared" si="7"/>
        <v>Oct 2 2011</v>
      </c>
      <c r="AE52" s="107" t="s">
        <v>350</v>
      </c>
      <c r="AF52" s="101" t="s">
        <v>351</v>
      </c>
      <c r="AG52" s="108" t="s">
        <v>352</v>
      </c>
      <c r="AH52" s="130" t="s">
        <v>715</v>
      </c>
      <c r="AJ52" s="154">
        <f t="shared" si="8"/>
        <v>40650</v>
      </c>
      <c r="AK52" s="127"/>
      <c r="AL52" s="153">
        <f t="shared" si="9"/>
        <v>40734</v>
      </c>
      <c r="AM52" s="127"/>
      <c r="AN52" s="153">
        <f t="shared" si="10"/>
        <v>40818</v>
      </c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92"/>
      <c r="CK52" s="92"/>
      <c r="CL52" s="92"/>
      <c r="CM52" s="92"/>
      <c r="CN52" s="92"/>
      <c r="CO52" s="92"/>
      <c r="CP52" s="92"/>
      <c r="CQ52" s="92"/>
      <c r="CR52" s="92"/>
      <c r="CS52" s="92"/>
      <c r="CT52" s="92"/>
    </row>
    <row r="53" spans="1:98" ht="15.75" x14ac:dyDescent="0.25">
      <c r="A53" s="1">
        <v>42676</v>
      </c>
      <c r="B53" s="56" t="str">
        <f t="shared" si="11"/>
        <v>Qtrend</v>
      </c>
      <c r="C53" s="56" t="s">
        <v>255</v>
      </c>
      <c r="D53" s="57"/>
      <c r="F53" s="1">
        <v>42674</v>
      </c>
      <c r="G53" s="1">
        <v>42701</v>
      </c>
      <c r="H53" s="1" t="s">
        <v>16</v>
      </c>
      <c r="I53" t="s">
        <v>13</v>
      </c>
      <c r="J53" t="s">
        <v>12</v>
      </c>
      <c r="L53" t="s">
        <v>129</v>
      </c>
      <c r="M53" s="17" t="str">
        <f t="shared" si="1"/>
        <v>Qtrend</v>
      </c>
      <c r="N53" s="133" t="str">
        <f t="shared" si="2"/>
        <v>P</v>
      </c>
      <c r="O53" s="152" t="str">
        <f t="shared" si="3"/>
        <v>12/25/2016</v>
      </c>
      <c r="P53" s="119" t="str">
        <f t="shared" si="4"/>
        <v>Dec 25 2016</v>
      </c>
      <c r="Q53" s="3"/>
      <c r="R53" s="107" t="s">
        <v>301</v>
      </c>
      <c r="S53" s="98" t="s">
        <v>302</v>
      </c>
      <c r="T53" s="102" t="s">
        <v>303</v>
      </c>
      <c r="U53" s="100" t="s">
        <v>304</v>
      </c>
      <c r="V53" s="154" t="str">
        <f t="shared" si="5"/>
        <v>Apr 17 2016</v>
      </c>
      <c r="W53" s="107" t="s">
        <v>305</v>
      </c>
      <c r="X53" s="101" t="s">
        <v>306</v>
      </c>
      <c r="Y53" s="101" t="s">
        <v>307</v>
      </c>
      <c r="Z53" s="97" t="str">
        <f t="shared" si="6"/>
        <v>Jul 10 2016</v>
      </c>
      <c r="AA53" s="107" t="s">
        <v>308</v>
      </c>
      <c r="AB53" s="101" t="s">
        <v>309</v>
      </c>
      <c r="AC53" s="101" t="s">
        <v>310</v>
      </c>
      <c r="AD53" s="97" t="str">
        <f t="shared" si="7"/>
        <v>Oct 2 2016</v>
      </c>
      <c r="AE53" s="107" t="s">
        <v>311</v>
      </c>
      <c r="AF53" s="101" t="s">
        <v>312</v>
      </c>
      <c r="AG53" s="108" t="s">
        <v>313</v>
      </c>
      <c r="AH53" s="130" t="s">
        <v>714</v>
      </c>
      <c r="AJ53" s="154">
        <f t="shared" si="8"/>
        <v>42477</v>
      </c>
      <c r="AK53" s="127"/>
      <c r="AL53" s="153">
        <f t="shared" si="9"/>
        <v>42561</v>
      </c>
      <c r="AM53" s="127"/>
      <c r="AN53" s="153">
        <f t="shared" si="10"/>
        <v>42645</v>
      </c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  <c r="AZ53" s="127"/>
      <c r="BA53" s="127"/>
      <c r="BB53" s="127"/>
      <c r="BC53" s="127"/>
      <c r="BD53" s="127"/>
      <c r="BE53" s="127"/>
      <c r="BF53" s="127"/>
      <c r="BG53" s="127"/>
      <c r="BH53" s="127"/>
      <c r="BI53" s="127"/>
      <c r="BJ53" s="127"/>
      <c r="BK53" s="127"/>
      <c r="BL53" s="127"/>
      <c r="BM53" s="127"/>
      <c r="BN53" s="127"/>
      <c r="BO53" s="127"/>
      <c r="BP53" s="127"/>
      <c r="BQ53" s="127"/>
      <c r="BR53" s="127"/>
      <c r="BS53" s="127"/>
      <c r="BT53" s="127"/>
      <c r="BU53" s="127"/>
      <c r="BV53" s="127"/>
      <c r="BW53" s="127"/>
      <c r="BX53" s="127"/>
      <c r="BY53" s="127"/>
      <c r="BZ53" s="127"/>
      <c r="CA53" s="127"/>
      <c r="CB53" s="127"/>
      <c r="CC53" s="127"/>
      <c r="CD53" s="127"/>
      <c r="CE53" s="127"/>
      <c r="CF53" s="127"/>
      <c r="CG53" s="127"/>
      <c r="CH53" s="127"/>
      <c r="CI53" s="127"/>
      <c r="CJ53" s="92"/>
      <c r="CK53" s="92"/>
      <c r="CL53" s="92"/>
      <c r="CM53" s="92"/>
      <c r="CN53" s="92"/>
      <c r="CO53" s="92"/>
      <c r="CP53" s="92"/>
      <c r="CQ53" s="92"/>
      <c r="CR53" s="92"/>
      <c r="CS53" s="92"/>
      <c r="CT53" s="92"/>
    </row>
    <row r="54" spans="1:98" ht="15.75" x14ac:dyDescent="0.25">
      <c r="A54" s="1">
        <v>37793</v>
      </c>
      <c r="B54" s="56" t="str">
        <f t="shared" si="11"/>
        <v>Qtrend</v>
      </c>
      <c r="C54" s="56" t="s">
        <v>255</v>
      </c>
      <c r="D54" s="57"/>
      <c r="F54" s="1">
        <v>37788</v>
      </c>
      <c r="G54" s="1">
        <v>37815</v>
      </c>
      <c r="H54" s="1" t="s">
        <v>80</v>
      </c>
      <c r="I54" t="s">
        <v>151</v>
      </c>
      <c r="J54" t="s">
        <v>143</v>
      </c>
      <c r="L54" t="s">
        <v>669</v>
      </c>
      <c r="M54" s="17" t="str">
        <f t="shared" si="1"/>
        <v>Qtrend</v>
      </c>
      <c r="N54" s="133" t="str">
        <f t="shared" si="2"/>
        <v>P</v>
      </c>
      <c r="O54" s="152" t="str">
        <f t="shared" si="3"/>
        <v>7/13/2003</v>
      </c>
      <c r="P54" s="119" t="str">
        <f t="shared" si="4"/>
        <v>Jul 13 2003</v>
      </c>
      <c r="Q54" s="3"/>
      <c r="R54" s="107" t="s">
        <v>353</v>
      </c>
      <c r="S54" s="98" t="s">
        <v>354</v>
      </c>
      <c r="T54" s="102" t="s">
        <v>355</v>
      </c>
      <c r="U54" s="100" t="s">
        <v>356</v>
      </c>
      <c r="V54" s="154" t="str">
        <f t="shared" si="5"/>
        <v>Apr 20 2003</v>
      </c>
      <c r="W54" s="107" t="s">
        <v>357</v>
      </c>
      <c r="X54" s="101" t="s">
        <v>358</v>
      </c>
      <c r="Y54" s="101" t="s">
        <v>359</v>
      </c>
      <c r="Z54" s="97" t="str">
        <f t="shared" si="6"/>
        <v>Jul 13 2003</v>
      </c>
      <c r="AA54" s="107" t="s">
        <v>360</v>
      </c>
      <c r="AB54" s="101" t="s">
        <v>361</v>
      </c>
      <c r="AC54" s="101" t="s">
        <v>362</v>
      </c>
      <c r="AD54" s="97" t="str">
        <f t="shared" si="7"/>
        <v>Oct 5 2003</v>
      </c>
      <c r="AE54" s="107" t="s">
        <v>363</v>
      </c>
      <c r="AF54" s="101" t="s">
        <v>364</v>
      </c>
      <c r="AG54" s="108" t="s">
        <v>365</v>
      </c>
      <c r="AH54" s="130" t="s">
        <v>694</v>
      </c>
      <c r="AJ54" s="154">
        <f t="shared" si="8"/>
        <v>37731</v>
      </c>
      <c r="AK54" s="127"/>
      <c r="AL54" s="153">
        <f t="shared" si="9"/>
        <v>37815</v>
      </c>
      <c r="AM54" s="127"/>
      <c r="AN54" s="153">
        <f t="shared" si="10"/>
        <v>37899</v>
      </c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  <c r="BN54" s="127"/>
      <c r="BO54" s="127"/>
      <c r="BP54" s="127"/>
      <c r="BQ54" s="127"/>
      <c r="BR54" s="127"/>
      <c r="BS54" s="127"/>
      <c r="BT54" s="127"/>
      <c r="BU54" s="127"/>
      <c r="BV54" s="127"/>
      <c r="BW54" s="127"/>
      <c r="BX54" s="127"/>
      <c r="BY54" s="127"/>
      <c r="BZ54" s="127"/>
      <c r="CA54" s="127"/>
      <c r="CB54" s="127"/>
      <c r="CC54" s="127"/>
      <c r="CD54" s="127"/>
      <c r="CE54" s="127"/>
      <c r="CF54" s="127"/>
      <c r="CG54" s="127"/>
      <c r="CH54" s="127"/>
      <c r="CI54" s="127"/>
      <c r="CJ54" s="92"/>
      <c r="CK54" s="92"/>
      <c r="CL54" s="92"/>
      <c r="CM54" s="92"/>
      <c r="CN54" s="92"/>
      <c r="CO54" s="92"/>
      <c r="CP54" s="92"/>
      <c r="CQ54" s="92"/>
      <c r="CR54" s="92"/>
      <c r="CS54" s="92"/>
      <c r="CT54" s="92"/>
    </row>
    <row r="55" spans="1:98" ht="15.75" x14ac:dyDescent="0.25">
      <c r="A55" s="1">
        <v>38644</v>
      </c>
      <c r="B55" s="56" t="str">
        <f t="shared" si="11"/>
        <v>Qtrend</v>
      </c>
      <c r="C55" s="56" t="s">
        <v>255</v>
      </c>
      <c r="D55" s="57"/>
      <c r="F55" s="1">
        <v>38628</v>
      </c>
      <c r="G55" s="1">
        <v>38655</v>
      </c>
      <c r="H55" s="1" t="s">
        <v>84</v>
      </c>
      <c r="I55" t="s">
        <v>150</v>
      </c>
      <c r="J55" t="s">
        <v>12</v>
      </c>
      <c r="L55" t="s">
        <v>118</v>
      </c>
      <c r="M55" s="17" t="str">
        <f t="shared" si="1"/>
        <v>Qtrend</v>
      </c>
      <c r="N55" s="133" t="str">
        <f t="shared" si="2"/>
        <v>P</v>
      </c>
      <c r="O55" s="152" t="str">
        <f t="shared" si="3"/>
        <v>12/25/2005</v>
      </c>
      <c r="P55" s="119" t="str">
        <f t="shared" si="4"/>
        <v>Dec 25 2005</v>
      </c>
      <c r="Q55" s="3"/>
      <c r="R55" s="107" t="s">
        <v>366</v>
      </c>
      <c r="S55" s="98" t="s">
        <v>367</v>
      </c>
      <c r="T55" s="102" t="s">
        <v>368</v>
      </c>
      <c r="U55" s="100" t="s">
        <v>369</v>
      </c>
      <c r="V55" s="154" t="str">
        <f t="shared" si="5"/>
        <v>Apr 17 2005</v>
      </c>
      <c r="W55" s="107" t="s">
        <v>370</v>
      </c>
      <c r="X55" s="101" t="s">
        <v>371</v>
      </c>
      <c r="Y55" s="101" t="s">
        <v>372</v>
      </c>
      <c r="Z55" s="97" t="str">
        <f t="shared" si="6"/>
        <v>Jul 10 2005</v>
      </c>
      <c r="AA55" s="107" t="s">
        <v>373</v>
      </c>
      <c r="AB55" s="101" t="s">
        <v>374</v>
      </c>
      <c r="AC55" s="101" t="s">
        <v>375</v>
      </c>
      <c r="AD55" s="97" t="str">
        <f t="shared" si="7"/>
        <v>Oct 2 2005</v>
      </c>
      <c r="AE55" s="107" t="s">
        <v>376</v>
      </c>
      <c r="AF55" s="101" t="s">
        <v>377</v>
      </c>
      <c r="AG55" s="108" t="s">
        <v>378</v>
      </c>
      <c r="AH55" s="130" t="s">
        <v>696</v>
      </c>
      <c r="AJ55" s="154">
        <f t="shared" si="8"/>
        <v>38459</v>
      </c>
      <c r="AK55" s="127"/>
      <c r="AL55" s="153">
        <f t="shared" si="9"/>
        <v>38543</v>
      </c>
      <c r="AM55" s="127"/>
      <c r="AN55" s="153">
        <f t="shared" si="10"/>
        <v>38627</v>
      </c>
      <c r="AO55" s="127"/>
      <c r="AP55" s="127"/>
      <c r="AQ55" s="127"/>
      <c r="AR55" s="127"/>
      <c r="AS55" s="127"/>
      <c r="AT55" s="127"/>
      <c r="AU55" s="127"/>
      <c r="AV55" s="127"/>
      <c r="AW55" s="127"/>
      <c r="AX55" s="127"/>
      <c r="AY55" s="127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  <c r="BN55" s="127"/>
      <c r="BO55" s="127"/>
      <c r="BP55" s="127"/>
      <c r="BQ55" s="127"/>
      <c r="BR55" s="127"/>
      <c r="BS55" s="127"/>
      <c r="BT55" s="127"/>
      <c r="BU55" s="127"/>
      <c r="BV55" s="127"/>
      <c r="BW55" s="127"/>
      <c r="BX55" s="127"/>
      <c r="BY55" s="127"/>
      <c r="BZ55" s="127"/>
      <c r="CA55" s="127"/>
      <c r="CB55" s="127"/>
      <c r="CC55" s="127"/>
      <c r="CD55" s="127"/>
      <c r="CE55" s="127"/>
      <c r="CF55" s="127"/>
      <c r="CG55" s="127"/>
      <c r="CH55" s="127"/>
      <c r="CI55" s="127"/>
      <c r="CJ55" s="92"/>
      <c r="CK55" s="92"/>
      <c r="CL55" s="92"/>
      <c r="CM55" s="92"/>
      <c r="CN55" s="92"/>
      <c r="CO55" s="92"/>
      <c r="CP55" s="92"/>
      <c r="CQ55" s="92"/>
      <c r="CR55" s="92"/>
      <c r="CS55" s="92"/>
      <c r="CT55" s="92"/>
    </row>
    <row r="56" spans="1:98" ht="15.75" x14ac:dyDescent="0.25">
      <c r="A56" s="1">
        <v>43850</v>
      </c>
      <c r="B56" s="56" t="str">
        <f t="shared" si="11"/>
        <v>Qtrend</v>
      </c>
      <c r="C56" s="56" t="s">
        <v>255</v>
      </c>
      <c r="D56" s="57"/>
      <c r="F56" s="1">
        <v>43829</v>
      </c>
      <c r="G56" s="1">
        <v>43856</v>
      </c>
      <c r="H56" s="1" t="s">
        <v>55</v>
      </c>
      <c r="I56" t="s">
        <v>17</v>
      </c>
      <c r="J56" t="s">
        <v>17</v>
      </c>
      <c r="L56" t="s">
        <v>670</v>
      </c>
      <c r="M56" s="17" t="str">
        <f t="shared" si="1"/>
        <v>Qtrend</v>
      </c>
      <c r="N56" s="133" t="str">
        <f t="shared" si="2"/>
        <v>P</v>
      </c>
      <c r="O56" s="152" t="str">
        <f t="shared" si="3"/>
        <v>4/19/2020</v>
      </c>
      <c r="P56" s="119" t="str">
        <f t="shared" si="4"/>
        <v>Apr 19 2020</v>
      </c>
      <c r="Q56" s="3"/>
      <c r="R56" s="107" t="s">
        <v>379</v>
      </c>
      <c r="S56" s="98" t="s">
        <v>380</v>
      </c>
      <c r="T56" s="102" t="s">
        <v>381</v>
      </c>
      <c r="U56" s="100" t="s">
        <v>382</v>
      </c>
      <c r="V56" s="154" t="str">
        <f t="shared" si="5"/>
        <v>Apr 19 2020</v>
      </c>
      <c r="W56" s="107" t="s">
        <v>383</v>
      </c>
      <c r="X56" s="101" t="s">
        <v>384</v>
      </c>
      <c r="Y56" s="101" t="s">
        <v>385</v>
      </c>
      <c r="Z56" s="97" t="str">
        <f t="shared" si="6"/>
        <v>Jul 12 2020</v>
      </c>
      <c r="AA56" s="107" t="s">
        <v>386</v>
      </c>
      <c r="AB56" s="101" t="s">
        <v>387</v>
      </c>
      <c r="AC56" s="101" t="s">
        <v>388</v>
      </c>
      <c r="AD56" s="97" t="str">
        <f t="shared" si="7"/>
        <v>Oct 4 2020</v>
      </c>
      <c r="AE56" s="107" t="s">
        <v>389</v>
      </c>
      <c r="AF56" s="101" t="s">
        <v>390</v>
      </c>
      <c r="AG56" s="108" t="s">
        <v>391</v>
      </c>
      <c r="AH56" s="130" t="s">
        <v>716</v>
      </c>
      <c r="AJ56" s="154">
        <f t="shared" si="8"/>
        <v>43940</v>
      </c>
      <c r="AK56" s="127"/>
      <c r="AL56" s="153">
        <f t="shared" si="9"/>
        <v>44024</v>
      </c>
      <c r="AM56" s="127"/>
      <c r="AN56" s="153">
        <f t="shared" si="10"/>
        <v>44108</v>
      </c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  <c r="BN56" s="127"/>
      <c r="BO56" s="127"/>
      <c r="BP56" s="127"/>
      <c r="BQ56" s="127"/>
      <c r="BR56" s="127"/>
      <c r="BS56" s="127"/>
      <c r="BT56" s="127"/>
      <c r="BU56" s="127"/>
      <c r="BV56" s="127"/>
      <c r="BW56" s="127"/>
      <c r="BX56" s="127"/>
      <c r="BY56" s="127"/>
      <c r="BZ56" s="127"/>
      <c r="CA56" s="127"/>
      <c r="CB56" s="127"/>
      <c r="CC56" s="127"/>
      <c r="CD56" s="127"/>
      <c r="CE56" s="127"/>
      <c r="CF56" s="127"/>
      <c r="CG56" s="127"/>
      <c r="CH56" s="127"/>
      <c r="CI56" s="127"/>
      <c r="CJ56" s="92"/>
      <c r="CK56" s="92"/>
      <c r="CL56" s="92"/>
      <c r="CM56" s="92"/>
      <c r="CN56" s="92"/>
      <c r="CO56" s="92"/>
      <c r="CP56" s="92"/>
      <c r="CQ56" s="92"/>
      <c r="CR56" s="92"/>
      <c r="CS56" s="92"/>
      <c r="CT56" s="92"/>
    </row>
    <row r="57" spans="1:98" ht="15.75" x14ac:dyDescent="0.25">
      <c r="A57" s="1">
        <v>45605</v>
      </c>
      <c r="B57" s="56" t="str">
        <f t="shared" si="11"/>
        <v>Qtrend</v>
      </c>
      <c r="C57" s="56" t="s">
        <v>255</v>
      </c>
      <c r="D57" s="57"/>
      <c r="F57" s="1">
        <v>45600</v>
      </c>
      <c r="G57" s="1">
        <v>45627</v>
      </c>
      <c r="H57" s="1" t="s">
        <v>56</v>
      </c>
      <c r="I57" t="s">
        <v>13</v>
      </c>
      <c r="J57" t="s">
        <v>12</v>
      </c>
      <c r="L57" t="s">
        <v>671</v>
      </c>
      <c r="M57" s="17" t="str">
        <f t="shared" si="1"/>
        <v>Qtrend</v>
      </c>
      <c r="N57" s="133" t="str">
        <f t="shared" si="2"/>
        <v>P</v>
      </c>
      <c r="O57" s="152" t="str">
        <f t="shared" si="3"/>
        <v>12/29/2024</v>
      </c>
      <c r="P57" s="119" t="str">
        <f t="shared" si="4"/>
        <v>Dec 29 2024</v>
      </c>
      <c r="Q57" s="3"/>
      <c r="R57" s="107" t="s">
        <v>392</v>
      </c>
      <c r="S57" s="98" t="s">
        <v>393</v>
      </c>
      <c r="T57" s="102" t="s">
        <v>394</v>
      </c>
      <c r="U57" s="100" t="s">
        <v>395</v>
      </c>
      <c r="V57" s="154" t="str">
        <f t="shared" si="5"/>
        <v>Apr 21 2024</v>
      </c>
      <c r="W57" s="107" t="s">
        <v>396</v>
      </c>
      <c r="X57" s="101" t="s">
        <v>397</v>
      </c>
      <c r="Y57" s="101" t="s">
        <v>398</v>
      </c>
      <c r="Z57" s="97" t="str">
        <f t="shared" si="6"/>
        <v>Jul 14 2024</v>
      </c>
      <c r="AA57" s="107" t="s">
        <v>399</v>
      </c>
      <c r="AB57" s="101" t="s">
        <v>400</v>
      </c>
      <c r="AC57" s="101" t="s">
        <v>401</v>
      </c>
      <c r="AD57" s="97" t="str">
        <f t="shared" si="7"/>
        <v>Oct 6 2024</v>
      </c>
      <c r="AE57" s="107" t="s">
        <v>402</v>
      </c>
      <c r="AF57" s="101" t="s">
        <v>403</v>
      </c>
      <c r="AG57" s="108" t="s">
        <v>404</v>
      </c>
      <c r="AH57" s="130" t="s">
        <v>717</v>
      </c>
      <c r="AJ57" s="154">
        <f t="shared" si="8"/>
        <v>45403</v>
      </c>
      <c r="AK57" s="127"/>
      <c r="AL57" s="153">
        <f t="shared" si="9"/>
        <v>45487</v>
      </c>
      <c r="AM57" s="127"/>
      <c r="AN57" s="153">
        <f t="shared" si="10"/>
        <v>45571</v>
      </c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  <c r="BN57" s="127"/>
      <c r="BO57" s="127"/>
      <c r="BP57" s="127"/>
      <c r="BQ57" s="127"/>
      <c r="BR57" s="127"/>
      <c r="BS57" s="127"/>
      <c r="BT57" s="127"/>
      <c r="BU57" s="127"/>
      <c r="BV57" s="127"/>
      <c r="BW57" s="127"/>
      <c r="BX57" s="127"/>
      <c r="BY57" s="127"/>
      <c r="BZ57" s="127"/>
      <c r="CA57" s="127"/>
      <c r="CB57" s="127"/>
      <c r="CC57" s="127"/>
      <c r="CD57" s="127"/>
      <c r="CE57" s="127"/>
      <c r="CF57" s="127"/>
      <c r="CG57" s="127"/>
      <c r="CH57" s="127"/>
      <c r="CI57" s="127"/>
      <c r="CJ57" s="92"/>
      <c r="CK57" s="92"/>
      <c r="CL57" s="92"/>
      <c r="CM57" s="92"/>
      <c r="CN57" s="92"/>
      <c r="CO57" s="92"/>
      <c r="CP57" s="92"/>
      <c r="CQ57" s="92"/>
      <c r="CR57" s="92"/>
      <c r="CS57" s="92"/>
      <c r="CT57" s="92"/>
    </row>
    <row r="58" spans="1:98" ht="15.75" x14ac:dyDescent="0.25">
      <c r="A58" s="1">
        <v>42068</v>
      </c>
      <c r="B58" s="56" t="str">
        <f t="shared" si="11"/>
        <v>Qtrend</v>
      </c>
      <c r="C58" s="56" t="s">
        <v>255</v>
      </c>
      <c r="D58" s="57"/>
      <c r="F58" s="1">
        <v>42058</v>
      </c>
      <c r="G58" s="1">
        <v>42085</v>
      </c>
      <c r="H58" s="1" t="s">
        <v>93</v>
      </c>
      <c r="I58" t="s">
        <v>54</v>
      </c>
      <c r="J58" t="s">
        <v>17</v>
      </c>
      <c r="L58" t="s">
        <v>672</v>
      </c>
      <c r="M58" s="17" t="str">
        <f t="shared" si="1"/>
        <v>Qtrend</v>
      </c>
      <c r="N58" s="133" t="str">
        <f t="shared" si="2"/>
        <v>P</v>
      </c>
      <c r="O58" s="152" t="str">
        <f t="shared" si="3"/>
        <v>4/19/2015</v>
      </c>
      <c r="P58" s="119" t="str">
        <f t="shared" si="4"/>
        <v>Apr 19 2015</v>
      </c>
      <c r="Q58" s="3"/>
      <c r="R58" s="107" t="s">
        <v>405</v>
      </c>
      <c r="S58" s="98" t="s">
        <v>406</v>
      </c>
      <c r="T58" s="102" t="s">
        <v>407</v>
      </c>
      <c r="U58" s="100" t="s">
        <v>408</v>
      </c>
      <c r="V58" s="154" t="str">
        <f t="shared" si="5"/>
        <v>Apr 19 2015</v>
      </c>
      <c r="W58" s="107" t="s">
        <v>409</v>
      </c>
      <c r="X58" s="101" t="s">
        <v>410</v>
      </c>
      <c r="Y58" s="101" t="s">
        <v>411</v>
      </c>
      <c r="Z58" s="97" t="str">
        <f t="shared" si="6"/>
        <v>Jul 12 2015</v>
      </c>
      <c r="AA58" s="107" t="s">
        <v>412</v>
      </c>
      <c r="AB58" s="101" t="s">
        <v>413</v>
      </c>
      <c r="AC58" s="101" t="s">
        <v>414</v>
      </c>
      <c r="AD58" s="97" t="str">
        <f t="shared" si="7"/>
        <v>Oct 4 2015</v>
      </c>
      <c r="AE58" s="107" t="s">
        <v>415</v>
      </c>
      <c r="AF58" s="101" t="s">
        <v>416</v>
      </c>
      <c r="AG58" s="108" t="s">
        <v>417</v>
      </c>
      <c r="AH58" s="130" t="s">
        <v>718</v>
      </c>
      <c r="AJ58" s="154">
        <f t="shared" si="8"/>
        <v>42113</v>
      </c>
      <c r="AK58" s="127"/>
      <c r="AL58" s="153">
        <f t="shared" si="9"/>
        <v>42197</v>
      </c>
      <c r="AM58" s="127"/>
      <c r="AN58" s="153">
        <f t="shared" si="10"/>
        <v>42281</v>
      </c>
      <c r="AO58" s="127"/>
      <c r="AP58" s="127"/>
      <c r="AQ58" s="127"/>
      <c r="AR58" s="127"/>
      <c r="AS58" s="127"/>
      <c r="AT58" s="127"/>
      <c r="AU58" s="127"/>
      <c r="AV58" s="127"/>
      <c r="AW58" s="127"/>
      <c r="AX58" s="127"/>
      <c r="AY58" s="127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  <c r="BN58" s="127"/>
      <c r="BO58" s="127"/>
      <c r="BP58" s="127"/>
      <c r="BQ58" s="127"/>
      <c r="BR58" s="127"/>
      <c r="BS58" s="127"/>
      <c r="BT58" s="127"/>
      <c r="BU58" s="127"/>
      <c r="BV58" s="127"/>
      <c r="BW58" s="127"/>
      <c r="BX58" s="127"/>
      <c r="BY58" s="127"/>
      <c r="BZ58" s="127"/>
      <c r="CA58" s="127"/>
      <c r="CB58" s="127"/>
      <c r="CC58" s="127"/>
      <c r="CD58" s="127"/>
      <c r="CE58" s="127"/>
      <c r="CF58" s="127"/>
      <c r="CG58" s="127"/>
      <c r="CH58" s="127"/>
      <c r="CI58" s="127"/>
      <c r="CJ58" s="92"/>
      <c r="CK58" s="92"/>
      <c r="CL58" s="92"/>
      <c r="CM58" s="92"/>
      <c r="CN58" s="92"/>
      <c r="CO58" s="92"/>
      <c r="CP58" s="92"/>
      <c r="CQ58" s="92"/>
      <c r="CR58" s="92"/>
      <c r="CS58" s="92"/>
      <c r="CT58" s="92"/>
    </row>
    <row r="59" spans="1:98" ht="15.75" x14ac:dyDescent="0.25">
      <c r="A59" s="1">
        <v>44795</v>
      </c>
      <c r="B59" s="56" t="str">
        <f t="shared" si="11"/>
        <v>Qtrend</v>
      </c>
      <c r="C59" s="56" t="s">
        <v>255</v>
      </c>
      <c r="D59" s="57"/>
      <c r="F59" s="1">
        <v>44781</v>
      </c>
      <c r="G59" s="1">
        <v>44808</v>
      </c>
      <c r="H59" s="1" t="s">
        <v>95</v>
      </c>
      <c r="I59" t="s">
        <v>141</v>
      </c>
      <c r="J59" t="s">
        <v>54</v>
      </c>
      <c r="L59" t="s">
        <v>673</v>
      </c>
      <c r="M59" s="17" t="str">
        <f t="shared" si="1"/>
        <v>Qtrend</v>
      </c>
      <c r="N59" s="133" t="str">
        <f t="shared" si="2"/>
        <v>P</v>
      </c>
      <c r="O59" s="152" t="str">
        <f t="shared" si="3"/>
        <v>10/2/2022</v>
      </c>
      <c r="P59" s="119" t="str">
        <f t="shared" si="4"/>
        <v>Oct 2 2022</v>
      </c>
      <c r="Q59" s="3"/>
      <c r="R59" s="107" t="s">
        <v>418</v>
      </c>
      <c r="S59" s="98" t="s">
        <v>419</v>
      </c>
      <c r="T59" s="102" t="s">
        <v>420</v>
      </c>
      <c r="U59" s="100" t="s">
        <v>421</v>
      </c>
      <c r="V59" s="154" t="str">
        <f t="shared" si="5"/>
        <v>Apr 17 2022</v>
      </c>
      <c r="W59" s="107" t="s">
        <v>422</v>
      </c>
      <c r="X59" s="101" t="s">
        <v>423</v>
      </c>
      <c r="Y59" s="101" t="s">
        <v>424</v>
      </c>
      <c r="Z59" s="97" t="str">
        <f t="shared" si="6"/>
        <v>Jul 10 2022</v>
      </c>
      <c r="AA59" s="107" t="s">
        <v>425</v>
      </c>
      <c r="AB59" s="101" t="s">
        <v>426</v>
      </c>
      <c r="AC59" s="101" t="s">
        <v>427</v>
      </c>
      <c r="AD59" s="97" t="str">
        <f t="shared" si="7"/>
        <v>Oct 2 2022</v>
      </c>
      <c r="AE59" s="107" t="s">
        <v>428</v>
      </c>
      <c r="AF59" s="101" t="s">
        <v>429</v>
      </c>
      <c r="AG59" s="108" t="s">
        <v>430</v>
      </c>
      <c r="AH59" s="130" t="s">
        <v>719</v>
      </c>
      <c r="AJ59" s="154">
        <f t="shared" si="8"/>
        <v>44668</v>
      </c>
      <c r="AK59" s="127"/>
      <c r="AL59" s="153">
        <f t="shared" si="9"/>
        <v>44752</v>
      </c>
      <c r="AM59" s="127"/>
      <c r="AN59" s="153">
        <f t="shared" si="10"/>
        <v>44836</v>
      </c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  <c r="BN59" s="127"/>
      <c r="BO59" s="127"/>
      <c r="BP59" s="127"/>
      <c r="BQ59" s="127"/>
      <c r="BR59" s="127"/>
      <c r="BS59" s="127"/>
      <c r="BT59" s="127"/>
      <c r="BU59" s="127"/>
      <c r="BV59" s="127"/>
      <c r="BW59" s="127"/>
      <c r="BX59" s="127"/>
      <c r="BY59" s="127"/>
      <c r="BZ59" s="127"/>
      <c r="CA59" s="127"/>
      <c r="CB59" s="127"/>
      <c r="CC59" s="127"/>
      <c r="CD59" s="127"/>
      <c r="CE59" s="127"/>
      <c r="CF59" s="127"/>
      <c r="CG59" s="127"/>
      <c r="CH59" s="127"/>
      <c r="CI59" s="127"/>
      <c r="CJ59" s="92"/>
      <c r="CK59" s="92"/>
      <c r="CL59" s="92"/>
      <c r="CM59" s="92"/>
      <c r="CN59" s="92"/>
      <c r="CO59" s="92"/>
      <c r="CP59" s="92"/>
      <c r="CQ59" s="92"/>
      <c r="CR59" s="92"/>
      <c r="CS59" s="92"/>
      <c r="CT59" s="92"/>
    </row>
    <row r="60" spans="1:98" ht="15.75" x14ac:dyDescent="0.25">
      <c r="A60" s="1">
        <v>39243</v>
      </c>
      <c r="B60" s="56" t="str">
        <f t="shared" si="11"/>
        <v>Qtrend</v>
      </c>
      <c r="C60" s="56" t="s">
        <v>255</v>
      </c>
      <c r="D60" s="57"/>
      <c r="F60" s="1">
        <v>39223</v>
      </c>
      <c r="G60" s="1">
        <v>39250</v>
      </c>
      <c r="H60" s="1" t="s">
        <v>87</v>
      </c>
      <c r="I60" t="s">
        <v>146</v>
      </c>
      <c r="J60" t="s">
        <v>143</v>
      </c>
      <c r="L60" t="s">
        <v>176</v>
      </c>
      <c r="M60" s="17" t="str">
        <f t="shared" si="1"/>
        <v>Qtrend</v>
      </c>
      <c r="N60" s="133" t="str">
        <f t="shared" si="2"/>
        <v>P</v>
      </c>
      <c r="O60" s="152" t="str">
        <f t="shared" si="3"/>
        <v>7/15/2007</v>
      </c>
      <c r="P60" s="119" t="str">
        <f t="shared" si="4"/>
        <v>Jul 15 2007</v>
      </c>
      <c r="Q60" s="3"/>
      <c r="R60" s="107" t="s">
        <v>431</v>
      </c>
      <c r="S60" s="98" t="s">
        <v>432</v>
      </c>
      <c r="T60" s="102" t="s">
        <v>433</v>
      </c>
      <c r="U60" s="100" t="s">
        <v>434</v>
      </c>
      <c r="V60" s="154" t="str">
        <f t="shared" si="5"/>
        <v>Apr 22 2007</v>
      </c>
      <c r="W60" s="107" t="s">
        <v>435</v>
      </c>
      <c r="X60" s="101" t="s">
        <v>436</v>
      </c>
      <c r="Y60" s="101" t="s">
        <v>437</v>
      </c>
      <c r="Z60" s="97" t="str">
        <f t="shared" si="6"/>
        <v>Jul 15 2007</v>
      </c>
      <c r="AA60" s="107" t="s">
        <v>438</v>
      </c>
      <c r="AB60" s="101" t="s">
        <v>439</v>
      </c>
      <c r="AC60" s="101" t="s">
        <v>440</v>
      </c>
      <c r="AD60" s="97" t="str">
        <f t="shared" si="7"/>
        <v>Oct 7 2007</v>
      </c>
      <c r="AE60" s="107" t="s">
        <v>441</v>
      </c>
      <c r="AF60" s="101" t="s">
        <v>442</v>
      </c>
      <c r="AG60" s="108" t="s">
        <v>443</v>
      </c>
      <c r="AH60" s="130" t="s">
        <v>705</v>
      </c>
      <c r="AJ60" s="154">
        <f t="shared" si="8"/>
        <v>39194</v>
      </c>
      <c r="AK60" s="127"/>
      <c r="AL60" s="153">
        <f t="shared" si="9"/>
        <v>39278</v>
      </c>
      <c r="AM60" s="127"/>
      <c r="AN60" s="153">
        <f t="shared" si="10"/>
        <v>39362</v>
      </c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  <c r="BN60" s="127"/>
      <c r="BO60" s="127"/>
      <c r="BP60" s="127"/>
      <c r="BQ60" s="127"/>
      <c r="BR60" s="127"/>
      <c r="BS60" s="127"/>
      <c r="BT60" s="127"/>
      <c r="BU60" s="127"/>
      <c r="BV60" s="127"/>
      <c r="BW60" s="127"/>
      <c r="BX60" s="127"/>
      <c r="BY60" s="127"/>
      <c r="BZ60" s="127"/>
      <c r="CA60" s="127"/>
      <c r="CB60" s="127"/>
      <c r="CC60" s="127"/>
      <c r="CD60" s="127"/>
      <c r="CE60" s="127"/>
      <c r="CF60" s="127"/>
      <c r="CG60" s="127"/>
      <c r="CH60" s="127"/>
      <c r="CI60" s="127"/>
      <c r="CJ60" s="92"/>
      <c r="CK60" s="92"/>
      <c r="CL60" s="92"/>
      <c r="CM60" s="92"/>
      <c r="CN60" s="92"/>
      <c r="CO60" s="92"/>
      <c r="CP60" s="92"/>
      <c r="CQ60" s="92"/>
      <c r="CR60" s="92"/>
      <c r="CS60" s="92"/>
      <c r="CT60" s="92"/>
    </row>
    <row r="61" spans="1:98" ht="15.75" x14ac:dyDescent="0.25">
      <c r="A61" s="1">
        <v>37579</v>
      </c>
      <c r="B61" s="56" t="str">
        <f t="shared" si="11"/>
        <v>Qtrend</v>
      </c>
      <c r="C61" s="56" t="s">
        <v>255</v>
      </c>
      <c r="D61" s="57"/>
      <c r="F61" s="1">
        <v>37564</v>
      </c>
      <c r="G61" s="1">
        <v>37591</v>
      </c>
      <c r="H61" s="1" t="s">
        <v>78</v>
      </c>
      <c r="I61" t="s">
        <v>13</v>
      </c>
      <c r="J61" t="s">
        <v>12</v>
      </c>
      <c r="L61" t="s">
        <v>115</v>
      </c>
      <c r="M61" s="17" t="str">
        <f t="shared" si="1"/>
        <v>Qtrend</v>
      </c>
      <c r="N61" s="133" t="str">
        <f t="shared" si="2"/>
        <v>P</v>
      </c>
      <c r="O61" s="152" t="str">
        <f t="shared" si="3"/>
        <v>12/29/2002</v>
      </c>
      <c r="P61" s="119" t="str">
        <f t="shared" si="4"/>
        <v>Dec 29 2002</v>
      </c>
      <c r="Q61" s="3"/>
      <c r="R61" s="107" t="s">
        <v>444</v>
      </c>
      <c r="S61" s="98" t="s">
        <v>445</v>
      </c>
      <c r="T61" s="102" t="s">
        <v>446</v>
      </c>
      <c r="U61" s="100" t="s">
        <v>447</v>
      </c>
      <c r="V61" s="154" t="str">
        <f t="shared" si="5"/>
        <v>Apr 21 2002</v>
      </c>
      <c r="W61" s="107" t="s">
        <v>448</v>
      </c>
      <c r="X61" s="101" t="s">
        <v>449</v>
      </c>
      <c r="Y61" s="101" t="s">
        <v>450</v>
      </c>
      <c r="Z61" s="97" t="str">
        <f t="shared" si="6"/>
        <v>Jul 14 2002</v>
      </c>
      <c r="AA61" s="107" t="s">
        <v>451</v>
      </c>
      <c r="AB61" s="101" t="s">
        <v>452</v>
      </c>
      <c r="AC61" s="101" t="s">
        <v>453</v>
      </c>
      <c r="AD61" s="97" t="str">
        <f t="shared" si="7"/>
        <v>Oct 6 2002</v>
      </c>
      <c r="AE61" s="107" t="s">
        <v>454</v>
      </c>
      <c r="AF61" s="101" t="s">
        <v>455</v>
      </c>
      <c r="AG61" s="108" t="s">
        <v>456</v>
      </c>
      <c r="AH61" s="130" t="s">
        <v>703</v>
      </c>
      <c r="AJ61" s="154">
        <f t="shared" si="8"/>
        <v>37367</v>
      </c>
      <c r="AK61" s="127"/>
      <c r="AL61" s="153">
        <f t="shared" si="9"/>
        <v>37451</v>
      </c>
      <c r="AM61" s="127"/>
      <c r="AN61" s="153">
        <f t="shared" si="10"/>
        <v>37535</v>
      </c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7"/>
      <c r="BX61" s="127"/>
      <c r="BY61" s="127"/>
      <c r="BZ61" s="127"/>
      <c r="CA61" s="127"/>
      <c r="CB61" s="127"/>
      <c r="CC61" s="127"/>
      <c r="CD61" s="127"/>
      <c r="CE61" s="127"/>
      <c r="CF61" s="127"/>
      <c r="CG61" s="127"/>
      <c r="CH61" s="127"/>
      <c r="CI61" s="127"/>
      <c r="CJ61" s="92"/>
      <c r="CK61" s="92"/>
      <c r="CL61" s="92"/>
      <c r="CM61" s="92"/>
      <c r="CN61" s="92"/>
      <c r="CO61" s="92"/>
      <c r="CP61" s="92"/>
      <c r="CQ61" s="92"/>
      <c r="CR61" s="92"/>
      <c r="CS61" s="92"/>
      <c r="CT61" s="92"/>
    </row>
    <row r="62" spans="1:98" ht="15.75" x14ac:dyDescent="0.25">
      <c r="A62" s="1">
        <v>39242</v>
      </c>
      <c r="B62" s="56" t="str">
        <f t="shared" si="11"/>
        <v>Qtrend</v>
      </c>
      <c r="C62" s="56" t="s">
        <v>255</v>
      </c>
      <c r="D62" s="57"/>
      <c r="F62" s="1">
        <v>39223</v>
      </c>
      <c r="G62" s="1">
        <v>39250</v>
      </c>
      <c r="H62" s="1" t="s">
        <v>87</v>
      </c>
      <c r="I62" t="s">
        <v>146</v>
      </c>
      <c r="J62" t="s">
        <v>143</v>
      </c>
      <c r="L62" t="s">
        <v>176</v>
      </c>
      <c r="M62" s="17" t="str">
        <f t="shared" si="1"/>
        <v>Qtrend</v>
      </c>
      <c r="N62" s="133" t="str">
        <f t="shared" si="2"/>
        <v>P</v>
      </c>
      <c r="O62" s="152" t="str">
        <f t="shared" si="3"/>
        <v>7/15/2007</v>
      </c>
      <c r="P62" s="119" t="str">
        <f t="shared" si="4"/>
        <v>Jul 15 2007</v>
      </c>
      <c r="Q62" s="3"/>
      <c r="R62" s="107" t="s">
        <v>431</v>
      </c>
      <c r="S62" s="98" t="s">
        <v>432</v>
      </c>
      <c r="T62" s="102" t="s">
        <v>433</v>
      </c>
      <c r="U62" s="100" t="s">
        <v>434</v>
      </c>
      <c r="V62" s="154" t="str">
        <f t="shared" si="5"/>
        <v>Apr 22 2007</v>
      </c>
      <c r="W62" s="107" t="s">
        <v>435</v>
      </c>
      <c r="X62" s="101" t="s">
        <v>436</v>
      </c>
      <c r="Y62" s="101" t="s">
        <v>437</v>
      </c>
      <c r="Z62" s="97" t="str">
        <f t="shared" si="6"/>
        <v>Jul 15 2007</v>
      </c>
      <c r="AA62" s="107" t="s">
        <v>438</v>
      </c>
      <c r="AB62" s="101" t="s">
        <v>439</v>
      </c>
      <c r="AC62" s="101" t="s">
        <v>440</v>
      </c>
      <c r="AD62" s="97" t="str">
        <f t="shared" si="7"/>
        <v>Oct 7 2007</v>
      </c>
      <c r="AE62" s="107" t="s">
        <v>441</v>
      </c>
      <c r="AF62" s="101" t="s">
        <v>442</v>
      </c>
      <c r="AG62" s="108" t="s">
        <v>443</v>
      </c>
      <c r="AH62" s="130" t="s">
        <v>705</v>
      </c>
      <c r="AJ62" s="154">
        <f t="shared" si="8"/>
        <v>39194</v>
      </c>
      <c r="AK62" s="127"/>
      <c r="AL62" s="153">
        <f t="shared" si="9"/>
        <v>39278</v>
      </c>
      <c r="AM62" s="127"/>
      <c r="AN62" s="153">
        <f t="shared" si="10"/>
        <v>39362</v>
      </c>
      <c r="AO62" s="127"/>
      <c r="AP62" s="127"/>
      <c r="AQ62" s="127"/>
      <c r="AR62" s="127"/>
      <c r="AS62" s="127"/>
      <c r="AT62" s="127"/>
      <c r="AU62" s="127"/>
      <c r="AV62" s="127"/>
      <c r="AW62" s="127"/>
      <c r="AX62" s="127"/>
      <c r="AY62" s="127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27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92"/>
      <c r="CK62" s="92"/>
      <c r="CL62" s="92"/>
      <c r="CM62" s="92"/>
      <c r="CN62" s="92"/>
      <c r="CO62" s="92"/>
      <c r="CP62" s="92"/>
      <c r="CQ62" s="92"/>
      <c r="CR62" s="92"/>
      <c r="CS62" s="92"/>
      <c r="CT62" s="92"/>
    </row>
    <row r="63" spans="1:98" ht="15.75" x14ac:dyDescent="0.25">
      <c r="A63" s="1">
        <v>39904</v>
      </c>
      <c r="B63" s="56" t="str">
        <f t="shared" si="11"/>
        <v>Qtrend</v>
      </c>
      <c r="C63" s="56" t="s">
        <v>255</v>
      </c>
      <c r="D63" s="57"/>
      <c r="F63" s="1">
        <v>39895</v>
      </c>
      <c r="G63" s="1">
        <v>39922</v>
      </c>
      <c r="H63" s="1" t="s">
        <v>89</v>
      </c>
      <c r="I63" t="s">
        <v>12</v>
      </c>
      <c r="J63" t="s">
        <v>17</v>
      </c>
      <c r="L63" t="s">
        <v>674</v>
      </c>
      <c r="M63" s="17" t="str">
        <f t="shared" si="1"/>
        <v>Qtrend</v>
      </c>
      <c r="N63" s="133" t="str">
        <f t="shared" si="2"/>
        <v>P</v>
      </c>
      <c r="O63" s="152" t="str">
        <f t="shared" si="3"/>
        <v>4/19/2009</v>
      </c>
      <c r="P63" s="119" t="str">
        <f t="shared" si="4"/>
        <v>Apr 19 2009</v>
      </c>
      <c r="Q63" s="3"/>
      <c r="R63" s="107" t="s">
        <v>457</v>
      </c>
      <c r="S63" s="98" t="s">
        <v>458</v>
      </c>
      <c r="T63" s="102" t="s">
        <v>459</v>
      </c>
      <c r="U63" s="100" t="s">
        <v>460</v>
      </c>
      <c r="V63" s="154" t="str">
        <f t="shared" si="5"/>
        <v>Apr 19 2009</v>
      </c>
      <c r="W63" s="107" t="s">
        <v>461</v>
      </c>
      <c r="X63" s="101" t="s">
        <v>462</v>
      </c>
      <c r="Y63" s="101" t="s">
        <v>463</v>
      </c>
      <c r="Z63" s="97" t="str">
        <f t="shared" si="6"/>
        <v>Jul 12 2009</v>
      </c>
      <c r="AA63" s="107" t="s">
        <v>464</v>
      </c>
      <c r="AB63" s="101" t="s">
        <v>465</v>
      </c>
      <c r="AC63" s="101" t="s">
        <v>466</v>
      </c>
      <c r="AD63" s="97" t="str">
        <f t="shared" si="7"/>
        <v>Oct 4 2009</v>
      </c>
      <c r="AE63" s="107" t="s">
        <v>467</v>
      </c>
      <c r="AF63" s="101" t="s">
        <v>468</v>
      </c>
      <c r="AG63" s="108" t="s">
        <v>469</v>
      </c>
      <c r="AH63" s="130" t="s">
        <v>720</v>
      </c>
      <c r="AJ63" s="154">
        <f t="shared" si="8"/>
        <v>39922</v>
      </c>
      <c r="AK63" s="127"/>
      <c r="AL63" s="153">
        <f t="shared" si="9"/>
        <v>40006</v>
      </c>
      <c r="AM63" s="127"/>
      <c r="AN63" s="153">
        <f t="shared" si="10"/>
        <v>40090</v>
      </c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27"/>
      <c r="BX63" s="127"/>
      <c r="BY63" s="127"/>
      <c r="BZ63" s="127"/>
      <c r="CA63" s="127"/>
      <c r="CB63" s="127"/>
      <c r="CC63" s="127"/>
      <c r="CD63" s="127"/>
      <c r="CE63" s="127"/>
      <c r="CF63" s="127"/>
      <c r="CG63" s="127"/>
      <c r="CH63" s="127"/>
      <c r="CI63" s="127"/>
      <c r="CJ63" s="92"/>
      <c r="CK63" s="92"/>
      <c r="CL63" s="92"/>
      <c r="CM63" s="92"/>
      <c r="CN63" s="92"/>
      <c r="CO63" s="92"/>
      <c r="CP63" s="92"/>
      <c r="CQ63" s="92"/>
      <c r="CR63" s="92"/>
      <c r="CS63" s="92"/>
      <c r="CT63" s="92"/>
    </row>
    <row r="64" spans="1:98" ht="15.75" x14ac:dyDescent="0.25">
      <c r="A64" s="1">
        <v>39690</v>
      </c>
      <c r="B64" s="56" t="str">
        <f t="shared" si="11"/>
        <v>Qtrend</v>
      </c>
      <c r="C64" s="56" t="s">
        <v>255</v>
      </c>
      <c r="D64" s="57"/>
      <c r="F64" s="1">
        <v>39671</v>
      </c>
      <c r="G64" s="1">
        <v>39698</v>
      </c>
      <c r="H64" s="1" t="s">
        <v>88</v>
      </c>
      <c r="I64" t="s">
        <v>141</v>
      </c>
      <c r="J64" t="s">
        <v>54</v>
      </c>
      <c r="L64" t="s">
        <v>675</v>
      </c>
      <c r="M64" s="17" t="str">
        <f t="shared" si="1"/>
        <v>Qtrend</v>
      </c>
      <c r="N64" s="133" t="str">
        <f t="shared" si="2"/>
        <v>P</v>
      </c>
      <c r="O64" s="152" t="str">
        <f t="shared" si="3"/>
        <v>10/5/2008</v>
      </c>
      <c r="P64" s="119" t="str">
        <f t="shared" si="4"/>
        <v>Oct 5 2008</v>
      </c>
      <c r="Q64" s="3"/>
      <c r="R64" s="107" t="s">
        <v>470</v>
      </c>
      <c r="S64" s="98" t="s">
        <v>471</v>
      </c>
      <c r="T64" s="102" t="s">
        <v>472</v>
      </c>
      <c r="U64" s="100" t="s">
        <v>473</v>
      </c>
      <c r="V64" s="154" t="str">
        <f t="shared" si="5"/>
        <v>Apr 20 2008</v>
      </c>
      <c r="W64" s="107" t="s">
        <v>474</v>
      </c>
      <c r="X64" s="101" t="s">
        <v>475</v>
      </c>
      <c r="Y64" s="101" t="s">
        <v>476</v>
      </c>
      <c r="Z64" s="97" t="str">
        <f t="shared" si="6"/>
        <v>Jul 13 2008</v>
      </c>
      <c r="AA64" s="107" t="s">
        <v>477</v>
      </c>
      <c r="AB64" s="101" t="s">
        <v>478</v>
      </c>
      <c r="AC64" s="101" t="s">
        <v>479</v>
      </c>
      <c r="AD64" s="97" t="str">
        <f t="shared" si="7"/>
        <v>Oct 5 2008</v>
      </c>
      <c r="AE64" s="107" t="s">
        <v>480</v>
      </c>
      <c r="AF64" s="101" t="s">
        <v>481</v>
      </c>
      <c r="AG64" s="108" t="s">
        <v>482</v>
      </c>
      <c r="AH64" s="130" t="s">
        <v>706</v>
      </c>
      <c r="AJ64" s="154">
        <f t="shared" si="8"/>
        <v>39558</v>
      </c>
      <c r="AK64" s="127"/>
      <c r="AL64" s="153">
        <f t="shared" si="9"/>
        <v>39642</v>
      </c>
      <c r="AM64" s="127"/>
      <c r="AN64" s="153">
        <f t="shared" si="10"/>
        <v>39726</v>
      </c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92"/>
      <c r="CK64" s="92"/>
      <c r="CL64" s="92"/>
      <c r="CM64" s="92"/>
      <c r="CN64" s="92"/>
      <c r="CO64" s="92"/>
      <c r="CP64" s="92"/>
      <c r="CQ64" s="92"/>
      <c r="CR64" s="92"/>
      <c r="CS64" s="92"/>
      <c r="CT64" s="92"/>
    </row>
    <row r="65" spans="1:98" ht="15.75" x14ac:dyDescent="0.25">
      <c r="A65" s="1">
        <v>39621</v>
      </c>
      <c r="B65" s="56" t="str">
        <f t="shared" si="11"/>
        <v>Qtrend</v>
      </c>
      <c r="C65" s="56" t="s">
        <v>255</v>
      </c>
      <c r="D65" s="57"/>
      <c r="F65" s="1">
        <v>39615</v>
      </c>
      <c r="G65" s="1">
        <v>39642</v>
      </c>
      <c r="H65" s="1" t="s">
        <v>88</v>
      </c>
      <c r="I65" t="s">
        <v>151</v>
      </c>
      <c r="J65" t="s">
        <v>143</v>
      </c>
      <c r="L65" t="s">
        <v>676</v>
      </c>
      <c r="M65" s="17" t="str">
        <f t="shared" si="1"/>
        <v>Qtrend</v>
      </c>
      <c r="N65" s="133" t="str">
        <f t="shared" si="2"/>
        <v>P</v>
      </c>
      <c r="O65" s="152" t="str">
        <f t="shared" si="3"/>
        <v>7/13/2008</v>
      </c>
      <c r="P65" s="119" t="str">
        <f t="shared" si="4"/>
        <v>Jul 13 2008</v>
      </c>
      <c r="Q65" s="3"/>
      <c r="R65" s="107" t="s">
        <v>470</v>
      </c>
      <c r="S65" s="98" t="s">
        <v>471</v>
      </c>
      <c r="T65" s="102" t="s">
        <v>472</v>
      </c>
      <c r="U65" s="100" t="s">
        <v>473</v>
      </c>
      <c r="V65" s="154" t="str">
        <f t="shared" si="5"/>
        <v>Apr 20 2008</v>
      </c>
      <c r="W65" s="107" t="s">
        <v>474</v>
      </c>
      <c r="X65" s="101" t="s">
        <v>475</v>
      </c>
      <c r="Y65" s="101" t="s">
        <v>476</v>
      </c>
      <c r="Z65" s="97" t="str">
        <f t="shared" si="6"/>
        <v>Jul 13 2008</v>
      </c>
      <c r="AA65" s="107" t="s">
        <v>477</v>
      </c>
      <c r="AB65" s="101" t="s">
        <v>478</v>
      </c>
      <c r="AC65" s="101" t="s">
        <v>479</v>
      </c>
      <c r="AD65" s="97" t="str">
        <f t="shared" si="7"/>
        <v>Oct 5 2008</v>
      </c>
      <c r="AE65" s="107" t="s">
        <v>480</v>
      </c>
      <c r="AF65" s="101" t="s">
        <v>481</v>
      </c>
      <c r="AG65" s="108" t="s">
        <v>482</v>
      </c>
      <c r="AH65" s="130" t="s">
        <v>706</v>
      </c>
      <c r="AJ65" s="154">
        <f t="shared" si="8"/>
        <v>39558</v>
      </c>
      <c r="AK65" s="127"/>
      <c r="AL65" s="153">
        <f t="shared" si="9"/>
        <v>39642</v>
      </c>
      <c r="AM65" s="127"/>
      <c r="AN65" s="153">
        <f t="shared" si="10"/>
        <v>39726</v>
      </c>
      <c r="AO65" s="127"/>
      <c r="AP65" s="127"/>
      <c r="AQ65" s="127"/>
      <c r="AR65" s="127"/>
      <c r="AS65" s="127"/>
      <c r="AT65" s="127"/>
      <c r="AU65" s="127"/>
      <c r="AV65" s="127"/>
      <c r="AW65" s="127"/>
      <c r="AX65" s="127"/>
      <c r="AY65" s="127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27"/>
      <c r="BY65" s="127"/>
      <c r="BZ65" s="127"/>
      <c r="CA65" s="127"/>
      <c r="CB65" s="127"/>
      <c r="CC65" s="127"/>
      <c r="CD65" s="127"/>
      <c r="CE65" s="127"/>
      <c r="CF65" s="127"/>
      <c r="CG65" s="127"/>
      <c r="CH65" s="127"/>
      <c r="CI65" s="127"/>
      <c r="CJ65" s="92"/>
      <c r="CK65" s="92"/>
      <c r="CL65" s="92"/>
      <c r="CM65" s="92"/>
      <c r="CN65" s="92"/>
      <c r="CO65" s="92"/>
      <c r="CP65" s="92"/>
      <c r="CQ65" s="92"/>
      <c r="CR65" s="92"/>
      <c r="CS65" s="92"/>
      <c r="CT65" s="92"/>
    </row>
    <row r="66" spans="1:98" ht="15.75" x14ac:dyDescent="0.25">
      <c r="A66" s="1">
        <v>43321</v>
      </c>
      <c r="B66" s="56" t="str">
        <f t="shared" si="11"/>
        <v>Qtrend</v>
      </c>
      <c r="C66" s="56" t="s">
        <v>255</v>
      </c>
      <c r="D66" s="57"/>
      <c r="F66" s="1">
        <v>43297</v>
      </c>
      <c r="G66" s="1">
        <v>43324</v>
      </c>
      <c r="H66" s="1" t="s">
        <v>72</v>
      </c>
      <c r="I66" t="s">
        <v>148</v>
      </c>
      <c r="J66" t="s">
        <v>54</v>
      </c>
      <c r="L66" t="s">
        <v>677</v>
      </c>
      <c r="M66" s="17" t="str">
        <f t="shared" si="1"/>
        <v>Qtrend</v>
      </c>
      <c r="N66" s="133" t="str">
        <f t="shared" si="2"/>
        <v>P</v>
      </c>
      <c r="O66" s="152" t="str">
        <f t="shared" si="3"/>
        <v>10/7/2018</v>
      </c>
      <c r="P66" s="119" t="str">
        <f t="shared" si="4"/>
        <v>Oct 7 2018</v>
      </c>
      <c r="Q66" s="3"/>
      <c r="R66" s="107" t="s">
        <v>327</v>
      </c>
      <c r="S66" s="98" t="s">
        <v>328</v>
      </c>
      <c r="T66" s="102" t="s">
        <v>329</v>
      </c>
      <c r="U66" s="100" t="s">
        <v>330</v>
      </c>
      <c r="V66" s="154" t="str">
        <f t="shared" si="5"/>
        <v>Apr 22 2018</v>
      </c>
      <c r="W66" s="107" t="s">
        <v>331</v>
      </c>
      <c r="X66" s="101" t="s">
        <v>332</v>
      </c>
      <c r="Y66" s="101" t="s">
        <v>333</v>
      </c>
      <c r="Z66" s="97" t="str">
        <f t="shared" si="6"/>
        <v>Jul 15 2018</v>
      </c>
      <c r="AA66" s="107" t="s">
        <v>334</v>
      </c>
      <c r="AB66" s="101" t="s">
        <v>335</v>
      </c>
      <c r="AC66" s="101" t="s">
        <v>336</v>
      </c>
      <c r="AD66" s="97" t="str">
        <f t="shared" si="7"/>
        <v>Oct 7 2018</v>
      </c>
      <c r="AE66" s="107" t="s">
        <v>337</v>
      </c>
      <c r="AF66" s="101" t="s">
        <v>338</v>
      </c>
      <c r="AG66" s="108" t="s">
        <v>339</v>
      </c>
      <c r="AH66" s="130" t="s">
        <v>721</v>
      </c>
      <c r="AJ66" s="154">
        <f t="shared" si="8"/>
        <v>43212</v>
      </c>
      <c r="AK66" s="127"/>
      <c r="AL66" s="153">
        <f t="shared" si="9"/>
        <v>43296</v>
      </c>
      <c r="AM66" s="127"/>
      <c r="AN66" s="153">
        <f t="shared" si="10"/>
        <v>43380</v>
      </c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92"/>
      <c r="CK66" s="92"/>
      <c r="CL66" s="92"/>
      <c r="CM66" s="92"/>
      <c r="CN66" s="92"/>
      <c r="CO66" s="92"/>
      <c r="CP66" s="92"/>
      <c r="CQ66" s="92"/>
      <c r="CR66" s="92"/>
      <c r="CS66" s="92"/>
      <c r="CT66" s="92"/>
    </row>
    <row r="67" spans="1:98" ht="15.75" x14ac:dyDescent="0.25">
      <c r="A67" s="1">
        <v>41348</v>
      </c>
      <c r="B67" s="56" t="str">
        <f t="shared" si="11"/>
        <v>Qtrend</v>
      </c>
      <c r="C67" s="56" t="s">
        <v>255</v>
      </c>
      <c r="D67" s="57"/>
      <c r="F67" s="1">
        <v>41330</v>
      </c>
      <c r="G67" s="1">
        <v>41357</v>
      </c>
      <c r="H67" s="1" t="s">
        <v>67</v>
      </c>
      <c r="I67" t="s">
        <v>54</v>
      </c>
      <c r="J67" t="s">
        <v>17</v>
      </c>
      <c r="L67" t="s">
        <v>663</v>
      </c>
      <c r="M67" s="17" t="str">
        <f t="shared" si="1"/>
        <v>Qtrend</v>
      </c>
      <c r="N67" s="133" t="str">
        <f t="shared" si="2"/>
        <v>P</v>
      </c>
      <c r="O67" s="152" t="str">
        <f t="shared" si="3"/>
        <v>4/21/2013</v>
      </c>
      <c r="P67" s="119" t="str">
        <f t="shared" si="4"/>
        <v>Apr 21 2013</v>
      </c>
      <c r="Q67" s="3"/>
      <c r="R67" s="107" t="s">
        <v>275</v>
      </c>
      <c r="S67" s="98" t="s">
        <v>276</v>
      </c>
      <c r="T67" s="102" t="s">
        <v>277</v>
      </c>
      <c r="U67" s="100" t="s">
        <v>278</v>
      </c>
      <c r="V67" s="154" t="str">
        <f t="shared" si="5"/>
        <v>Apr 21 2013</v>
      </c>
      <c r="W67" s="107" t="s">
        <v>279</v>
      </c>
      <c r="X67" s="101" t="s">
        <v>280</v>
      </c>
      <c r="Y67" s="101" t="s">
        <v>281</v>
      </c>
      <c r="Z67" s="97" t="str">
        <f t="shared" si="6"/>
        <v>Jul 14 2013</v>
      </c>
      <c r="AA67" s="107" t="s">
        <v>282</v>
      </c>
      <c r="AB67" s="101" t="s">
        <v>283</v>
      </c>
      <c r="AC67" s="101" t="s">
        <v>284</v>
      </c>
      <c r="AD67" s="97" t="str">
        <f t="shared" si="7"/>
        <v>Oct 6 2013</v>
      </c>
      <c r="AE67" s="107" t="s">
        <v>285</v>
      </c>
      <c r="AF67" s="101" t="s">
        <v>286</v>
      </c>
      <c r="AG67" s="108" t="s">
        <v>287</v>
      </c>
      <c r="AH67" s="130" t="s">
        <v>712</v>
      </c>
      <c r="AJ67" s="154">
        <f t="shared" si="8"/>
        <v>41385</v>
      </c>
      <c r="AK67" s="127"/>
      <c r="AL67" s="153">
        <f t="shared" si="9"/>
        <v>41469</v>
      </c>
      <c r="AM67" s="127"/>
      <c r="AN67" s="153">
        <f t="shared" si="10"/>
        <v>41553</v>
      </c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  <c r="AZ67" s="127"/>
      <c r="BA67" s="127"/>
      <c r="BB67" s="127"/>
      <c r="BC67" s="127"/>
      <c r="BD67" s="127"/>
      <c r="BE67" s="127"/>
      <c r="BF67" s="127"/>
      <c r="BG67" s="127"/>
      <c r="BH67" s="127"/>
      <c r="BI67" s="127"/>
      <c r="BJ67" s="127"/>
      <c r="BK67" s="127"/>
      <c r="BL67" s="127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27"/>
      <c r="BY67" s="127"/>
      <c r="BZ67" s="127"/>
      <c r="CA67" s="127"/>
      <c r="CB67" s="127"/>
      <c r="CC67" s="127"/>
      <c r="CD67" s="127"/>
      <c r="CE67" s="127"/>
      <c r="CF67" s="127"/>
      <c r="CG67" s="127"/>
      <c r="CH67" s="127"/>
      <c r="CI67" s="127"/>
      <c r="CJ67" s="92"/>
      <c r="CK67" s="92"/>
      <c r="CL67" s="92"/>
      <c r="CM67" s="92"/>
      <c r="CN67" s="92"/>
      <c r="CO67" s="92"/>
      <c r="CP67" s="92"/>
      <c r="CQ67" s="92"/>
      <c r="CR67" s="92"/>
      <c r="CS67" s="92"/>
      <c r="CT67" s="92"/>
    </row>
    <row r="68" spans="1:98" ht="15.75" x14ac:dyDescent="0.25">
      <c r="A68" s="1">
        <v>37909</v>
      </c>
      <c r="B68" s="56" t="str">
        <f t="shared" si="11"/>
        <v>Qtrend</v>
      </c>
      <c r="C68" s="56" t="s">
        <v>255</v>
      </c>
      <c r="D68" s="57"/>
      <c r="F68" s="1">
        <v>37900</v>
      </c>
      <c r="G68" s="1">
        <v>37927</v>
      </c>
      <c r="H68" s="1" t="s">
        <v>80</v>
      </c>
      <c r="I68" t="s">
        <v>150</v>
      </c>
      <c r="J68" t="s">
        <v>12</v>
      </c>
      <c r="L68" t="s">
        <v>116</v>
      </c>
      <c r="M68" s="17" t="str">
        <f t="shared" si="1"/>
        <v>Qtrend</v>
      </c>
      <c r="N68" s="133" t="str">
        <f t="shared" si="2"/>
        <v>P</v>
      </c>
      <c r="O68" s="152" t="str">
        <f t="shared" si="3"/>
        <v>12/28/2003</v>
      </c>
      <c r="P68" s="119" t="str">
        <f t="shared" si="4"/>
        <v>Dec 28 2003</v>
      </c>
      <c r="Q68" s="3"/>
      <c r="R68" s="107" t="s">
        <v>353</v>
      </c>
      <c r="S68" s="98" t="s">
        <v>354</v>
      </c>
      <c r="T68" s="102" t="s">
        <v>355</v>
      </c>
      <c r="U68" s="100" t="s">
        <v>356</v>
      </c>
      <c r="V68" s="154" t="str">
        <f t="shared" si="5"/>
        <v>Apr 20 2003</v>
      </c>
      <c r="W68" s="107" t="s">
        <v>357</v>
      </c>
      <c r="X68" s="101" t="s">
        <v>358</v>
      </c>
      <c r="Y68" s="101" t="s">
        <v>359</v>
      </c>
      <c r="Z68" s="97" t="str">
        <f t="shared" si="6"/>
        <v>Jul 13 2003</v>
      </c>
      <c r="AA68" s="107" t="s">
        <v>360</v>
      </c>
      <c r="AB68" s="101" t="s">
        <v>361</v>
      </c>
      <c r="AC68" s="101" t="s">
        <v>362</v>
      </c>
      <c r="AD68" s="97" t="str">
        <f t="shared" si="7"/>
        <v>Oct 5 2003</v>
      </c>
      <c r="AE68" s="107" t="s">
        <v>363</v>
      </c>
      <c r="AF68" s="101" t="s">
        <v>364</v>
      </c>
      <c r="AG68" s="108" t="s">
        <v>365</v>
      </c>
      <c r="AH68" s="130" t="s">
        <v>694</v>
      </c>
      <c r="AJ68" s="154">
        <f t="shared" si="8"/>
        <v>37731</v>
      </c>
      <c r="AK68" s="127"/>
      <c r="AL68" s="153">
        <f t="shared" si="9"/>
        <v>37815</v>
      </c>
      <c r="AM68" s="127"/>
      <c r="AN68" s="153">
        <f t="shared" si="10"/>
        <v>37899</v>
      </c>
      <c r="AO68" s="127"/>
      <c r="AP68" s="127"/>
      <c r="AQ68" s="127"/>
      <c r="AR68" s="127"/>
      <c r="AS68" s="127"/>
      <c r="AT68" s="127"/>
      <c r="AU68" s="127"/>
      <c r="AV68" s="127"/>
      <c r="AW68" s="127"/>
      <c r="AX68" s="127"/>
      <c r="AY68" s="127"/>
      <c r="AZ68" s="127"/>
      <c r="BA68" s="127"/>
      <c r="BB68" s="127"/>
      <c r="BC68" s="127"/>
      <c r="BD68" s="127"/>
      <c r="BE68" s="127"/>
      <c r="BF68" s="127"/>
      <c r="BG68" s="127"/>
      <c r="BH68" s="127"/>
      <c r="BI68" s="127"/>
      <c r="BJ68" s="127"/>
      <c r="BK68" s="127"/>
      <c r="BL68" s="127"/>
      <c r="BM68" s="127"/>
      <c r="BN68" s="127"/>
      <c r="BO68" s="127"/>
      <c r="BP68" s="127"/>
      <c r="BQ68" s="127"/>
      <c r="BR68" s="127"/>
      <c r="BS68" s="127"/>
      <c r="BT68" s="127"/>
      <c r="BU68" s="127"/>
      <c r="BV68" s="127"/>
      <c r="BW68" s="127"/>
      <c r="BX68" s="127"/>
      <c r="BY68" s="127"/>
      <c r="BZ68" s="127"/>
      <c r="CA68" s="127"/>
      <c r="CB68" s="127"/>
      <c r="CC68" s="127"/>
      <c r="CD68" s="127"/>
      <c r="CE68" s="127"/>
      <c r="CF68" s="127"/>
      <c r="CG68" s="127"/>
      <c r="CH68" s="127"/>
      <c r="CI68" s="127"/>
      <c r="CJ68" s="92"/>
      <c r="CK68" s="92"/>
      <c r="CL68" s="92"/>
      <c r="CM68" s="92"/>
      <c r="CN68" s="92"/>
      <c r="CO68" s="92"/>
      <c r="CP68" s="92"/>
      <c r="CQ68" s="92"/>
      <c r="CR68" s="92"/>
      <c r="CS68" s="92"/>
      <c r="CT68" s="92"/>
    </row>
    <row r="69" spans="1:98" ht="15.75" x14ac:dyDescent="0.25">
      <c r="A69" s="1">
        <v>47427</v>
      </c>
      <c r="B69" s="56" t="str">
        <f t="shared" si="11"/>
        <v>Qtrend</v>
      </c>
      <c r="C69" s="56" t="s">
        <v>255</v>
      </c>
      <c r="D69" s="57"/>
      <c r="F69" s="1">
        <v>47427</v>
      </c>
      <c r="G69" s="1">
        <v>47454</v>
      </c>
      <c r="H69" s="1" t="s">
        <v>105</v>
      </c>
      <c r="I69" t="s">
        <v>13</v>
      </c>
      <c r="J69" t="s">
        <v>12</v>
      </c>
      <c r="L69" t="s">
        <v>217</v>
      </c>
      <c r="M69" s="17" t="str">
        <f t="shared" si="1"/>
        <v>Qtrend</v>
      </c>
      <c r="N69" s="133" t="str">
        <f t="shared" si="2"/>
        <v>P</v>
      </c>
      <c r="O69" s="152" t="str">
        <f t="shared" si="3"/>
        <v>12/30/2029</v>
      </c>
      <c r="P69" s="119" t="str">
        <f t="shared" si="4"/>
        <v>Dec 30 2029</v>
      </c>
      <c r="Q69" s="3"/>
      <c r="R69" s="107" t="s">
        <v>483</v>
      </c>
      <c r="S69" s="98" t="s">
        <v>484</v>
      </c>
      <c r="T69" s="102" t="s">
        <v>485</v>
      </c>
      <c r="U69" s="100" t="s">
        <v>486</v>
      </c>
      <c r="V69" s="154" t="str">
        <f t="shared" si="5"/>
        <v>Apr 22 2029</v>
      </c>
      <c r="W69" s="107" t="s">
        <v>487</v>
      </c>
      <c r="X69" s="101" t="s">
        <v>488</v>
      </c>
      <c r="Y69" s="101" t="s">
        <v>489</v>
      </c>
      <c r="Z69" s="97" t="str">
        <f t="shared" si="6"/>
        <v>Jul 15 2029</v>
      </c>
      <c r="AA69" s="107" t="s">
        <v>490</v>
      </c>
      <c r="AB69" s="101" t="s">
        <v>491</v>
      </c>
      <c r="AC69" s="101" t="s">
        <v>492</v>
      </c>
      <c r="AD69" s="97" t="str">
        <f t="shared" si="7"/>
        <v>Oct 7 2029</v>
      </c>
      <c r="AE69" s="107" t="s">
        <v>493</v>
      </c>
      <c r="AF69" s="101" t="s">
        <v>494</v>
      </c>
      <c r="AG69" s="108" t="s">
        <v>495</v>
      </c>
      <c r="AH69" s="130" t="s">
        <v>700</v>
      </c>
      <c r="AJ69" s="154">
        <f t="shared" si="8"/>
        <v>47230</v>
      </c>
      <c r="AK69" s="127"/>
      <c r="AL69" s="153">
        <f t="shared" si="9"/>
        <v>47314</v>
      </c>
      <c r="AM69" s="127"/>
      <c r="AN69" s="153">
        <f t="shared" si="10"/>
        <v>47398</v>
      </c>
      <c r="AO69" s="127"/>
      <c r="AP69" s="127"/>
      <c r="AQ69" s="127"/>
      <c r="AR69" s="127"/>
      <c r="AS69" s="127"/>
      <c r="AT69" s="127"/>
      <c r="AU69" s="127"/>
      <c r="AV69" s="127"/>
      <c r="AW69" s="127"/>
      <c r="AX69" s="127"/>
      <c r="AY69" s="127"/>
      <c r="AZ69" s="127"/>
      <c r="BA69" s="127"/>
      <c r="BB69" s="127"/>
      <c r="BC69" s="127"/>
      <c r="BD69" s="127"/>
      <c r="BE69" s="127"/>
      <c r="BF69" s="127"/>
      <c r="BG69" s="127"/>
      <c r="BH69" s="127"/>
      <c r="BI69" s="127"/>
      <c r="BJ69" s="127"/>
      <c r="BK69" s="127"/>
      <c r="BL69" s="127"/>
      <c r="BM69" s="127"/>
      <c r="BN69" s="127"/>
      <c r="BO69" s="127"/>
      <c r="BP69" s="127"/>
      <c r="BQ69" s="127"/>
      <c r="BR69" s="127"/>
      <c r="BS69" s="127"/>
      <c r="BT69" s="127"/>
      <c r="BU69" s="127"/>
      <c r="BV69" s="127"/>
      <c r="BW69" s="127"/>
      <c r="BX69" s="127"/>
      <c r="BY69" s="127"/>
      <c r="BZ69" s="127"/>
      <c r="CA69" s="127"/>
      <c r="CB69" s="127"/>
      <c r="CC69" s="127"/>
      <c r="CD69" s="127"/>
      <c r="CE69" s="127"/>
      <c r="CF69" s="127"/>
      <c r="CG69" s="127"/>
      <c r="CH69" s="127"/>
      <c r="CI69" s="127"/>
      <c r="CJ69" s="92"/>
      <c r="CK69" s="92"/>
      <c r="CL69" s="92"/>
      <c r="CM69" s="92"/>
      <c r="CN69" s="92"/>
      <c r="CO69" s="92"/>
      <c r="CP69" s="92"/>
      <c r="CQ69" s="92"/>
      <c r="CR69" s="92"/>
      <c r="CS69" s="92"/>
      <c r="CT69" s="92"/>
    </row>
    <row r="70" spans="1:98" ht="15.75" x14ac:dyDescent="0.25">
      <c r="A70" s="1">
        <v>37196</v>
      </c>
      <c r="B70" s="56" t="str">
        <f t="shared" si="11"/>
        <v>Qtrend</v>
      </c>
      <c r="C70" s="56" t="s">
        <v>255</v>
      </c>
      <c r="D70" s="57"/>
      <c r="F70" s="1">
        <v>37172</v>
      </c>
      <c r="G70" s="1">
        <v>37199</v>
      </c>
      <c r="H70" s="1" t="s">
        <v>77</v>
      </c>
      <c r="I70" t="s">
        <v>150</v>
      </c>
      <c r="J70" t="s">
        <v>12</v>
      </c>
      <c r="L70" t="s">
        <v>114</v>
      </c>
      <c r="M70" s="17" t="str">
        <f t="shared" si="1"/>
        <v>Qtrend</v>
      </c>
      <c r="N70" s="133" t="str">
        <f t="shared" si="2"/>
        <v>P</v>
      </c>
      <c r="O70" s="152" t="str">
        <f t="shared" si="3"/>
        <v>12/30/2001</v>
      </c>
      <c r="P70" s="119" t="str">
        <f t="shared" si="4"/>
        <v>Dec 30 2001</v>
      </c>
      <c r="Q70" s="3"/>
      <c r="R70" s="107" t="s">
        <v>496</v>
      </c>
      <c r="S70" s="98" t="s">
        <v>497</v>
      </c>
      <c r="T70" s="102" t="s">
        <v>498</v>
      </c>
      <c r="U70" s="100" t="s">
        <v>499</v>
      </c>
      <c r="V70" s="154" t="str">
        <f t="shared" si="5"/>
        <v>Apr 22 2001</v>
      </c>
      <c r="W70" s="107" t="s">
        <v>500</v>
      </c>
      <c r="X70" s="101" t="s">
        <v>501</v>
      </c>
      <c r="Y70" s="101" t="s">
        <v>502</v>
      </c>
      <c r="Z70" s="97" t="str">
        <f t="shared" si="6"/>
        <v>Jul 15 2001</v>
      </c>
      <c r="AA70" s="107" t="s">
        <v>503</v>
      </c>
      <c r="AB70" s="101" t="s">
        <v>504</v>
      </c>
      <c r="AC70" s="101" t="s">
        <v>505</v>
      </c>
      <c r="AD70" s="97" t="str">
        <f t="shared" si="7"/>
        <v>Oct 7 2001</v>
      </c>
      <c r="AE70" s="107" t="s">
        <v>506</v>
      </c>
      <c r="AF70" s="101" t="s">
        <v>507</v>
      </c>
      <c r="AG70" s="108" t="s">
        <v>508</v>
      </c>
      <c r="AH70" s="130" t="s">
        <v>702</v>
      </c>
      <c r="AJ70" s="154">
        <f t="shared" si="8"/>
        <v>37003</v>
      </c>
      <c r="AK70" s="127"/>
      <c r="AL70" s="153">
        <f t="shared" si="9"/>
        <v>37087</v>
      </c>
      <c r="AM70" s="127"/>
      <c r="AN70" s="153">
        <f t="shared" si="10"/>
        <v>37171</v>
      </c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  <c r="AZ70" s="127"/>
      <c r="BA70" s="127"/>
      <c r="BB70" s="127"/>
      <c r="BC70" s="127"/>
      <c r="BD70" s="127"/>
      <c r="BE70" s="127"/>
      <c r="BF70" s="127"/>
      <c r="BG70" s="127"/>
      <c r="BH70" s="127"/>
      <c r="BI70" s="127"/>
      <c r="BJ70" s="127"/>
      <c r="BK70" s="127"/>
      <c r="BL70" s="127"/>
      <c r="BM70" s="127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92"/>
      <c r="CK70" s="92"/>
      <c r="CL70" s="92"/>
      <c r="CM70" s="92"/>
      <c r="CN70" s="92"/>
      <c r="CO70" s="92"/>
      <c r="CP70" s="92"/>
      <c r="CQ70" s="92"/>
      <c r="CR70" s="92"/>
      <c r="CS70" s="92"/>
      <c r="CT70" s="92"/>
    </row>
    <row r="71" spans="1:98" ht="15.75" x14ac:dyDescent="0.25">
      <c r="A71" s="1">
        <v>39101</v>
      </c>
      <c r="B71" s="56" t="str">
        <f t="shared" si="11"/>
        <v>Qtrend</v>
      </c>
      <c r="C71" s="56" t="s">
        <v>255</v>
      </c>
      <c r="D71" s="57"/>
      <c r="F71" s="1">
        <v>39083</v>
      </c>
      <c r="G71" s="1">
        <v>39110</v>
      </c>
      <c r="H71" s="1" t="s">
        <v>87</v>
      </c>
      <c r="I71" t="s">
        <v>17</v>
      </c>
      <c r="J71" t="s">
        <v>17</v>
      </c>
      <c r="L71" t="s">
        <v>678</v>
      </c>
      <c r="M71" s="17" t="str">
        <f t="shared" si="1"/>
        <v>Qtrend</v>
      </c>
      <c r="N71" s="133" t="str">
        <f t="shared" si="2"/>
        <v>P</v>
      </c>
      <c r="O71" s="152" t="str">
        <f t="shared" si="3"/>
        <v>4/22/2007</v>
      </c>
      <c r="P71" s="119" t="str">
        <f t="shared" si="4"/>
        <v>Apr 22 2007</v>
      </c>
      <c r="Q71" s="3"/>
      <c r="R71" s="107" t="s">
        <v>431</v>
      </c>
      <c r="S71" s="98" t="s">
        <v>432</v>
      </c>
      <c r="T71" s="102" t="s">
        <v>433</v>
      </c>
      <c r="U71" s="100" t="s">
        <v>434</v>
      </c>
      <c r="V71" s="154" t="str">
        <f t="shared" si="5"/>
        <v>Apr 22 2007</v>
      </c>
      <c r="W71" s="107" t="s">
        <v>435</v>
      </c>
      <c r="X71" s="101" t="s">
        <v>436</v>
      </c>
      <c r="Y71" s="101" t="s">
        <v>437</v>
      </c>
      <c r="Z71" s="97" t="str">
        <f t="shared" si="6"/>
        <v>Jul 15 2007</v>
      </c>
      <c r="AA71" s="107" t="s">
        <v>438</v>
      </c>
      <c r="AB71" s="101" t="s">
        <v>439</v>
      </c>
      <c r="AC71" s="101" t="s">
        <v>440</v>
      </c>
      <c r="AD71" s="97" t="str">
        <f t="shared" si="7"/>
        <v>Oct 7 2007</v>
      </c>
      <c r="AE71" s="107" t="s">
        <v>441</v>
      </c>
      <c r="AF71" s="101" t="s">
        <v>442</v>
      </c>
      <c r="AG71" s="108" t="s">
        <v>443</v>
      </c>
      <c r="AH71" s="130" t="s">
        <v>705</v>
      </c>
      <c r="AJ71" s="154">
        <f t="shared" si="8"/>
        <v>39194</v>
      </c>
      <c r="AK71" s="127"/>
      <c r="AL71" s="153">
        <f t="shared" si="9"/>
        <v>39278</v>
      </c>
      <c r="AM71" s="127"/>
      <c r="AN71" s="153">
        <f t="shared" si="10"/>
        <v>39362</v>
      </c>
      <c r="AO71" s="127"/>
      <c r="AP71" s="127"/>
      <c r="AQ71" s="127"/>
      <c r="AR71" s="127"/>
      <c r="AS71" s="127"/>
      <c r="AT71" s="127"/>
      <c r="AU71" s="127"/>
      <c r="AV71" s="127"/>
      <c r="AW71" s="127"/>
      <c r="AX71" s="127"/>
      <c r="AY71" s="127"/>
      <c r="AZ71" s="127"/>
      <c r="BA71" s="127"/>
      <c r="BB71" s="127"/>
      <c r="BC71" s="127"/>
      <c r="BD71" s="127"/>
      <c r="BE71" s="127"/>
      <c r="BF71" s="127"/>
      <c r="BG71" s="127"/>
      <c r="BH71" s="127"/>
      <c r="BI71" s="127"/>
      <c r="BJ71" s="127"/>
      <c r="BK71" s="127"/>
      <c r="BL71" s="127"/>
      <c r="BM71" s="127"/>
      <c r="BN71" s="127"/>
      <c r="BO71" s="127"/>
      <c r="BP71" s="127"/>
      <c r="BQ71" s="127"/>
      <c r="BR71" s="127"/>
      <c r="BS71" s="127"/>
      <c r="BT71" s="127"/>
      <c r="BU71" s="127"/>
      <c r="BV71" s="127"/>
      <c r="BW71" s="127"/>
      <c r="BX71" s="127"/>
      <c r="BY71" s="127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92"/>
      <c r="CK71" s="92"/>
      <c r="CL71" s="92"/>
      <c r="CM71" s="92"/>
      <c r="CN71" s="92"/>
      <c r="CO71" s="92"/>
      <c r="CP71" s="92"/>
      <c r="CQ71" s="92"/>
      <c r="CR71" s="92"/>
      <c r="CS71" s="92"/>
      <c r="CT71" s="92"/>
    </row>
    <row r="72" spans="1:98" ht="15.75" x14ac:dyDescent="0.25">
      <c r="A72" s="1">
        <v>40189</v>
      </c>
      <c r="B72" s="56" t="str">
        <f t="shared" ref="B72:B86" si="12">$M$1</f>
        <v>Qtrend</v>
      </c>
      <c r="C72" s="56" t="s">
        <v>255</v>
      </c>
      <c r="D72" s="57"/>
      <c r="F72" s="1">
        <v>40175</v>
      </c>
      <c r="G72" s="1">
        <v>40202</v>
      </c>
      <c r="H72" s="1" t="s">
        <v>90</v>
      </c>
      <c r="I72" t="s">
        <v>17</v>
      </c>
      <c r="J72" t="s">
        <v>17</v>
      </c>
      <c r="L72" t="s">
        <v>679</v>
      </c>
      <c r="M72" s="17" t="str">
        <f t="shared" si="1"/>
        <v>Qtrend</v>
      </c>
      <c r="N72" s="133" t="str">
        <f t="shared" si="2"/>
        <v>P</v>
      </c>
      <c r="O72" s="152" t="str">
        <f t="shared" si="3"/>
        <v>4/18/2010</v>
      </c>
      <c r="P72" s="119" t="str">
        <f t="shared" si="4"/>
        <v>Apr 18 2010</v>
      </c>
      <c r="Q72" s="3"/>
      <c r="R72" s="107" t="s">
        <v>509</v>
      </c>
      <c r="S72" s="98" t="s">
        <v>510</v>
      </c>
      <c r="T72" s="102" t="s">
        <v>511</v>
      </c>
      <c r="U72" s="100" t="s">
        <v>512</v>
      </c>
      <c r="V72" s="154" t="str">
        <f t="shared" si="5"/>
        <v>Apr 18 2010</v>
      </c>
      <c r="W72" s="107" t="s">
        <v>513</v>
      </c>
      <c r="X72" s="101" t="s">
        <v>514</v>
      </c>
      <c r="Y72" s="101" t="s">
        <v>515</v>
      </c>
      <c r="Z72" s="97" t="str">
        <f t="shared" si="6"/>
        <v>Jul 11 2010</v>
      </c>
      <c r="AA72" s="107" t="s">
        <v>516</v>
      </c>
      <c r="AB72" s="101" t="s">
        <v>517</v>
      </c>
      <c r="AC72" s="101" t="s">
        <v>518</v>
      </c>
      <c r="AD72" s="97" t="str">
        <f t="shared" si="7"/>
        <v>Oct 3 2010</v>
      </c>
      <c r="AE72" s="107" t="s">
        <v>519</v>
      </c>
      <c r="AF72" s="101" t="s">
        <v>520</v>
      </c>
      <c r="AG72" s="108" t="s">
        <v>521</v>
      </c>
      <c r="AH72" s="130" t="s">
        <v>722</v>
      </c>
      <c r="AJ72" s="154">
        <f t="shared" si="8"/>
        <v>40286</v>
      </c>
      <c r="AK72" s="127"/>
      <c r="AL72" s="153">
        <f t="shared" si="9"/>
        <v>40370</v>
      </c>
      <c r="AM72" s="127"/>
      <c r="AN72" s="153">
        <f t="shared" si="10"/>
        <v>40454</v>
      </c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92"/>
      <c r="CK72" s="92"/>
      <c r="CL72" s="92"/>
      <c r="CM72" s="92"/>
      <c r="CN72" s="92"/>
      <c r="CO72" s="92"/>
      <c r="CP72" s="92"/>
      <c r="CQ72" s="92"/>
      <c r="CR72" s="92"/>
      <c r="CS72" s="92"/>
      <c r="CT72" s="92"/>
    </row>
    <row r="73" spans="1:98" ht="15.75" x14ac:dyDescent="0.25">
      <c r="A73" s="1">
        <v>37291</v>
      </c>
      <c r="B73" s="56" t="str">
        <f t="shared" si="12"/>
        <v>Qtrend</v>
      </c>
      <c r="C73" s="56" t="s">
        <v>255</v>
      </c>
      <c r="D73" s="57"/>
      <c r="F73" s="1">
        <v>37284</v>
      </c>
      <c r="G73" s="1">
        <v>37311</v>
      </c>
      <c r="H73" s="1" t="s">
        <v>78</v>
      </c>
      <c r="I73" t="s">
        <v>143</v>
      </c>
      <c r="J73" t="s">
        <v>17</v>
      </c>
      <c r="L73" t="s">
        <v>680</v>
      </c>
      <c r="M73" s="17" t="str">
        <f t="shared" ref="M73:M85" si="13">B73</f>
        <v>Qtrend</v>
      </c>
      <c r="N73" s="133" t="str">
        <f t="shared" ref="N73:N86" si="14">IF(MATCH(P73,R73:AH73,0), "P", "F")</f>
        <v>P</v>
      </c>
      <c r="O73" s="152" t="str">
        <f t="shared" ref="O73:O86" si="15">DateToNum(L73)</f>
        <v>4/21/2002</v>
      </c>
      <c r="P73" s="119" t="str">
        <f t="shared" ref="P73:P86" si="16">DateToLetter(O73)</f>
        <v>Apr 21 2002</v>
      </c>
      <c r="Q73" s="3"/>
      <c r="R73" s="107" t="s">
        <v>444</v>
      </c>
      <c r="S73" s="98" t="s">
        <v>445</v>
      </c>
      <c r="T73" s="102" t="s">
        <v>446</v>
      </c>
      <c r="U73" s="100" t="s">
        <v>447</v>
      </c>
      <c r="V73" s="154" t="str">
        <f t="shared" ref="V73:V86" si="17">DateToLetter(AJ73)</f>
        <v>Apr 21 2002</v>
      </c>
      <c r="W73" s="107" t="s">
        <v>448</v>
      </c>
      <c r="X73" s="101" t="s">
        <v>449</v>
      </c>
      <c r="Y73" s="101" t="s">
        <v>450</v>
      </c>
      <c r="Z73" s="97" t="str">
        <f t="shared" ref="Z73:Z86" si="18">DateToLetter(AL73)</f>
        <v>Jul 14 2002</v>
      </c>
      <c r="AA73" s="107" t="s">
        <v>451</v>
      </c>
      <c r="AB73" s="101" t="s">
        <v>452</v>
      </c>
      <c r="AC73" s="101" t="s">
        <v>453</v>
      </c>
      <c r="AD73" s="97" t="str">
        <f t="shared" ref="AD73:AD86" si="19">DateToLetter(AN73)</f>
        <v>Oct 6 2002</v>
      </c>
      <c r="AE73" s="107" t="s">
        <v>454</v>
      </c>
      <c r="AF73" s="101" t="s">
        <v>455</v>
      </c>
      <c r="AG73" s="108" t="s">
        <v>456</v>
      </c>
      <c r="AH73" s="130" t="s">
        <v>703</v>
      </c>
      <c r="AJ73" s="154">
        <f t="shared" ref="AJ73:AJ86" si="20">DateToNum(W73) - 1</f>
        <v>37367</v>
      </c>
      <c r="AK73" s="127"/>
      <c r="AL73" s="153">
        <f t="shared" ref="AL73:AL86" si="21">DateToNum(AA73) - 1</f>
        <v>37451</v>
      </c>
      <c r="AM73" s="127"/>
      <c r="AN73" s="153">
        <f t="shared" ref="AN73:AN86" si="22">DateToNum(AE73) - 1</f>
        <v>37535</v>
      </c>
      <c r="AO73" s="127"/>
      <c r="AP73" s="127"/>
      <c r="AQ73" s="127"/>
      <c r="AR73" s="127"/>
      <c r="AS73" s="127"/>
      <c r="AT73" s="127"/>
      <c r="AU73" s="127"/>
      <c r="AV73" s="127"/>
      <c r="AW73" s="127"/>
      <c r="AX73" s="127"/>
      <c r="AY73" s="127"/>
      <c r="AZ73" s="127"/>
      <c r="BA73" s="127"/>
      <c r="BB73" s="127"/>
      <c r="BC73" s="127"/>
      <c r="BD73" s="127"/>
      <c r="BE73" s="127"/>
      <c r="BF73" s="127"/>
      <c r="BG73" s="127"/>
      <c r="BH73" s="127"/>
      <c r="BI73" s="127"/>
      <c r="BJ73" s="127"/>
      <c r="BK73" s="127"/>
      <c r="BL73" s="127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27"/>
      <c r="BY73" s="127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92"/>
      <c r="CK73" s="92"/>
      <c r="CL73" s="92"/>
      <c r="CM73" s="92"/>
      <c r="CN73" s="92"/>
      <c r="CO73" s="92"/>
      <c r="CP73" s="92"/>
      <c r="CQ73" s="92"/>
      <c r="CR73" s="92"/>
      <c r="CS73" s="92"/>
      <c r="CT73" s="92"/>
    </row>
    <row r="74" spans="1:98" ht="15.75" x14ac:dyDescent="0.25">
      <c r="A74" s="1">
        <v>47124</v>
      </c>
      <c r="B74" s="56" t="str">
        <f t="shared" si="12"/>
        <v>Qtrend</v>
      </c>
      <c r="C74" s="56" t="s">
        <v>255</v>
      </c>
      <c r="D74" s="57"/>
      <c r="F74" s="1">
        <v>47119</v>
      </c>
      <c r="G74" s="1">
        <v>47146</v>
      </c>
      <c r="H74" s="1" t="s">
        <v>105</v>
      </c>
      <c r="I74" t="s">
        <v>17</v>
      </c>
      <c r="J74" t="s">
        <v>17</v>
      </c>
      <c r="L74" t="s">
        <v>681</v>
      </c>
      <c r="M74" s="17" t="str">
        <f t="shared" si="13"/>
        <v>Qtrend</v>
      </c>
      <c r="N74" s="133" t="str">
        <f t="shared" si="14"/>
        <v>P</v>
      </c>
      <c r="O74" s="152" t="str">
        <f t="shared" si="15"/>
        <v>4/22/2029</v>
      </c>
      <c r="P74" s="119" t="str">
        <f t="shared" si="16"/>
        <v>Apr 22 2029</v>
      </c>
      <c r="Q74" s="3"/>
      <c r="R74" s="107" t="s">
        <v>483</v>
      </c>
      <c r="S74" s="98" t="s">
        <v>484</v>
      </c>
      <c r="T74" s="102" t="s">
        <v>485</v>
      </c>
      <c r="U74" s="100" t="s">
        <v>486</v>
      </c>
      <c r="V74" s="154" t="str">
        <f t="shared" si="17"/>
        <v>Apr 22 2029</v>
      </c>
      <c r="W74" s="107" t="s">
        <v>487</v>
      </c>
      <c r="X74" s="101" t="s">
        <v>488</v>
      </c>
      <c r="Y74" s="101" t="s">
        <v>489</v>
      </c>
      <c r="Z74" s="97" t="str">
        <f t="shared" si="18"/>
        <v>Jul 15 2029</v>
      </c>
      <c r="AA74" s="107" t="s">
        <v>490</v>
      </c>
      <c r="AB74" s="101" t="s">
        <v>491</v>
      </c>
      <c r="AC74" s="101" t="s">
        <v>492</v>
      </c>
      <c r="AD74" s="97" t="str">
        <f t="shared" si="19"/>
        <v>Oct 7 2029</v>
      </c>
      <c r="AE74" s="107" t="s">
        <v>493</v>
      </c>
      <c r="AF74" s="101" t="s">
        <v>494</v>
      </c>
      <c r="AG74" s="108" t="s">
        <v>495</v>
      </c>
      <c r="AH74" s="130" t="s">
        <v>700</v>
      </c>
      <c r="AJ74" s="154">
        <f t="shared" si="20"/>
        <v>47230</v>
      </c>
      <c r="AK74" s="127"/>
      <c r="AL74" s="153">
        <f t="shared" si="21"/>
        <v>47314</v>
      </c>
      <c r="AM74" s="127"/>
      <c r="AN74" s="153">
        <f t="shared" si="22"/>
        <v>47398</v>
      </c>
      <c r="AO74" s="127"/>
      <c r="AP74" s="127"/>
      <c r="AQ74" s="127"/>
      <c r="AR74" s="127"/>
      <c r="AS74" s="127"/>
      <c r="AT74" s="127"/>
      <c r="AU74" s="127"/>
      <c r="AV74" s="127"/>
      <c r="AW74" s="127"/>
      <c r="AX74" s="127"/>
      <c r="AY74" s="127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  <c r="BO74" s="127"/>
      <c r="BP74" s="127"/>
      <c r="BQ74" s="127"/>
      <c r="BR74" s="127"/>
      <c r="BS74" s="127"/>
      <c r="BT74" s="127"/>
      <c r="BU74" s="127"/>
      <c r="BV74" s="127"/>
      <c r="BW74" s="127"/>
      <c r="BX74" s="127"/>
      <c r="BY74" s="127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92"/>
      <c r="CK74" s="92"/>
      <c r="CL74" s="92"/>
      <c r="CM74" s="92"/>
      <c r="CN74" s="92"/>
      <c r="CO74" s="92"/>
      <c r="CP74" s="92"/>
      <c r="CQ74" s="92"/>
      <c r="CR74" s="92"/>
      <c r="CS74" s="92"/>
      <c r="CT74" s="92"/>
    </row>
    <row r="75" spans="1:98" ht="15.75" x14ac:dyDescent="0.25">
      <c r="A75" s="1">
        <v>45759</v>
      </c>
      <c r="B75" s="56" t="str">
        <f t="shared" si="12"/>
        <v>Qtrend</v>
      </c>
      <c r="C75" s="56" t="s">
        <v>255</v>
      </c>
      <c r="D75" s="57"/>
      <c r="F75" s="1">
        <v>45740</v>
      </c>
      <c r="G75" s="1">
        <v>45767</v>
      </c>
      <c r="H75" s="1" t="s">
        <v>97</v>
      </c>
      <c r="I75" t="s">
        <v>12</v>
      </c>
      <c r="J75" t="s">
        <v>17</v>
      </c>
      <c r="L75" t="s">
        <v>682</v>
      </c>
      <c r="M75" s="17" t="str">
        <f t="shared" si="13"/>
        <v>Qtrend</v>
      </c>
      <c r="N75" s="133" t="str">
        <f t="shared" si="14"/>
        <v>P</v>
      </c>
      <c r="O75" s="152" t="str">
        <f t="shared" si="15"/>
        <v>4/20/2025</v>
      </c>
      <c r="P75" s="119" t="str">
        <f t="shared" si="16"/>
        <v>Apr 20 2025</v>
      </c>
      <c r="Q75" s="3"/>
      <c r="R75" s="107" t="s">
        <v>522</v>
      </c>
      <c r="S75" s="98" t="s">
        <v>523</v>
      </c>
      <c r="T75" s="102" t="s">
        <v>524</v>
      </c>
      <c r="U75" s="100" t="s">
        <v>525</v>
      </c>
      <c r="V75" s="154" t="str">
        <f t="shared" si="17"/>
        <v>Apr 20 2025</v>
      </c>
      <c r="W75" s="107" t="s">
        <v>526</v>
      </c>
      <c r="X75" s="101" t="s">
        <v>527</v>
      </c>
      <c r="Y75" s="101" t="s">
        <v>528</v>
      </c>
      <c r="Z75" s="97" t="str">
        <f t="shared" si="18"/>
        <v>Jul 13 2025</v>
      </c>
      <c r="AA75" s="107" t="s">
        <v>529</v>
      </c>
      <c r="AB75" s="101" t="s">
        <v>530</v>
      </c>
      <c r="AC75" s="101" t="s">
        <v>531</v>
      </c>
      <c r="AD75" s="97" t="str">
        <f t="shared" si="19"/>
        <v>Oct 5 2025</v>
      </c>
      <c r="AE75" s="107" t="s">
        <v>532</v>
      </c>
      <c r="AF75" s="101" t="s">
        <v>533</v>
      </c>
      <c r="AG75" s="108" t="s">
        <v>534</v>
      </c>
      <c r="AH75" s="130" t="s">
        <v>723</v>
      </c>
      <c r="AJ75" s="154">
        <f t="shared" si="20"/>
        <v>45767</v>
      </c>
      <c r="AK75" s="127"/>
      <c r="AL75" s="153">
        <f t="shared" si="21"/>
        <v>45851</v>
      </c>
      <c r="AM75" s="127"/>
      <c r="AN75" s="153">
        <f t="shared" si="22"/>
        <v>45935</v>
      </c>
      <c r="AO75" s="127"/>
      <c r="AP75" s="127"/>
      <c r="AQ75" s="127"/>
      <c r="AR75" s="127"/>
      <c r="AS75" s="127"/>
      <c r="AT75" s="127"/>
      <c r="AU75" s="127"/>
      <c r="AV75" s="127"/>
      <c r="AW75" s="127"/>
      <c r="AX75" s="127"/>
      <c r="AY75" s="127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  <c r="BO75" s="127"/>
      <c r="BP75" s="127"/>
      <c r="BQ75" s="127"/>
      <c r="BR75" s="127"/>
      <c r="BS75" s="127"/>
      <c r="BT75" s="127"/>
      <c r="BU75" s="127"/>
      <c r="BV75" s="127"/>
      <c r="BW75" s="127"/>
      <c r="BX75" s="127"/>
      <c r="BY75" s="127"/>
      <c r="BZ75" s="127"/>
      <c r="CA75" s="127"/>
      <c r="CB75" s="127"/>
      <c r="CC75" s="127"/>
      <c r="CD75" s="127"/>
      <c r="CE75" s="127"/>
      <c r="CF75" s="127"/>
      <c r="CG75" s="127"/>
      <c r="CH75" s="127"/>
      <c r="CI75" s="127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</row>
    <row r="76" spans="1:98" ht="15.75" x14ac:dyDescent="0.25">
      <c r="A76" s="1">
        <v>46257</v>
      </c>
      <c r="B76" s="56" t="str">
        <f t="shared" si="12"/>
        <v>Qtrend</v>
      </c>
      <c r="C76" s="56" t="s">
        <v>255</v>
      </c>
      <c r="D76" s="57"/>
      <c r="F76" s="1">
        <v>46244</v>
      </c>
      <c r="G76" s="1">
        <v>46271</v>
      </c>
      <c r="H76" s="1" t="s">
        <v>99</v>
      </c>
      <c r="I76" t="s">
        <v>141</v>
      </c>
      <c r="J76" t="s">
        <v>54</v>
      </c>
      <c r="L76" t="s">
        <v>683</v>
      </c>
      <c r="M76" s="17" t="str">
        <f t="shared" si="13"/>
        <v>Qtrend</v>
      </c>
      <c r="N76" s="133" t="str">
        <f t="shared" si="14"/>
        <v>P</v>
      </c>
      <c r="O76" s="152" t="str">
        <f t="shared" si="15"/>
        <v>10/4/2026</v>
      </c>
      <c r="P76" s="119" t="str">
        <f t="shared" si="16"/>
        <v>Oct 4 2026</v>
      </c>
      <c r="Q76" s="3"/>
      <c r="R76" s="107" t="s">
        <v>535</v>
      </c>
      <c r="S76" s="98" t="s">
        <v>536</v>
      </c>
      <c r="T76" s="102" t="s">
        <v>537</v>
      </c>
      <c r="U76" s="100" t="s">
        <v>538</v>
      </c>
      <c r="V76" s="154" t="str">
        <f t="shared" si="17"/>
        <v>Apr 19 2026</v>
      </c>
      <c r="W76" s="107" t="s">
        <v>539</v>
      </c>
      <c r="X76" s="101" t="s">
        <v>540</v>
      </c>
      <c r="Y76" s="101" t="s">
        <v>541</v>
      </c>
      <c r="Z76" s="97" t="str">
        <f t="shared" si="18"/>
        <v>Jul 12 2026</v>
      </c>
      <c r="AA76" s="107" t="s">
        <v>542</v>
      </c>
      <c r="AB76" s="101" t="s">
        <v>543</v>
      </c>
      <c r="AC76" s="101" t="s">
        <v>544</v>
      </c>
      <c r="AD76" s="97" t="str">
        <f t="shared" si="19"/>
        <v>Oct 4 2026</v>
      </c>
      <c r="AE76" s="107" t="s">
        <v>545</v>
      </c>
      <c r="AF76" s="101" t="s">
        <v>546</v>
      </c>
      <c r="AG76" s="108" t="s">
        <v>547</v>
      </c>
      <c r="AH76" s="130" t="s">
        <v>697</v>
      </c>
      <c r="AJ76" s="154">
        <f t="shared" si="20"/>
        <v>46131</v>
      </c>
      <c r="AK76" s="127"/>
      <c r="AL76" s="153">
        <f t="shared" si="21"/>
        <v>46215</v>
      </c>
      <c r="AM76" s="127"/>
      <c r="AN76" s="153">
        <f t="shared" si="22"/>
        <v>46299</v>
      </c>
      <c r="AO76" s="127"/>
      <c r="AP76" s="127"/>
      <c r="AQ76" s="127"/>
      <c r="AR76" s="127"/>
      <c r="AS76" s="127"/>
      <c r="AT76" s="127"/>
      <c r="AU76" s="127"/>
      <c r="AV76" s="127"/>
      <c r="AW76" s="127"/>
      <c r="AX76" s="127"/>
      <c r="AY76" s="127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  <c r="BO76" s="127"/>
      <c r="BP76" s="127"/>
      <c r="BQ76" s="127"/>
      <c r="BR76" s="127"/>
      <c r="BS76" s="127"/>
      <c r="BT76" s="127"/>
      <c r="BU76" s="127"/>
      <c r="BV76" s="127"/>
      <c r="BW76" s="127"/>
      <c r="BX76" s="127"/>
      <c r="BY76" s="127"/>
      <c r="BZ76" s="127"/>
      <c r="CA76" s="127"/>
      <c r="CB76" s="127"/>
      <c r="CC76" s="127"/>
      <c r="CD76" s="127"/>
      <c r="CE76" s="127"/>
      <c r="CF76" s="127"/>
      <c r="CG76" s="127"/>
      <c r="CH76" s="127"/>
      <c r="CI76" s="127"/>
      <c r="CJ76" s="92"/>
      <c r="CK76" s="92"/>
      <c r="CL76" s="92"/>
      <c r="CM76" s="92"/>
      <c r="CN76" s="92"/>
      <c r="CO76" s="92"/>
      <c r="CP76" s="92"/>
      <c r="CQ76" s="92"/>
      <c r="CR76" s="92"/>
      <c r="CS76" s="92"/>
      <c r="CT76" s="92"/>
    </row>
    <row r="77" spans="1:98" ht="15.75" x14ac:dyDescent="0.25">
      <c r="A77" s="1">
        <v>40817</v>
      </c>
      <c r="B77" s="56" t="str">
        <f t="shared" si="12"/>
        <v>Qtrend</v>
      </c>
      <c r="C77" s="56" t="s">
        <v>255</v>
      </c>
      <c r="D77" s="57"/>
      <c r="F77" s="1">
        <v>40791</v>
      </c>
      <c r="G77" s="1">
        <v>40818</v>
      </c>
      <c r="H77" s="1" t="s">
        <v>91</v>
      </c>
      <c r="I77" t="s">
        <v>144</v>
      </c>
      <c r="J77" t="s">
        <v>54</v>
      </c>
      <c r="L77" t="s">
        <v>684</v>
      </c>
      <c r="M77" s="17" t="str">
        <f t="shared" si="13"/>
        <v>Qtrend</v>
      </c>
      <c r="N77" s="133" t="str">
        <f t="shared" si="14"/>
        <v>P</v>
      </c>
      <c r="O77" s="152" t="str">
        <f t="shared" si="15"/>
        <v>10/2/2011</v>
      </c>
      <c r="P77" s="119" t="str">
        <f t="shared" si="16"/>
        <v>Oct 2 2011</v>
      </c>
      <c r="Q77" s="3"/>
      <c r="R77" s="107" t="s">
        <v>340</v>
      </c>
      <c r="S77" s="98" t="s">
        <v>341</v>
      </c>
      <c r="T77" s="102" t="s">
        <v>342</v>
      </c>
      <c r="U77" s="100" t="s">
        <v>343</v>
      </c>
      <c r="V77" s="154" t="str">
        <f t="shared" si="17"/>
        <v>Apr 17 2011</v>
      </c>
      <c r="W77" s="107" t="s">
        <v>344</v>
      </c>
      <c r="X77" s="101" t="s">
        <v>345</v>
      </c>
      <c r="Y77" s="101" t="s">
        <v>346</v>
      </c>
      <c r="Z77" s="97" t="str">
        <f t="shared" si="18"/>
        <v>Jul 10 2011</v>
      </c>
      <c r="AA77" s="107" t="s">
        <v>347</v>
      </c>
      <c r="AB77" s="101" t="s">
        <v>348</v>
      </c>
      <c r="AC77" s="101" t="s">
        <v>349</v>
      </c>
      <c r="AD77" s="97" t="str">
        <f t="shared" si="19"/>
        <v>Oct 2 2011</v>
      </c>
      <c r="AE77" s="107" t="s">
        <v>350</v>
      </c>
      <c r="AF77" s="101" t="s">
        <v>351</v>
      </c>
      <c r="AG77" s="108" t="s">
        <v>352</v>
      </c>
      <c r="AH77" s="130" t="s">
        <v>715</v>
      </c>
      <c r="AJ77" s="154">
        <f t="shared" si="20"/>
        <v>40650</v>
      </c>
      <c r="AK77" s="127"/>
      <c r="AL77" s="153">
        <f t="shared" si="21"/>
        <v>40734</v>
      </c>
      <c r="AM77" s="127"/>
      <c r="AN77" s="153">
        <f t="shared" si="22"/>
        <v>40818</v>
      </c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  <c r="BO77" s="127"/>
      <c r="BP77" s="127"/>
      <c r="BQ77" s="127"/>
      <c r="BR77" s="127"/>
      <c r="BS77" s="127"/>
      <c r="BT77" s="127"/>
      <c r="BU77" s="127"/>
      <c r="BV77" s="127"/>
      <c r="BW77" s="127"/>
      <c r="BX77" s="127"/>
      <c r="BY77" s="127"/>
      <c r="BZ77" s="127"/>
      <c r="CA77" s="127"/>
      <c r="CB77" s="127"/>
      <c r="CC77" s="127"/>
      <c r="CD77" s="127"/>
      <c r="CE77" s="127"/>
      <c r="CF77" s="127"/>
      <c r="CG77" s="127"/>
      <c r="CH77" s="127"/>
      <c r="CI77" s="127"/>
      <c r="CJ77" s="92"/>
      <c r="CK77" s="92"/>
      <c r="CL77" s="92"/>
      <c r="CM77" s="92"/>
      <c r="CN77" s="92"/>
      <c r="CO77" s="92"/>
      <c r="CP77" s="92"/>
      <c r="CQ77" s="92"/>
      <c r="CR77" s="92"/>
      <c r="CS77" s="92"/>
      <c r="CT77" s="92"/>
    </row>
    <row r="78" spans="1:98" ht="15.75" x14ac:dyDescent="0.25">
      <c r="A78" s="1">
        <v>44758</v>
      </c>
      <c r="B78" s="56" t="str">
        <f t="shared" si="12"/>
        <v>Qtrend</v>
      </c>
      <c r="C78" s="56" t="s">
        <v>255</v>
      </c>
      <c r="D78" s="57"/>
      <c r="F78" s="1">
        <v>44753</v>
      </c>
      <c r="G78" s="1">
        <v>44780</v>
      </c>
      <c r="H78" s="1" t="s">
        <v>95</v>
      </c>
      <c r="I78" t="s">
        <v>148</v>
      </c>
      <c r="J78" t="s">
        <v>54</v>
      </c>
      <c r="L78" t="s">
        <v>673</v>
      </c>
      <c r="M78" s="17" t="str">
        <f t="shared" si="13"/>
        <v>Qtrend</v>
      </c>
      <c r="N78" s="133" t="str">
        <f t="shared" si="14"/>
        <v>P</v>
      </c>
      <c r="O78" s="152" t="str">
        <f t="shared" si="15"/>
        <v>10/2/2022</v>
      </c>
      <c r="P78" s="119" t="str">
        <f t="shared" si="16"/>
        <v>Oct 2 2022</v>
      </c>
      <c r="Q78" s="3"/>
      <c r="R78" s="107" t="s">
        <v>418</v>
      </c>
      <c r="S78" s="98" t="s">
        <v>419</v>
      </c>
      <c r="T78" s="102" t="s">
        <v>420</v>
      </c>
      <c r="U78" s="100" t="s">
        <v>421</v>
      </c>
      <c r="V78" s="154" t="str">
        <f t="shared" si="17"/>
        <v>Apr 17 2022</v>
      </c>
      <c r="W78" s="107" t="s">
        <v>422</v>
      </c>
      <c r="X78" s="101" t="s">
        <v>423</v>
      </c>
      <c r="Y78" s="101" t="s">
        <v>424</v>
      </c>
      <c r="Z78" s="97" t="str">
        <f t="shared" si="18"/>
        <v>Jul 10 2022</v>
      </c>
      <c r="AA78" s="107" t="s">
        <v>425</v>
      </c>
      <c r="AB78" s="101" t="s">
        <v>426</v>
      </c>
      <c r="AC78" s="101" t="s">
        <v>427</v>
      </c>
      <c r="AD78" s="97" t="str">
        <f t="shared" si="19"/>
        <v>Oct 2 2022</v>
      </c>
      <c r="AE78" s="107" t="s">
        <v>428</v>
      </c>
      <c r="AF78" s="101" t="s">
        <v>429</v>
      </c>
      <c r="AG78" s="108" t="s">
        <v>430</v>
      </c>
      <c r="AH78" s="130" t="s">
        <v>719</v>
      </c>
      <c r="AJ78" s="154">
        <f t="shared" si="20"/>
        <v>44668</v>
      </c>
      <c r="AK78" s="127"/>
      <c r="AL78" s="153">
        <f t="shared" si="21"/>
        <v>44752</v>
      </c>
      <c r="AM78" s="127"/>
      <c r="AN78" s="153">
        <f t="shared" si="22"/>
        <v>44836</v>
      </c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  <c r="BO78" s="127"/>
      <c r="BP78" s="127"/>
      <c r="BQ78" s="127"/>
      <c r="BR78" s="127"/>
      <c r="BS78" s="127"/>
      <c r="BT78" s="127"/>
      <c r="BU78" s="127"/>
      <c r="BV78" s="127"/>
      <c r="BW78" s="127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27"/>
      <c r="CI78" s="127"/>
      <c r="CJ78" s="92"/>
      <c r="CK78" s="92"/>
      <c r="CL78" s="92"/>
      <c r="CM78" s="92"/>
      <c r="CN78" s="92"/>
      <c r="CO78" s="92"/>
      <c r="CP78" s="92"/>
      <c r="CQ78" s="92"/>
      <c r="CR78" s="92"/>
      <c r="CS78" s="92"/>
      <c r="CT78" s="92"/>
    </row>
    <row r="79" spans="1:98" ht="15.75" x14ac:dyDescent="0.25">
      <c r="A79" s="1">
        <v>41402</v>
      </c>
      <c r="B79" s="56" t="str">
        <f t="shared" si="12"/>
        <v>Qtrend</v>
      </c>
      <c r="C79" s="56" t="s">
        <v>255</v>
      </c>
      <c r="D79" s="57"/>
      <c r="F79" s="1">
        <v>41386</v>
      </c>
      <c r="G79" s="1">
        <v>41413</v>
      </c>
      <c r="H79" s="1" t="s">
        <v>67</v>
      </c>
      <c r="I79" t="s">
        <v>142</v>
      </c>
      <c r="J79" t="s">
        <v>143</v>
      </c>
      <c r="L79" t="s">
        <v>685</v>
      </c>
      <c r="M79" s="17" t="str">
        <f t="shared" si="13"/>
        <v>Qtrend</v>
      </c>
      <c r="N79" s="133" t="str">
        <f t="shared" si="14"/>
        <v>P</v>
      </c>
      <c r="O79" s="152" t="str">
        <f t="shared" si="15"/>
        <v>7/14/2013</v>
      </c>
      <c r="P79" s="119" t="str">
        <f t="shared" si="16"/>
        <v>Jul 14 2013</v>
      </c>
      <c r="Q79" s="3"/>
      <c r="R79" s="107" t="s">
        <v>275</v>
      </c>
      <c r="S79" s="98" t="s">
        <v>276</v>
      </c>
      <c r="T79" s="102" t="s">
        <v>277</v>
      </c>
      <c r="U79" s="100" t="s">
        <v>278</v>
      </c>
      <c r="V79" s="154" t="str">
        <f t="shared" si="17"/>
        <v>Apr 21 2013</v>
      </c>
      <c r="W79" s="107" t="s">
        <v>279</v>
      </c>
      <c r="X79" s="101" t="s">
        <v>280</v>
      </c>
      <c r="Y79" s="101" t="s">
        <v>281</v>
      </c>
      <c r="Z79" s="97" t="str">
        <f t="shared" si="18"/>
        <v>Jul 14 2013</v>
      </c>
      <c r="AA79" s="107" t="s">
        <v>282</v>
      </c>
      <c r="AB79" s="101" t="s">
        <v>283</v>
      </c>
      <c r="AC79" s="101" t="s">
        <v>284</v>
      </c>
      <c r="AD79" s="97" t="str">
        <f t="shared" si="19"/>
        <v>Oct 6 2013</v>
      </c>
      <c r="AE79" s="107" t="s">
        <v>285</v>
      </c>
      <c r="AF79" s="101" t="s">
        <v>286</v>
      </c>
      <c r="AG79" s="108" t="s">
        <v>287</v>
      </c>
      <c r="AH79" s="130" t="s">
        <v>712</v>
      </c>
      <c r="AJ79" s="154">
        <f t="shared" si="20"/>
        <v>41385</v>
      </c>
      <c r="AK79" s="127"/>
      <c r="AL79" s="153">
        <f t="shared" si="21"/>
        <v>41469</v>
      </c>
      <c r="AM79" s="127"/>
      <c r="AN79" s="153">
        <f t="shared" si="22"/>
        <v>41553</v>
      </c>
      <c r="AO79" s="127"/>
      <c r="AP79" s="127"/>
      <c r="AQ79" s="127"/>
      <c r="AR79" s="127"/>
      <c r="AS79" s="127"/>
      <c r="AT79" s="127"/>
      <c r="AU79" s="127"/>
      <c r="AV79" s="127"/>
      <c r="AW79" s="127"/>
      <c r="AX79" s="127"/>
      <c r="AY79" s="127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  <c r="BO79" s="127"/>
      <c r="BP79" s="127"/>
      <c r="BQ79" s="127"/>
      <c r="BR79" s="127"/>
      <c r="BS79" s="127"/>
      <c r="BT79" s="127"/>
      <c r="BU79" s="127"/>
      <c r="BV79" s="127"/>
      <c r="BW79" s="127"/>
      <c r="BX79" s="127"/>
      <c r="BY79" s="127"/>
      <c r="BZ79" s="127"/>
      <c r="CA79" s="127"/>
      <c r="CB79" s="127"/>
      <c r="CC79" s="127"/>
      <c r="CD79" s="127"/>
      <c r="CE79" s="127"/>
      <c r="CF79" s="127"/>
      <c r="CG79" s="127"/>
      <c r="CH79" s="127"/>
      <c r="CI79" s="127"/>
      <c r="CJ79" s="92"/>
      <c r="CK79" s="92"/>
      <c r="CL79" s="92"/>
      <c r="CM79" s="92"/>
      <c r="CN79" s="92"/>
      <c r="CO79" s="92"/>
      <c r="CP79" s="92"/>
      <c r="CQ79" s="92"/>
      <c r="CR79" s="92"/>
      <c r="CS79" s="92"/>
      <c r="CT79" s="92"/>
    </row>
    <row r="80" spans="1:98" ht="15.75" x14ac:dyDescent="0.25">
      <c r="A80" s="1">
        <v>40831</v>
      </c>
      <c r="B80" s="56" t="str">
        <f t="shared" si="12"/>
        <v>Qtrend</v>
      </c>
      <c r="C80" s="56" t="s">
        <v>255</v>
      </c>
      <c r="D80" s="57"/>
      <c r="F80" s="1">
        <v>40819</v>
      </c>
      <c r="G80" s="1">
        <v>40846</v>
      </c>
      <c r="H80" s="1" t="s">
        <v>91</v>
      </c>
      <c r="I80" t="s">
        <v>150</v>
      </c>
      <c r="J80" t="s">
        <v>12</v>
      </c>
      <c r="L80" t="s">
        <v>124</v>
      </c>
      <c r="M80" s="17" t="str">
        <f t="shared" si="13"/>
        <v>Qtrend</v>
      </c>
      <c r="N80" s="133" t="str">
        <f t="shared" si="14"/>
        <v>P</v>
      </c>
      <c r="O80" s="152" t="str">
        <f t="shared" si="15"/>
        <v>12/25/2011</v>
      </c>
      <c r="P80" s="119" t="str">
        <f t="shared" si="16"/>
        <v>Dec 25 2011</v>
      </c>
      <c r="Q80" s="3"/>
      <c r="R80" s="107" t="s">
        <v>340</v>
      </c>
      <c r="S80" s="98" t="s">
        <v>341</v>
      </c>
      <c r="T80" s="102" t="s">
        <v>342</v>
      </c>
      <c r="U80" s="100" t="s">
        <v>343</v>
      </c>
      <c r="V80" s="154" t="str">
        <f t="shared" si="17"/>
        <v>Apr 17 2011</v>
      </c>
      <c r="W80" s="107" t="s">
        <v>344</v>
      </c>
      <c r="X80" s="101" t="s">
        <v>345</v>
      </c>
      <c r="Y80" s="101" t="s">
        <v>346</v>
      </c>
      <c r="Z80" s="97" t="str">
        <f t="shared" si="18"/>
        <v>Jul 10 2011</v>
      </c>
      <c r="AA80" s="107" t="s">
        <v>347</v>
      </c>
      <c r="AB80" s="101" t="s">
        <v>348</v>
      </c>
      <c r="AC80" s="101" t="s">
        <v>349</v>
      </c>
      <c r="AD80" s="97" t="str">
        <f t="shared" si="19"/>
        <v>Oct 2 2011</v>
      </c>
      <c r="AE80" s="107" t="s">
        <v>350</v>
      </c>
      <c r="AF80" s="101" t="s">
        <v>351</v>
      </c>
      <c r="AG80" s="108" t="s">
        <v>352</v>
      </c>
      <c r="AH80" s="130" t="s">
        <v>715</v>
      </c>
      <c r="AJ80" s="154">
        <f t="shared" si="20"/>
        <v>40650</v>
      </c>
      <c r="AK80" s="127"/>
      <c r="AL80" s="153">
        <f t="shared" si="21"/>
        <v>40734</v>
      </c>
      <c r="AM80" s="127"/>
      <c r="AN80" s="153">
        <f t="shared" si="22"/>
        <v>40818</v>
      </c>
      <c r="AO80" s="127"/>
      <c r="AP80" s="127"/>
      <c r="AQ80" s="127"/>
      <c r="AR80" s="127"/>
      <c r="AS80" s="127"/>
      <c r="AT80" s="127"/>
      <c r="AU80" s="127"/>
      <c r="AV80" s="127"/>
      <c r="AW80" s="127"/>
      <c r="AX80" s="127"/>
      <c r="AY80" s="127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  <c r="BO80" s="127"/>
      <c r="BP80" s="127"/>
      <c r="BQ80" s="127"/>
      <c r="BR80" s="127"/>
      <c r="BS80" s="127"/>
      <c r="BT80" s="127"/>
      <c r="BU80" s="127"/>
      <c r="BV80" s="127"/>
      <c r="BW80" s="127"/>
      <c r="BX80" s="127"/>
      <c r="BY80" s="127"/>
      <c r="BZ80" s="127"/>
      <c r="CA80" s="127"/>
      <c r="CB80" s="127"/>
      <c r="CC80" s="127"/>
      <c r="CD80" s="127"/>
      <c r="CE80" s="127"/>
      <c r="CF80" s="127"/>
      <c r="CG80" s="127"/>
      <c r="CH80" s="127"/>
      <c r="CI80" s="127"/>
      <c r="CJ80" s="92"/>
      <c r="CK80" s="92"/>
      <c r="CL80" s="92"/>
      <c r="CM80" s="92"/>
      <c r="CN80" s="92"/>
      <c r="CO80" s="92"/>
      <c r="CP80" s="92"/>
      <c r="CQ80" s="92"/>
      <c r="CR80" s="92"/>
      <c r="CS80" s="92"/>
      <c r="CT80" s="92"/>
    </row>
    <row r="81" spans="1:98" ht="15.75" x14ac:dyDescent="0.25">
      <c r="A81" s="1">
        <v>38093</v>
      </c>
      <c r="B81" s="56" t="str">
        <f t="shared" si="12"/>
        <v>Qtrend</v>
      </c>
      <c r="C81" s="56" t="s">
        <v>255</v>
      </c>
      <c r="D81" s="57"/>
      <c r="F81" s="1">
        <v>38068</v>
      </c>
      <c r="G81" s="1">
        <v>38095</v>
      </c>
      <c r="H81" s="1" t="s">
        <v>82</v>
      </c>
      <c r="I81" t="s">
        <v>12</v>
      </c>
      <c r="J81" t="s">
        <v>17</v>
      </c>
      <c r="L81" t="s">
        <v>686</v>
      </c>
      <c r="M81" s="17" t="str">
        <f t="shared" si="13"/>
        <v>Qtrend</v>
      </c>
      <c r="N81" s="133" t="str">
        <f t="shared" si="14"/>
        <v>P</v>
      </c>
      <c r="O81" s="152" t="str">
        <f t="shared" si="15"/>
        <v>4/18/2004</v>
      </c>
      <c r="P81" s="119" t="str">
        <f t="shared" si="16"/>
        <v>Apr 18 2004</v>
      </c>
      <c r="Q81" s="3"/>
      <c r="R81" s="107" t="s">
        <v>548</v>
      </c>
      <c r="S81" s="98" t="s">
        <v>549</v>
      </c>
      <c r="T81" s="102" t="s">
        <v>550</v>
      </c>
      <c r="U81" s="100" t="s">
        <v>551</v>
      </c>
      <c r="V81" s="154" t="str">
        <f t="shared" si="17"/>
        <v>Apr 18 2004</v>
      </c>
      <c r="W81" s="107" t="s">
        <v>552</v>
      </c>
      <c r="X81" s="101" t="s">
        <v>553</v>
      </c>
      <c r="Y81" s="101" t="s">
        <v>554</v>
      </c>
      <c r="Z81" s="97" t="str">
        <f t="shared" si="18"/>
        <v>Jul 11 2004</v>
      </c>
      <c r="AA81" s="107" t="s">
        <v>555</v>
      </c>
      <c r="AB81" s="101" t="s">
        <v>556</v>
      </c>
      <c r="AC81" s="101" t="s">
        <v>557</v>
      </c>
      <c r="AD81" s="97" t="str">
        <f t="shared" si="19"/>
        <v>Oct 3 2004</v>
      </c>
      <c r="AE81" s="107" t="s">
        <v>558</v>
      </c>
      <c r="AF81" s="101" t="s">
        <v>559</v>
      </c>
      <c r="AG81" s="108" t="s">
        <v>560</v>
      </c>
      <c r="AH81" s="130" t="s">
        <v>695</v>
      </c>
      <c r="AJ81" s="154">
        <f t="shared" si="20"/>
        <v>38095</v>
      </c>
      <c r="AK81" s="127"/>
      <c r="AL81" s="153">
        <f t="shared" si="21"/>
        <v>38179</v>
      </c>
      <c r="AM81" s="127"/>
      <c r="AN81" s="153">
        <f t="shared" si="22"/>
        <v>38263</v>
      </c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27"/>
      <c r="BY81" s="127"/>
      <c r="BZ81" s="127"/>
      <c r="CA81" s="127"/>
      <c r="CB81" s="127"/>
      <c r="CC81" s="127"/>
      <c r="CD81" s="127"/>
      <c r="CE81" s="127"/>
      <c r="CF81" s="127"/>
      <c r="CG81" s="127"/>
      <c r="CH81" s="127"/>
      <c r="CI81" s="127"/>
      <c r="CJ81" s="92"/>
      <c r="CK81" s="92"/>
      <c r="CL81" s="92"/>
      <c r="CM81" s="92"/>
      <c r="CN81" s="92"/>
      <c r="CO81" s="92"/>
      <c r="CP81" s="92"/>
      <c r="CQ81" s="92"/>
      <c r="CR81" s="92"/>
      <c r="CS81" s="92"/>
      <c r="CT81" s="92"/>
    </row>
    <row r="82" spans="1:98" ht="15.75" x14ac:dyDescent="0.25">
      <c r="A82" s="1">
        <v>42965</v>
      </c>
      <c r="B82" s="56" t="str">
        <f t="shared" si="12"/>
        <v>Qtrend</v>
      </c>
      <c r="C82" s="56" t="s">
        <v>255</v>
      </c>
      <c r="D82" s="57"/>
      <c r="F82" s="1">
        <v>42954</v>
      </c>
      <c r="G82" s="1">
        <v>42981</v>
      </c>
      <c r="H82" s="1" t="s">
        <v>70</v>
      </c>
      <c r="I82" t="s">
        <v>141</v>
      </c>
      <c r="J82" t="s">
        <v>54</v>
      </c>
      <c r="L82" t="s">
        <v>687</v>
      </c>
      <c r="M82" s="17" t="str">
        <f t="shared" si="13"/>
        <v>Qtrend</v>
      </c>
      <c r="N82" s="133" t="str">
        <f t="shared" si="14"/>
        <v>P</v>
      </c>
      <c r="O82" s="152" t="str">
        <f t="shared" si="15"/>
        <v>10/1/2017</v>
      </c>
      <c r="P82" s="119" t="str">
        <f t="shared" si="16"/>
        <v>Oct 1 2017</v>
      </c>
      <c r="Q82" s="3"/>
      <c r="R82" s="107" t="s">
        <v>314</v>
      </c>
      <c r="S82" s="98" t="s">
        <v>315</v>
      </c>
      <c r="T82" s="102" t="s">
        <v>316</v>
      </c>
      <c r="U82" s="100" t="s">
        <v>317</v>
      </c>
      <c r="V82" s="154" t="str">
        <f t="shared" si="17"/>
        <v>Apr 16 2017</v>
      </c>
      <c r="W82" s="107" t="s">
        <v>318</v>
      </c>
      <c r="X82" s="101" t="s">
        <v>319</v>
      </c>
      <c r="Y82" s="101" t="s">
        <v>320</v>
      </c>
      <c r="Z82" s="97" t="str">
        <f t="shared" si="18"/>
        <v>Jul 9 2017</v>
      </c>
      <c r="AA82" s="107" t="s">
        <v>321</v>
      </c>
      <c r="AB82" s="101" t="s">
        <v>322</v>
      </c>
      <c r="AC82" s="101" t="s">
        <v>323</v>
      </c>
      <c r="AD82" s="97" t="str">
        <f t="shared" si="19"/>
        <v>Oct 1 2017</v>
      </c>
      <c r="AE82" s="107" t="s">
        <v>324</v>
      </c>
      <c r="AF82" s="101" t="s">
        <v>325</v>
      </c>
      <c r="AG82" s="108" t="s">
        <v>326</v>
      </c>
      <c r="AH82" s="130" t="s">
        <v>707</v>
      </c>
      <c r="AJ82" s="154">
        <f t="shared" si="20"/>
        <v>42841</v>
      </c>
      <c r="AK82" s="127"/>
      <c r="AL82" s="153">
        <f t="shared" si="21"/>
        <v>42925</v>
      </c>
      <c r="AM82" s="127"/>
      <c r="AN82" s="153">
        <f t="shared" si="22"/>
        <v>43009</v>
      </c>
      <c r="AO82" s="127"/>
      <c r="AP82" s="127"/>
      <c r="AQ82" s="127"/>
      <c r="AR82" s="127"/>
      <c r="AS82" s="127"/>
      <c r="AT82" s="127"/>
      <c r="AU82" s="127"/>
      <c r="AV82" s="127"/>
      <c r="AW82" s="127"/>
      <c r="AX82" s="127"/>
      <c r="AY82" s="127"/>
      <c r="AZ82" s="127"/>
      <c r="BA82" s="127"/>
      <c r="BB82" s="127"/>
      <c r="BC82" s="127"/>
      <c r="BD82" s="127"/>
      <c r="BE82" s="127"/>
      <c r="BF82" s="127"/>
      <c r="BG82" s="127"/>
      <c r="BH82" s="127"/>
      <c r="BI82" s="127"/>
      <c r="BJ82" s="127"/>
      <c r="BK82" s="127"/>
      <c r="BL82" s="127"/>
      <c r="BM82" s="127"/>
      <c r="BN82" s="127"/>
      <c r="BO82" s="127"/>
      <c r="BP82" s="127"/>
      <c r="BQ82" s="127"/>
      <c r="BR82" s="127"/>
      <c r="BS82" s="127"/>
      <c r="BT82" s="127"/>
      <c r="BU82" s="127"/>
      <c r="BV82" s="127"/>
      <c r="BW82" s="127"/>
      <c r="BX82" s="127"/>
      <c r="BY82" s="127"/>
      <c r="BZ82" s="127"/>
      <c r="CA82" s="127"/>
      <c r="CB82" s="127"/>
      <c r="CC82" s="127"/>
      <c r="CD82" s="127"/>
      <c r="CE82" s="127"/>
      <c r="CF82" s="127"/>
      <c r="CG82" s="127"/>
      <c r="CH82" s="127"/>
      <c r="CI82" s="127"/>
      <c r="CJ82" s="92"/>
      <c r="CK82" s="92"/>
      <c r="CL82" s="92"/>
      <c r="CM82" s="92"/>
      <c r="CN82" s="92"/>
      <c r="CO82" s="92"/>
      <c r="CP82" s="92"/>
      <c r="CQ82" s="92"/>
      <c r="CR82" s="92"/>
      <c r="CS82" s="92"/>
      <c r="CT82" s="92"/>
    </row>
    <row r="83" spans="1:98" ht="15.75" x14ac:dyDescent="0.25">
      <c r="A83" s="1">
        <v>40487</v>
      </c>
      <c r="B83" s="56" t="str">
        <f t="shared" si="12"/>
        <v>Qtrend</v>
      </c>
      <c r="C83" s="56" t="s">
        <v>255</v>
      </c>
      <c r="D83" s="57"/>
      <c r="F83" s="1">
        <v>40483</v>
      </c>
      <c r="G83" s="1">
        <v>40510</v>
      </c>
      <c r="H83" s="1" t="s">
        <v>90</v>
      </c>
      <c r="I83" t="s">
        <v>13</v>
      </c>
      <c r="J83" t="s">
        <v>12</v>
      </c>
      <c r="L83" t="s">
        <v>123</v>
      </c>
      <c r="M83" s="17" t="str">
        <f t="shared" si="13"/>
        <v>Qtrend</v>
      </c>
      <c r="N83" s="133" t="str">
        <f t="shared" si="14"/>
        <v>P</v>
      </c>
      <c r="O83" s="152" t="str">
        <f t="shared" si="15"/>
        <v>12/26/2010</v>
      </c>
      <c r="P83" s="119" t="str">
        <f t="shared" si="16"/>
        <v>Dec 26 2010</v>
      </c>
      <c r="Q83" s="3"/>
      <c r="R83" s="107" t="s">
        <v>509</v>
      </c>
      <c r="S83" s="98" t="s">
        <v>510</v>
      </c>
      <c r="T83" s="102" t="s">
        <v>511</v>
      </c>
      <c r="U83" s="100" t="s">
        <v>512</v>
      </c>
      <c r="V83" s="154" t="str">
        <f t="shared" si="17"/>
        <v>Apr 18 2010</v>
      </c>
      <c r="W83" s="107" t="s">
        <v>513</v>
      </c>
      <c r="X83" s="101" t="s">
        <v>514</v>
      </c>
      <c r="Y83" s="101" t="s">
        <v>515</v>
      </c>
      <c r="Z83" s="97" t="str">
        <f t="shared" si="18"/>
        <v>Jul 11 2010</v>
      </c>
      <c r="AA83" s="107" t="s">
        <v>516</v>
      </c>
      <c r="AB83" s="101" t="s">
        <v>517</v>
      </c>
      <c r="AC83" s="101" t="s">
        <v>518</v>
      </c>
      <c r="AD83" s="97" t="str">
        <f t="shared" si="19"/>
        <v>Oct 3 2010</v>
      </c>
      <c r="AE83" s="107" t="s">
        <v>519</v>
      </c>
      <c r="AF83" s="101" t="s">
        <v>520</v>
      </c>
      <c r="AG83" s="108" t="s">
        <v>521</v>
      </c>
      <c r="AH83" s="130" t="s">
        <v>722</v>
      </c>
      <c r="AJ83" s="154">
        <f t="shared" si="20"/>
        <v>40286</v>
      </c>
      <c r="AK83" s="127"/>
      <c r="AL83" s="153">
        <f t="shared" si="21"/>
        <v>40370</v>
      </c>
      <c r="AM83" s="127"/>
      <c r="AN83" s="153">
        <f t="shared" si="22"/>
        <v>40454</v>
      </c>
      <c r="AO83" s="127"/>
      <c r="AP83" s="127"/>
      <c r="AQ83" s="127"/>
      <c r="AR83" s="127"/>
      <c r="AS83" s="127"/>
      <c r="AT83" s="127"/>
      <c r="AU83" s="127"/>
      <c r="AV83" s="127"/>
      <c r="AW83" s="127"/>
      <c r="AX83" s="127"/>
      <c r="AY83" s="127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  <c r="BO83" s="127"/>
      <c r="BP83" s="127"/>
      <c r="BQ83" s="127"/>
      <c r="BR83" s="127"/>
      <c r="BS83" s="127"/>
      <c r="BT83" s="127"/>
      <c r="BU83" s="127"/>
      <c r="BV83" s="127"/>
      <c r="BW83" s="127"/>
      <c r="BX83" s="127"/>
      <c r="BY83" s="127"/>
      <c r="BZ83" s="127"/>
      <c r="CA83" s="127"/>
      <c r="CB83" s="127"/>
      <c r="CC83" s="127"/>
      <c r="CD83" s="127"/>
      <c r="CE83" s="127"/>
      <c r="CF83" s="127"/>
      <c r="CG83" s="127"/>
      <c r="CH83" s="127"/>
      <c r="CI83" s="127"/>
      <c r="CJ83" s="92"/>
      <c r="CK83" s="92"/>
      <c r="CL83" s="92"/>
      <c r="CM83" s="92"/>
      <c r="CN83" s="92"/>
      <c r="CO83" s="92"/>
      <c r="CP83" s="92"/>
      <c r="CQ83" s="92"/>
      <c r="CR83" s="92"/>
      <c r="CS83" s="92"/>
      <c r="CT83" s="92"/>
    </row>
    <row r="84" spans="1:98" ht="15.75" x14ac:dyDescent="0.25">
      <c r="A84" s="1">
        <v>46324</v>
      </c>
      <c r="B84" s="56" t="str">
        <f t="shared" si="12"/>
        <v>Qtrend</v>
      </c>
      <c r="C84" s="56" t="s">
        <v>255</v>
      </c>
      <c r="D84" s="57"/>
      <c r="F84" s="1">
        <v>46300</v>
      </c>
      <c r="G84" s="1">
        <v>46327</v>
      </c>
      <c r="H84" s="1" t="s">
        <v>99</v>
      </c>
      <c r="I84" t="s">
        <v>150</v>
      </c>
      <c r="J84" t="s">
        <v>12</v>
      </c>
      <c r="L84" t="s">
        <v>665</v>
      </c>
      <c r="M84" s="17" t="str">
        <f t="shared" si="13"/>
        <v>Qtrend</v>
      </c>
      <c r="N84" s="133" t="str">
        <f t="shared" si="14"/>
        <v>P</v>
      </c>
      <c r="O84" s="152" t="str">
        <f t="shared" si="15"/>
        <v>12/27/2026</v>
      </c>
      <c r="P84" s="119" t="str">
        <f t="shared" si="16"/>
        <v>Dec 27 2026</v>
      </c>
      <c r="Q84" s="3"/>
      <c r="R84" s="107" t="s">
        <v>535</v>
      </c>
      <c r="S84" s="98" t="s">
        <v>536</v>
      </c>
      <c r="T84" s="102" t="s">
        <v>537</v>
      </c>
      <c r="U84" s="100" t="s">
        <v>538</v>
      </c>
      <c r="V84" s="154" t="str">
        <f t="shared" si="17"/>
        <v>Apr 19 2026</v>
      </c>
      <c r="W84" s="107" t="s">
        <v>539</v>
      </c>
      <c r="X84" s="101" t="s">
        <v>540</v>
      </c>
      <c r="Y84" s="101" t="s">
        <v>541</v>
      </c>
      <c r="Z84" s="97" t="str">
        <f t="shared" si="18"/>
        <v>Jul 12 2026</v>
      </c>
      <c r="AA84" s="107" t="s">
        <v>542</v>
      </c>
      <c r="AB84" s="101" t="s">
        <v>543</v>
      </c>
      <c r="AC84" s="101" t="s">
        <v>544</v>
      </c>
      <c r="AD84" s="97" t="str">
        <f t="shared" si="19"/>
        <v>Oct 4 2026</v>
      </c>
      <c r="AE84" s="107" t="s">
        <v>545</v>
      </c>
      <c r="AF84" s="101" t="s">
        <v>546</v>
      </c>
      <c r="AG84" s="108" t="s">
        <v>547</v>
      </c>
      <c r="AH84" s="130" t="s">
        <v>697</v>
      </c>
      <c r="AJ84" s="154">
        <f t="shared" si="20"/>
        <v>46131</v>
      </c>
      <c r="AK84" s="127"/>
      <c r="AL84" s="153">
        <f t="shared" si="21"/>
        <v>46215</v>
      </c>
      <c r="AM84" s="127"/>
      <c r="AN84" s="153">
        <f t="shared" si="22"/>
        <v>46299</v>
      </c>
      <c r="AO84" s="127"/>
      <c r="AP84" s="127"/>
      <c r="AQ84" s="127"/>
      <c r="AR84" s="127"/>
      <c r="AS84" s="127"/>
      <c r="AT84" s="127"/>
      <c r="AU84" s="127"/>
      <c r="AV84" s="127"/>
      <c r="AW84" s="127"/>
      <c r="AX84" s="127"/>
      <c r="AY84" s="127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  <c r="BO84" s="127"/>
      <c r="BP84" s="127"/>
      <c r="BQ84" s="127"/>
      <c r="BR84" s="127"/>
      <c r="BS84" s="127"/>
      <c r="BT84" s="127"/>
      <c r="BU84" s="127"/>
      <c r="BV84" s="127"/>
      <c r="BW84" s="127"/>
      <c r="BX84" s="127"/>
      <c r="BY84" s="127"/>
      <c r="BZ84" s="127"/>
      <c r="CA84" s="127"/>
      <c r="CB84" s="127"/>
      <c r="CC84" s="127"/>
      <c r="CD84" s="127"/>
      <c r="CE84" s="127"/>
      <c r="CF84" s="127"/>
      <c r="CG84" s="127"/>
      <c r="CH84" s="127"/>
      <c r="CI84" s="127"/>
      <c r="CJ84" s="92"/>
      <c r="CK84" s="92"/>
      <c r="CL84" s="92"/>
      <c r="CM84" s="92"/>
      <c r="CN84" s="92"/>
      <c r="CO84" s="92"/>
      <c r="CP84" s="92"/>
      <c r="CQ84" s="92"/>
      <c r="CR84" s="92"/>
      <c r="CS84" s="92"/>
      <c r="CT84" s="92"/>
    </row>
    <row r="85" spans="1:98" ht="15.75" x14ac:dyDescent="0.25">
      <c r="A85" s="1">
        <v>45178</v>
      </c>
      <c r="B85" s="56" t="str">
        <f t="shared" si="12"/>
        <v>Qtrend</v>
      </c>
      <c r="C85" s="56" t="s">
        <v>255</v>
      </c>
      <c r="D85" s="57"/>
      <c r="F85" s="1">
        <v>45173</v>
      </c>
      <c r="G85" s="1">
        <v>45200</v>
      </c>
      <c r="H85" s="1" t="s">
        <v>96</v>
      </c>
      <c r="I85" t="s">
        <v>144</v>
      </c>
      <c r="J85" t="s">
        <v>54</v>
      </c>
      <c r="L85" t="s">
        <v>688</v>
      </c>
      <c r="M85" s="17" t="str">
        <f t="shared" si="13"/>
        <v>Qtrend</v>
      </c>
      <c r="N85" s="133" t="str">
        <f t="shared" si="14"/>
        <v>P</v>
      </c>
      <c r="O85" s="152" t="str">
        <f t="shared" si="15"/>
        <v>10/1/2023</v>
      </c>
      <c r="P85" s="119" t="str">
        <f t="shared" si="16"/>
        <v>Oct 1 2023</v>
      </c>
      <c r="Q85" s="3"/>
      <c r="R85" s="107" t="s">
        <v>561</v>
      </c>
      <c r="S85" s="98" t="s">
        <v>562</v>
      </c>
      <c r="T85" s="102" t="s">
        <v>563</v>
      </c>
      <c r="U85" s="100" t="s">
        <v>564</v>
      </c>
      <c r="V85" s="154" t="str">
        <f t="shared" si="17"/>
        <v>Apr 16 2023</v>
      </c>
      <c r="W85" s="107" t="s">
        <v>565</v>
      </c>
      <c r="X85" s="101" t="s">
        <v>566</v>
      </c>
      <c r="Y85" s="101" t="s">
        <v>567</v>
      </c>
      <c r="Z85" s="97" t="str">
        <f t="shared" si="18"/>
        <v>Jul 9 2023</v>
      </c>
      <c r="AA85" s="107" t="s">
        <v>568</v>
      </c>
      <c r="AB85" s="101" t="s">
        <v>569</v>
      </c>
      <c r="AC85" s="101" t="s">
        <v>570</v>
      </c>
      <c r="AD85" s="97" t="str">
        <f t="shared" si="19"/>
        <v>Oct 1 2023</v>
      </c>
      <c r="AE85" s="107" t="s">
        <v>571</v>
      </c>
      <c r="AF85" s="101" t="s">
        <v>572</v>
      </c>
      <c r="AG85" s="108" t="s">
        <v>573</v>
      </c>
      <c r="AH85" s="130" t="s">
        <v>724</v>
      </c>
      <c r="AJ85" s="154">
        <f t="shared" si="20"/>
        <v>45032</v>
      </c>
      <c r="AK85" s="127"/>
      <c r="AL85" s="153">
        <f t="shared" si="21"/>
        <v>45116</v>
      </c>
      <c r="AM85" s="127"/>
      <c r="AN85" s="153">
        <f t="shared" si="22"/>
        <v>45200</v>
      </c>
      <c r="AO85" s="127"/>
      <c r="AP85" s="127"/>
      <c r="AQ85" s="127"/>
      <c r="AR85" s="127"/>
      <c r="AS85" s="127"/>
      <c r="AT85" s="127"/>
      <c r="AU85" s="127"/>
      <c r="AV85" s="127"/>
      <c r="AW85" s="127"/>
      <c r="AX85" s="127"/>
      <c r="AY85" s="127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  <c r="BO85" s="127"/>
      <c r="BP85" s="127"/>
      <c r="BQ85" s="127"/>
      <c r="BR85" s="127"/>
      <c r="BS85" s="127"/>
      <c r="BT85" s="127"/>
      <c r="BU85" s="127"/>
      <c r="BV85" s="127"/>
      <c r="BW85" s="127"/>
      <c r="BX85" s="127"/>
      <c r="BY85" s="127"/>
      <c r="BZ85" s="127"/>
      <c r="CA85" s="127"/>
      <c r="CB85" s="127"/>
      <c r="CC85" s="127"/>
      <c r="CD85" s="127"/>
      <c r="CE85" s="127"/>
      <c r="CF85" s="127"/>
      <c r="CG85" s="127"/>
      <c r="CH85" s="127"/>
      <c r="CI85" s="127"/>
      <c r="CJ85" s="92"/>
      <c r="CK85" s="92"/>
      <c r="CL85" s="92"/>
      <c r="CM85" s="92"/>
      <c r="CN85" s="92"/>
      <c r="CO85" s="92"/>
      <c r="CP85" s="92"/>
      <c r="CQ85" s="92"/>
      <c r="CR85" s="92"/>
      <c r="CS85" s="92"/>
      <c r="CT85" s="92"/>
    </row>
    <row r="86" spans="1:98" ht="15.75" x14ac:dyDescent="0.25">
      <c r="A86" s="1">
        <v>42760</v>
      </c>
      <c r="B86" s="56" t="str">
        <f t="shared" si="12"/>
        <v>Qtrend</v>
      </c>
      <c r="C86" s="56" t="s">
        <v>255</v>
      </c>
      <c r="D86" s="57"/>
      <c r="F86" s="1">
        <v>42758</v>
      </c>
      <c r="G86" s="1">
        <v>42785</v>
      </c>
      <c r="H86" s="1" t="s">
        <v>70</v>
      </c>
      <c r="I86" t="s">
        <v>143</v>
      </c>
      <c r="J86" t="s">
        <v>17</v>
      </c>
      <c r="L86" t="s">
        <v>668</v>
      </c>
      <c r="M86" s="17" t="str">
        <f>B86</f>
        <v>Qtrend</v>
      </c>
      <c r="N86" s="133" t="str">
        <f t="shared" si="14"/>
        <v>P</v>
      </c>
      <c r="O86" s="152" t="str">
        <f t="shared" si="15"/>
        <v>4/16/2017</v>
      </c>
      <c r="P86" s="119" t="str">
        <f t="shared" si="16"/>
        <v>Apr 16 2017</v>
      </c>
      <c r="Q86" s="3"/>
      <c r="R86" s="107" t="s">
        <v>314</v>
      </c>
      <c r="S86" s="98" t="s">
        <v>315</v>
      </c>
      <c r="T86" s="102" t="s">
        <v>316</v>
      </c>
      <c r="U86" s="100" t="s">
        <v>317</v>
      </c>
      <c r="V86" s="154" t="str">
        <f t="shared" si="17"/>
        <v>Apr 16 2017</v>
      </c>
      <c r="W86" s="107" t="s">
        <v>318</v>
      </c>
      <c r="X86" s="101" t="s">
        <v>319</v>
      </c>
      <c r="Y86" s="101" t="s">
        <v>320</v>
      </c>
      <c r="Z86" s="97" t="str">
        <f t="shared" si="18"/>
        <v>Jul 9 2017</v>
      </c>
      <c r="AA86" s="107" t="s">
        <v>321</v>
      </c>
      <c r="AB86" s="101" t="s">
        <v>322</v>
      </c>
      <c r="AC86" s="101" t="s">
        <v>323</v>
      </c>
      <c r="AD86" s="97" t="str">
        <f t="shared" si="19"/>
        <v>Oct 1 2017</v>
      </c>
      <c r="AE86" s="107" t="s">
        <v>324</v>
      </c>
      <c r="AF86" s="101" t="s">
        <v>325</v>
      </c>
      <c r="AG86" s="108" t="s">
        <v>326</v>
      </c>
      <c r="AH86" s="130" t="s">
        <v>707</v>
      </c>
      <c r="AJ86" s="154">
        <f t="shared" si="20"/>
        <v>42841</v>
      </c>
      <c r="AK86" s="127"/>
      <c r="AL86" s="153">
        <f t="shared" si="21"/>
        <v>42925</v>
      </c>
      <c r="AM86" s="127"/>
      <c r="AN86" s="153">
        <f t="shared" si="22"/>
        <v>43009</v>
      </c>
      <c r="AO86" s="127"/>
      <c r="AP86" s="127"/>
      <c r="AQ86" s="127"/>
      <c r="AR86" s="127"/>
      <c r="AS86" s="127"/>
      <c r="AT86" s="127"/>
      <c r="AU86" s="127"/>
      <c r="AV86" s="127"/>
      <c r="AW86" s="127"/>
      <c r="AX86" s="127"/>
      <c r="AY86" s="127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  <c r="BO86" s="127"/>
      <c r="BP86" s="127"/>
      <c r="BQ86" s="127"/>
      <c r="BR86" s="127"/>
      <c r="BS86" s="127"/>
      <c r="BT86" s="127"/>
      <c r="BU86" s="127"/>
      <c r="BV86" s="127"/>
      <c r="BW86" s="127"/>
      <c r="BX86" s="127"/>
      <c r="BY86" s="127"/>
      <c r="BZ86" s="127"/>
      <c r="CA86" s="127"/>
      <c r="CB86" s="127"/>
      <c r="CC86" s="127"/>
      <c r="CD86" s="127"/>
      <c r="CE86" s="127"/>
      <c r="CF86" s="127"/>
      <c r="CG86" s="127"/>
      <c r="CH86" s="127"/>
      <c r="CI86" s="127"/>
      <c r="CJ86" s="92"/>
      <c r="CK86" s="92"/>
      <c r="CL86" s="92"/>
      <c r="CM86" s="92"/>
      <c r="CN86" s="92"/>
      <c r="CO86" s="92"/>
      <c r="CP86" s="92"/>
      <c r="CQ86" s="92"/>
      <c r="CR86" s="92"/>
      <c r="CS86" s="92"/>
      <c r="CT86" s="92"/>
    </row>
    <row r="87" spans="1:98" ht="15.75" x14ac:dyDescent="0.25">
      <c r="A87" s="1"/>
      <c r="B87" s="3"/>
      <c r="F87" s="1"/>
      <c r="G87" s="1"/>
      <c r="M87" s="17"/>
      <c r="N87" s="18"/>
      <c r="O87" s="152"/>
      <c r="P87" s="152"/>
      <c r="Q87" s="3"/>
      <c r="AJ87" s="127"/>
      <c r="AK87" s="127"/>
      <c r="AL87" s="127"/>
      <c r="AM87" s="127"/>
      <c r="AN87" s="127"/>
      <c r="AO87" s="127"/>
      <c r="AP87" s="127"/>
      <c r="AQ87" s="127"/>
      <c r="AR87" s="127"/>
      <c r="AS87" s="127"/>
      <c r="AT87" s="127"/>
      <c r="AU87" s="127"/>
      <c r="AV87" s="127"/>
      <c r="AW87" s="127"/>
      <c r="AX87" s="127"/>
      <c r="AY87" s="127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  <c r="BO87" s="127"/>
      <c r="BP87" s="127"/>
      <c r="BQ87" s="127"/>
      <c r="BR87" s="127"/>
      <c r="BS87" s="127"/>
      <c r="BT87" s="127"/>
      <c r="BU87" s="127"/>
      <c r="BV87" s="127"/>
      <c r="BW87" s="127"/>
      <c r="BX87" s="127"/>
      <c r="BY87" s="127"/>
      <c r="BZ87" s="127"/>
      <c r="CA87" s="127"/>
      <c r="CB87" s="127"/>
      <c r="CC87" s="127"/>
      <c r="CD87" s="127"/>
      <c r="CE87" s="127"/>
      <c r="CF87" s="127"/>
      <c r="CG87" s="127"/>
      <c r="CH87" s="127"/>
      <c r="CI87" s="127"/>
    </row>
    <row r="88" spans="1:98" ht="15.75" x14ac:dyDescent="0.25">
      <c r="A88" s="1"/>
      <c r="B88" s="3"/>
      <c r="F88" s="1"/>
      <c r="G88" s="1"/>
      <c r="M88" s="17"/>
      <c r="N88" s="18"/>
      <c r="O88" s="152"/>
      <c r="P88" s="152"/>
      <c r="Q88" s="3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</row>
    <row r="89" spans="1:98" ht="15.75" x14ac:dyDescent="0.25">
      <c r="A89" s="1"/>
      <c r="B89" s="3"/>
      <c r="F89" s="1"/>
      <c r="G89" s="1"/>
      <c r="M89" s="17"/>
      <c r="N89" s="18"/>
      <c r="O89" s="152"/>
      <c r="P89" s="152"/>
      <c r="Q89" s="3"/>
      <c r="AJ89" s="127"/>
      <c r="AK89" s="127"/>
      <c r="AL89" s="127"/>
      <c r="AM89" s="127"/>
      <c r="AN89" s="127"/>
      <c r="AO89" s="127"/>
      <c r="AP89" s="127"/>
      <c r="AQ89" s="127"/>
      <c r="AR89" s="127"/>
      <c r="AS89" s="127"/>
      <c r="AT89" s="127"/>
      <c r="AU89" s="127"/>
      <c r="AV89" s="127"/>
      <c r="AW89" s="127"/>
      <c r="AX89" s="127"/>
      <c r="AY89" s="127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  <c r="BO89" s="127"/>
      <c r="BP89" s="127"/>
      <c r="BQ89" s="127"/>
      <c r="BR89" s="127"/>
      <c r="BS89" s="127"/>
      <c r="BT89" s="127"/>
      <c r="BU89" s="127"/>
      <c r="BV89" s="127"/>
      <c r="BW89" s="127"/>
      <c r="BX89" s="127"/>
      <c r="BY89" s="127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</row>
    <row r="90" spans="1:98" ht="15.75" x14ac:dyDescent="0.25">
      <c r="A90" s="1"/>
      <c r="B90" s="3"/>
      <c r="F90" s="1"/>
      <c r="G90" s="1"/>
      <c r="M90" s="17"/>
      <c r="N90" s="18"/>
      <c r="O90" s="152"/>
      <c r="P90" s="152"/>
      <c r="Q90" s="3"/>
      <c r="AJ90" s="127"/>
      <c r="AK90" s="127"/>
      <c r="AL90" s="127"/>
      <c r="AM90" s="127"/>
      <c r="AN90" s="127"/>
      <c r="AO90" s="127"/>
      <c r="AP90" s="127"/>
      <c r="AQ90" s="127"/>
      <c r="AR90" s="127"/>
      <c r="AS90" s="127"/>
      <c r="AT90" s="127"/>
      <c r="AU90" s="127"/>
      <c r="AV90" s="127"/>
      <c r="AW90" s="127"/>
      <c r="AX90" s="127"/>
      <c r="AY90" s="127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  <c r="BO90" s="127"/>
      <c r="BP90" s="127"/>
      <c r="BQ90" s="127"/>
      <c r="BR90" s="127"/>
      <c r="BS90" s="127"/>
      <c r="BT90" s="127"/>
      <c r="BU90" s="127"/>
      <c r="BV90" s="127"/>
      <c r="BW90" s="127"/>
      <c r="BX90" s="127"/>
      <c r="BY90" s="127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</row>
    <row r="91" spans="1:98" ht="15.75" x14ac:dyDescent="0.25">
      <c r="A91" s="1"/>
      <c r="B91" s="3"/>
      <c r="F91" s="1"/>
      <c r="G91" s="1"/>
      <c r="M91" s="17"/>
      <c r="N91" s="19"/>
      <c r="O91" s="96"/>
      <c r="P91" s="96"/>
      <c r="Q91" s="3"/>
      <c r="AJ91" s="127"/>
      <c r="AK91" s="127"/>
      <c r="AL91" s="127"/>
      <c r="AM91" s="127"/>
      <c r="AN91" s="127"/>
      <c r="AO91" s="127"/>
      <c r="AP91" s="127"/>
      <c r="AQ91" s="127"/>
      <c r="AR91" s="127"/>
      <c r="AS91" s="127"/>
      <c r="AT91" s="127"/>
      <c r="AU91" s="127"/>
      <c r="AV91" s="127"/>
      <c r="AW91" s="127"/>
      <c r="AX91" s="127"/>
      <c r="AY91" s="127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</row>
    <row r="92" spans="1:98" ht="15.75" x14ac:dyDescent="0.25">
      <c r="A92" s="1"/>
      <c r="B92" s="3"/>
      <c r="F92" s="1"/>
      <c r="G92" s="1"/>
      <c r="M92" s="17"/>
      <c r="N92" s="19"/>
      <c r="O92" s="96"/>
      <c r="P92" s="96"/>
      <c r="Q92" s="3"/>
      <c r="AJ92" s="127"/>
      <c r="AK92" s="127"/>
      <c r="AL92" s="127"/>
      <c r="AM92" s="127"/>
      <c r="AN92" s="127"/>
      <c r="AO92" s="127"/>
      <c r="AP92" s="127"/>
      <c r="AQ92" s="127"/>
      <c r="AR92" s="127"/>
      <c r="AS92" s="127"/>
      <c r="AT92" s="127"/>
      <c r="AU92" s="127"/>
      <c r="AV92" s="127"/>
      <c r="AW92" s="127"/>
      <c r="AX92" s="127"/>
      <c r="AY92" s="127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  <c r="BO92" s="127"/>
      <c r="BP92" s="127"/>
      <c r="BQ92" s="127"/>
      <c r="BR92" s="127"/>
      <c r="BS92" s="127"/>
      <c r="BT92" s="127"/>
      <c r="BU92" s="127"/>
      <c r="BV92" s="127"/>
      <c r="BW92" s="127"/>
      <c r="BX92" s="127"/>
      <c r="BY92" s="127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</row>
    <row r="93" spans="1:98" ht="15.75" x14ac:dyDescent="0.25">
      <c r="A93" s="1"/>
      <c r="B93" s="3"/>
      <c r="F93" s="1"/>
      <c r="G93" s="1"/>
      <c r="M93" s="17"/>
      <c r="N93" s="19"/>
      <c r="O93" s="96"/>
      <c r="P93" s="96"/>
      <c r="Q93" s="3"/>
      <c r="AJ93" s="127"/>
      <c r="AK93" s="127"/>
      <c r="AL93" s="127"/>
      <c r="AM93" s="127"/>
      <c r="AN93" s="127"/>
      <c r="AO93" s="127"/>
      <c r="AP93" s="127"/>
      <c r="AQ93" s="127"/>
      <c r="AR93" s="127"/>
      <c r="AS93" s="127"/>
      <c r="AT93" s="127"/>
      <c r="AU93" s="127"/>
      <c r="AV93" s="127"/>
      <c r="AW93" s="127"/>
      <c r="AX93" s="127"/>
      <c r="AY93" s="127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  <c r="BO93" s="127"/>
      <c r="BP93" s="127"/>
      <c r="BQ93" s="127"/>
      <c r="BR93" s="127"/>
      <c r="BS93" s="127"/>
      <c r="BT93" s="127"/>
      <c r="BU93" s="127"/>
      <c r="BV93" s="127"/>
      <c r="BW93" s="127"/>
      <c r="BX93" s="127"/>
      <c r="BY93" s="127"/>
      <c r="BZ93" s="127"/>
      <c r="CA93" s="127"/>
      <c r="CB93" s="127"/>
      <c r="CC93" s="127"/>
      <c r="CD93" s="127"/>
      <c r="CE93" s="127"/>
      <c r="CF93" s="127"/>
      <c r="CG93" s="127"/>
      <c r="CH93" s="127"/>
      <c r="CI93" s="127"/>
    </row>
    <row r="94" spans="1:98" ht="15.75" x14ac:dyDescent="0.25">
      <c r="A94" s="1"/>
      <c r="B94" s="3"/>
      <c r="F94" s="1"/>
      <c r="G94" s="1"/>
      <c r="M94" s="17"/>
      <c r="N94" s="19"/>
      <c r="O94" s="96"/>
      <c r="P94" s="96"/>
      <c r="Q94" s="3"/>
      <c r="AJ94" s="127"/>
      <c r="AK94" s="127"/>
      <c r="AL94" s="127"/>
      <c r="AM94" s="127"/>
      <c r="AN94" s="127"/>
      <c r="AO94" s="127"/>
      <c r="AP94" s="127"/>
      <c r="AQ94" s="127"/>
      <c r="AR94" s="127"/>
      <c r="AS94" s="127"/>
      <c r="AT94" s="127"/>
      <c r="AU94" s="127"/>
      <c r="AV94" s="127"/>
      <c r="AW94" s="127"/>
      <c r="AX94" s="127"/>
      <c r="AY94" s="127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  <c r="BO94" s="127"/>
      <c r="BP94" s="127"/>
      <c r="BQ94" s="127"/>
      <c r="BR94" s="127"/>
      <c r="BS94" s="127"/>
      <c r="BT94" s="127"/>
      <c r="BU94" s="127"/>
      <c r="BV94" s="127"/>
      <c r="BW94" s="127"/>
      <c r="BX94" s="127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</row>
    <row r="95" spans="1:98" ht="15.75" x14ac:dyDescent="0.25">
      <c r="A95" s="1"/>
      <c r="B95" s="3"/>
      <c r="F95" s="1"/>
      <c r="G95" s="1"/>
      <c r="M95" s="17"/>
      <c r="N95" s="19"/>
      <c r="O95" s="96"/>
      <c r="P95" s="96"/>
      <c r="Q95" s="3"/>
      <c r="AJ95" s="127"/>
      <c r="AK95" s="127"/>
      <c r="AL95" s="127"/>
      <c r="AM95" s="127"/>
      <c r="AN95" s="127"/>
      <c r="AO95" s="127"/>
      <c r="AP95" s="127"/>
      <c r="AQ95" s="127"/>
      <c r="AR95" s="127"/>
      <c r="AS95" s="127"/>
      <c r="AT95" s="127"/>
      <c r="AU95" s="127"/>
      <c r="AV95" s="127"/>
      <c r="AW95" s="127"/>
      <c r="AX95" s="127"/>
      <c r="AY95" s="127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27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/>
      <c r="CI95" s="127"/>
    </row>
    <row r="96" spans="1:98" ht="15.75" x14ac:dyDescent="0.25">
      <c r="A96" s="1"/>
      <c r="B96" s="3"/>
      <c r="F96" s="1"/>
      <c r="G96" s="1"/>
      <c r="M96" s="17"/>
      <c r="N96" s="19"/>
      <c r="O96" s="96"/>
      <c r="P96" s="96"/>
      <c r="Q96" s="3"/>
      <c r="AJ96" s="127"/>
      <c r="AK96" s="127"/>
      <c r="AL96" s="127"/>
      <c r="AM96" s="127"/>
      <c r="AN96" s="127"/>
      <c r="AO96" s="127"/>
      <c r="AP96" s="127"/>
      <c r="AQ96" s="127"/>
      <c r="AR96" s="127"/>
      <c r="AS96" s="127"/>
      <c r="AT96" s="127"/>
      <c r="AU96" s="127"/>
      <c r="AV96" s="127"/>
      <c r="AW96" s="127"/>
      <c r="AX96" s="127"/>
      <c r="AY96" s="127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  <c r="BO96" s="127"/>
      <c r="BP96" s="127"/>
      <c r="BQ96" s="127"/>
      <c r="BR96" s="127"/>
      <c r="BS96" s="127"/>
      <c r="BT96" s="127"/>
      <c r="BU96" s="127"/>
      <c r="BV96" s="127"/>
      <c r="BW96" s="127"/>
      <c r="BX96" s="127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/>
    </row>
    <row r="97" spans="1:87" ht="15.75" x14ac:dyDescent="0.25">
      <c r="A97" s="1"/>
      <c r="B97" s="3"/>
      <c r="F97" s="1"/>
      <c r="G97" s="1"/>
      <c r="M97" s="17"/>
      <c r="N97" s="19"/>
      <c r="O97" s="96"/>
      <c r="P97" s="96"/>
      <c r="Q97" s="3"/>
      <c r="AJ97" s="127"/>
      <c r="AK97" s="127"/>
      <c r="AL97" s="127"/>
      <c r="AM97" s="127"/>
      <c r="AN97" s="127"/>
      <c r="AO97" s="127"/>
      <c r="AP97" s="127"/>
      <c r="AQ97" s="127"/>
      <c r="AR97" s="127"/>
      <c r="AS97" s="127"/>
      <c r="AT97" s="127"/>
      <c r="AU97" s="127"/>
      <c r="AV97" s="127"/>
      <c r="AW97" s="127"/>
      <c r="AX97" s="127"/>
      <c r="AY97" s="127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  <c r="BO97" s="127"/>
      <c r="BP97" s="127"/>
      <c r="BQ97" s="127"/>
      <c r="BR97" s="127"/>
      <c r="BS97" s="127"/>
      <c r="BT97" s="127"/>
      <c r="BU97" s="127"/>
      <c r="BV97" s="127"/>
      <c r="BW97" s="127"/>
      <c r="BX97" s="127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</row>
    <row r="98" spans="1:87" ht="15.75" x14ac:dyDescent="0.25">
      <c r="A98" s="1"/>
      <c r="B98" s="3"/>
      <c r="F98" s="1"/>
      <c r="G98" s="1"/>
      <c r="M98" s="17"/>
      <c r="N98" s="19"/>
      <c r="O98" s="96"/>
      <c r="P98" s="96"/>
      <c r="Q98" s="3"/>
      <c r="AJ98" s="127"/>
      <c r="AK98" s="127"/>
      <c r="AL98" s="127"/>
      <c r="AM98" s="127"/>
      <c r="AN98" s="127"/>
      <c r="AO98" s="127"/>
      <c r="AP98" s="127"/>
      <c r="AQ98" s="127"/>
      <c r="AR98" s="127"/>
      <c r="AS98" s="127"/>
      <c r="AT98" s="127"/>
      <c r="AU98" s="127"/>
      <c r="AV98" s="127"/>
      <c r="AW98" s="127"/>
      <c r="AX98" s="127"/>
      <c r="AY98" s="127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  <c r="BO98" s="127"/>
      <c r="BP98" s="127"/>
      <c r="BQ98" s="127"/>
      <c r="BR98" s="127"/>
      <c r="BS98" s="127"/>
      <c r="BT98" s="127"/>
      <c r="BU98" s="127"/>
      <c r="BV98" s="127"/>
      <c r="BW98" s="127"/>
      <c r="BX98" s="127"/>
      <c r="BY98" s="127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</row>
    <row r="99" spans="1:87" ht="15.75" x14ac:dyDescent="0.25">
      <c r="A99" s="1"/>
      <c r="B99" s="3"/>
      <c r="F99" s="1"/>
      <c r="G99" s="1"/>
      <c r="M99" s="17"/>
      <c r="N99" s="19"/>
      <c r="O99" s="96"/>
      <c r="P99" s="96"/>
      <c r="Q99" s="3"/>
      <c r="AJ99" s="127"/>
      <c r="AK99" s="127"/>
      <c r="AL99" s="127"/>
      <c r="AM99" s="127"/>
      <c r="AN99" s="127"/>
      <c r="AO99" s="127"/>
      <c r="AP99" s="127"/>
      <c r="AQ99" s="127"/>
      <c r="AR99" s="127"/>
      <c r="AS99" s="127"/>
      <c r="AT99" s="127"/>
      <c r="AU99" s="127"/>
      <c r="AV99" s="127"/>
      <c r="AW99" s="127"/>
      <c r="AX99" s="127"/>
      <c r="AY99" s="127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27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</row>
    <row r="100" spans="1:87" x14ac:dyDescent="0.25">
      <c r="A100" s="1"/>
      <c r="B100" s="3"/>
      <c r="F100" s="1"/>
      <c r="G100" s="1"/>
      <c r="M100" s="1"/>
      <c r="AJ100" s="127"/>
      <c r="AK100" s="127"/>
      <c r="AL100" s="127"/>
      <c r="AM100" s="127"/>
      <c r="AN100" s="127"/>
      <c r="AO100" s="127"/>
      <c r="AP100" s="127"/>
      <c r="AQ100" s="127"/>
      <c r="AR100" s="127"/>
      <c r="AS100" s="127"/>
      <c r="AT100" s="127"/>
      <c r="AU100" s="127"/>
      <c r="AV100" s="127"/>
      <c r="AW100" s="127"/>
      <c r="AX100" s="127"/>
      <c r="AY100" s="127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27"/>
      <c r="BY100" s="127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</row>
    <row r="101" spans="1:87" x14ac:dyDescent="0.25">
      <c r="A101" s="1"/>
      <c r="B101" s="3"/>
      <c r="F101" s="1"/>
      <c r="G101" s="1"/>
      <c r="M101" s="1"/>
      <c r="AJ101" s="127"/>
      <c r="AK101" s="127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27"/>
      <c r="BY101" s="127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</row>
    <row r="102" spans="1:87" x14ac:dyDescent="0.25">
      <c r="A102" s="1"/>
      <c r="B102" s="3"/>
      <c r="F102" s="1"/>
      <c r="G102" s="1"/>
      <c r="M102" s="1"/>
      <c r="AJ102" s="127"/>
      <c r="AK102" s="127"/>
      <c r="AL102" s="127"/>
      <c r="AM102" s="127"/>
      <c r="AN102" s="127"/>
      <c r="AO102" s="127"/>
      <c r="AP102" s="127"/>
      <c r="AQ102" s="127"/>
      <c r="AR102" s="127"/>
      <c r="AS102" s="127"/>
      <c r="AT102" s="127"/>
      <c r="AU102" s="127"/>
      <c r="AV102" s="127"/>
      <c r="AW102" s="127"/>
      <c r="AX102" s="127"/>
      <c r="AY102" s="127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27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</row>
    <row r="103" spans="1:87" x14ac:dyDescent="0.25">
      <c r="A103" s="1"/>
      <c r="B103" s="3"/>
      <c r="F103" s="1"/>
      <c r="G103" s="1"/>
      <c r="M103" s="1"/>
      <c r="AJ103" s="127"/>
      <c r="AK103" s="127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  <c r="BO103" s="127"/>
      <c r="BP103" s="127"/>
      <c r="BQ103" s="127"/>
      <c r="BR103" s="127"/>
      <c r="BS103" s="127"/>
      <c r="BT103" s="127"/>
      <c r="BU103" s="127"/>
      <c r="BV103" s="127"/>
      <c r="BW103" s="127"/>
      <c r="BX103" s="127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</row>
    <row r="104" spans="1:87" x14ac:dyDescent="0.25">
      <c r="A104" s="1"/>
      <c r="B104" s="3"/>
      <c r="F104" s="1"/>
      <c r="G104" s="1"/>
      <c r="M104" s="1"/>
      <c r="AJ104" s="127"/>
      <c r="AK104" s="127"/>
      <c r="AL104" s="127"/>
      <c r="AM104" s="127"/>
      <c r="AN104" s="127"/>
      <c r="AO104" s="127"/>
      <c r="AP104" s="127"/>
      <c r="AQ104" s="127"/>
      <c r="AR104" s="127"/>
      <c r="AS104" s="127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27"/>
      <c r="BY104" s="127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</row>
    <row r="105" spans="1:87" x14ac:dyDescent="0.25">
      <c r="A105" s="1"/>
      <c r="B105" s="3"/>
      <c r="F105" s="1"/>
      <c r="G105" s="1"/>
      <c r="M105" s="1"/>
      <c r="AJ105" s="127"/>
      <c r="AK105" s="127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</row>
    <row r="106" spans="1:87" x14ac:dyDescent="0.25">
      <c r="A106" s="1"/>
      <c r="B106" s="3"/>
      <c r="F106" s="1"/>
      <c r="G106" s="1"/>
      <c r="M106" s="1"/>
      <c r="AJ106" s="127"/>
      <c r="AK106" s="127"/>
      <c r="AL106" s="127"/>
      <c r="AM106" s="127"/>
      <c r="AN106" s="127"/>
      <c r="AO106" s="127"/>
      <c r="AP106" s="127"/>
      <c r="AQ106" s="127"/>
      <c r="AR106" s="127"/>
      <c r="AS106" s="127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</row>
    <row r="107" spans="1:87" x14ac:dyDescent="0.25">
      <c r="A107" s="1"/>
      <c r="B107" s="3"/>
      <c r="F107" s="1"/>
      <c r="G107" s="1"/>
      <c r="M107" s="1"/>
      <c r="AJ107" s="127"/>
      <c r="AK107" s="127"/>
      <c r="AL107" s="127"/>
      <c r="AM107" s="127"/>
      <c r="AN107" s="127"/>
      <c r="AO107" s="127"/>
      <c r="AP107" s="127"/>
      <c r="AQ107" s="127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</row>
    <row r="108" spans="1:87" x14ac:dyDescent="0.25">
      <c r="A108" s="1"/>
      <c r="B108" s="3"/>
      <c r="F108" s="1"/>
      <c r="G108" s="1"/>
      <c r="M108" s="1"/>
      <c r="AJ108" s="127"/>
      <c r="AK108" s="127"/>
      <c r="AL108" s="127"/>
      <c r="AM108" s="127"/>
      <c r="AN108" s="127"/>
      <c r="AO108" s="127"/>
      <c r="AP108" s="127"/>
      <c r="AQ108" s="127"/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</row>
    <row r="109" spans="1:87" x14ac:dyDescent="0.25">
      <c r="A109" s="1"/>
      <c r="B109" s="3"/>
      <c r="F109" s="1"/>
      <c r="G109" s="1"/>
      <c r="M109" s="1"/>
      <c r="AJ109" s="127"/>
      <c r="AK109" s="127"/>
      <c r="AL109" s="127"/>
      <c r="AM109" s="127"/>
      <c r="AN109" s="127"/>
      <c r="AO109" s="127"/>
      <c r="AP109" s="127"/>
      <c r="AQ109" s="127"/>
      <c r="AR109" s="127"/>
      <c r="AS109" s="127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</row>
    <row r="110" spans="1:87" x14ac:dyDescent="0.25">
      <c r="A110" s="1"/>
      <c r="B110" s="3"/>
      <c r="F110" s="1"/>
      <c r="G110" s="1"/>
      <c r="M110" s="1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27"/>
      <c r="CF110" s="127"/>
      <c r="CG110" s="127"/>
      <c r="CH110" s="127"/>
      <c r="CI110" s="127"/>
    </row>
    <row r="111" spans="1:87" x14ac:dyDescent="0.25">
      <c r="A111" s="1"/>
      <c r="B111" s="3"/>
      <c r="F111" s="1"/>
      <c r="G111" s="1"/>
      <c r="M111" s="1"/>
      <c r="AJ111" s="127"/>
      <c r="AK111" s="127"/>
      <c r="AL111" s="127"/>
      <c r="AM111" s="127"/>
      <c r="AN111" s="127"/>
      <c r="AO111" s="127"/>
      <c r="AP111" s="127"/>
      <c r="AQ111" s="127"/>
      <c r="AR111" s="127"/>
      <c r="AS111" s="127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  <c r="BZ111" s="127"/>
      <c r="CA111" s="127"/>
      <c r="CB111" s="127"/>
      <c r="CC111" s="127"/>
      <c r="CD111" s="127"/>
      <c r="CE111" s="127"/>
      <c r="CF111" s="127"/>
      <c r="CG111" s="127"/>
      <c r="CH111" s="127"/>
      <c r="CI111" s="127"/>
    </row>
    <row r="112" spans="1:87" x14ac:dyDescent="0.25">
      <c r="A112" s="1"/>
      <c r="B112" s="3"/>
      <c r="F112" s="1"/>
      <c r="G112" s="1"/>
      <c r="M112" s="1"/>
      <c r="AJ112" s="127"/>
      <c r="AK112" s="127"/>
      <c r="AL112" s="127"/>
      <c r="AM112" s="127"/>
      <c r="AN112" s="127"/>
      <c r="AO112" s="127"/>
      <c r="AP112" s="127"/>
      <c r="AQ112" s="127"/>
      <c r="AR112" s="127"/>
      <c r="AS112" s="127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  <c r="BZ112" s="127"/>
      <c r="CA112" s="127"/>
      <c r="CB112" s="127"/>
      <c r="CC112" s="127"/>
      <c r="CD112" s="127"/>
      <c r="CE112" s="127"/>
      <c r="CF112" s="127"/>
      <c r="CG112" s="127"/>
      <c r="CH112" s="127"/>
      <c r="CI112" s="127"/>
    </row>
    <row r="113" spans="1:87" x14ac:dyDescent="0.25">
      <c r="A113" s="1"/>
      <c r="B113" s="3"/>
      <c r="F113" s="1"/>
      <c r="G113" s="1"/>
      <c r="M113" s="1"/>
      <c r="AJ113" s="127"/>
      <c r="AK113" s="127"/>
      <c r="AL113" s="127"/>
      <c r="AM113" s="127"/>
      <c r="AN113" s="127"/>
      <c r="AO113" s="127"/>
      <c r="AP113" s="127"/>
      <c r="AQ113" s="127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  <c r="BZ113" s="127"/>
      <c r="CA113" s="127"/>
      <c r="CB113" s="127"/>
      <c r="CC113" s="127"/>
      <c r="CD113" s="127"/>
      <c r="CE113" s="127"/>
      <c r="CF113" s="127"/>
      <c r="CG113" s="127"/>
      <c r="CH113" s="127"/>
      <c r="CI113" s="127"/>
    </row>
    <row r="114" spans="1:87" x14ac:dyDescent="0.25">
      <c r="A114" s="1"/>
      <c r="B114" s="3"/>
      <c r="F114" s="1"/>
      <c r="G114" s="1"/>
      <c r="M114" s="1"/>
      <c r="AJ114" s="127"/>
      <c r="AK114" s="127"/>
      <c r="AL114" s="127"/>
      <c r="AM114" s="127"/>
      <c r="AN114" s="127"/>
      <c r="AO114" s="127"/>
      <c r="AP114" s="127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  <c r="BZ114" s="127"/>
      <c r="CA114" s="127"/>
      <c r="CB114" s="127"/>
      <c r="CC114" s="127"/>
      <c r="CD114" s="127"/>
      <c r="CE114" s="127"/>
      <c r="CF114" s="127"/>
      <c r="CG114" s="127"/>
      <c r="CH114" s="127"/>
      <c r="CI114" s="127"/>
    </row>
    <row r="115" spans="1:87" x14ac:dyDescent="0.25">
      <c r="A115" s="1"/>
      <c r="B115" s="3"/>
      <c r="F115" s="1"/>
      <c r="G115" s="1"/>
      <c r="AJ115" s="127"/>
      <c r="AK115" s="127"/>
      <c r="AL115" s="127"/>
      <c r="AM115" s="127"/>
      <c r="AN115" s="127"/>
      <c r="AO115" s="127"/>
      <c r="AP115" s="127"/>
      <c r="AQ115" s="127"/>
      <c r="AR115" s="127"/>
      <c r="AS115" s="127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  <c r="BZ115" s="127"/>
      <c r="CA115" s="127"/>
      <c r="CB115" s="127"/>
      <c r="CC115" s="127"/>
      <c r="CD115" s="127"/>
      <c r="CE115" s="127"/>
      <c r="CF115" s="127"/>
      <c r="CG115" s="127"/>
      <c r="CH115" s="127"/>
      <c r="CI115" s="127"/>
    </row>
    <row r="116" spans="1:87" x14ac:dyDescent="0.25">
      <c r="A116" s="1"/>
      <c r="B116" s="3"/>
      <c r="F116" s="1"/>
      <c r="G116" s="1"/>
      <c r="AJ116" s="127"/>
      <c r="AK116" s="127"/>
      <c r="AL116" s="127"/>
      <c r="AM116" s="127"/>
      <c r="AN116" s="127"/>
      <c r="AO116" s="127"/>
      <c r="AP116" s="127"/>
      <c r="AQ116" s="127"/>
      <c r="AR116" s="127"/>
      <c r="AS116" s="127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  <c r="BZ116" s="127"/>
      <c r="CA116" s="127"/>
      <c r="CB116" s="127"/>
      <c r="CC116" s="127"/>
      <c r="CD116" s="127"/>
      <c r="CE116" s="127"/>
      <c r="CF116" s="127"/>
      <c r="CG116" s="127"/>
      <c r="CH116" s="127"/>
      <c r="CI116" s="127"/>
    </row>
    <row r="117" spans="1:87" x14ac:dyDescent="0.25">
      <c r="A117" s="1"/>
      <c r="B117" s="3"/>
      <c r="F117" s="1"/>
      <c r="G117" s="1"/>
      <c r="AJ117" s="127"/>
      <c r="AK117" s="127"/>
      <c r="AL117" s="127"/>
      <c r="AM117" s="127"/>
      <c r="AN117" s="127"/>
      <c r="AO117" s="127"/>
      <c r="AP117" s="127"/>
      <c r="AQ117" s="127"/>
      <c r="AR117" s="127"/>
      <c r="AS117" s="127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  <c r="BZ117" s="127"/>
      <c r="CA117" s="127"/>
      <c r="CB117" s="127"/>
      <c r="CC117" s="127"/>
      <c r="CD117" s="127"/>
      <c r="CE117" s="127"/>
      <c r="CF117" s="127"/>
      <c r="CG117" s="127"/>
      <c r="CH117" s="127"/>
      <c r="CI117" s="127"/>
    </row>
    <row r="118" spans="1:87" x14ac:dyDescent="0.25">
      <c r="A118" s="1"/>
      <c r="B118" s="3"/>
      <c r="F118" s="1"/>
      <c r="G118" s="1"/>
      <c r="AJ118" s="127"/>
      <c r="AK118" s="127"/>
      <c r="AL118" s="127"/>
      <c r="AM118" s="127"/>
      <c r="AN118" s="127"/>
      <c r="AO118" s="127"/>
      <c r="AP118" s="127"/>
      <c r="AQ118" s="127"/>
      <c r="AR118" s="127"/>
      <c r="AS118" s="127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  <c r="BZ118" s="127"/>
      <c r="CA118" s="127"/>
      <c r="CB118" s="127"/>
      <c r="CC118" s="127"/>
      <c r="CD118" s="127"/>
      <c r="CE118" s="127"/>
      <c r="CF118" s="127"/>
      <c r="CG118" s="127"/>
      <c r="CH118" s="127"/>
      <c r="CI118" s="127"/>
    </row>
    <row r="119" spans="1:87" x14ac:dyDescent="0.25">
      <c r="A119" s="1"/>
      <c r="B119" s="3"/>
      <c r="F119" s="1"/>
      <c r="G119" s="1"/>
      <c r="AJ119" s="127"/>
      <c r="AK119" s="127"/>
      <c r="AL119" s="127"/>
      <c r="AM119" s="127"/>
      <c r="AN119" s="127"/>
      <c r="AO119" s="127"/>
      <c r="AP119" s="127"/>
      <c r="AQ119" s="127"/>
      <c r="AR119" s="127"/>
      <c r="AS119" s="127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  <c r="BZ119" s="127"/>
      <c r="CA119" s="127"/>
      <c r="CB119" s="127"/>
      <c r="CC119" s="127"/>
      <c r="CD119" s="127"/>
      <c r="CE119" s="127"/>
      <c r="CF119" s="127"/>
      <c r="CG119" s="127"/>
      <c r="CH119" s="127"/>
      <c r="CI119" s="127"/>
    </row>
    <row r="120" spans="1:87" x14ac:dyDescent="0.25">
      <c r="A120" s="1"/>
      <c r="B120" s="3"/>
      <c r="F120" s="1"/>
      <c r="G120" s="1"/>
      <c r="AJ120" s="127"/>
      <c r="AK120" s="127"/>
      <c r="AL120" s="127"/>
      <c r="AM120" s="127"/>
      <c r="AN120" s="127"/>
      <c r="AO120" s="127"/>
      <c r="AP120" s="127"/>
      <c r="AQ120" s="127"/>
      <c r="AR120" s="127"/>
      <c r="AS120" s="127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  <c r="BZ120" s="127"/>
      <c r="CA120" s="127"/>
      <c r="CB120" s="127"/>
      <c r="CC120" s="127"/>
      <c r="CD120" s="127"/>
      <c r="CE120" s="127"/>
      <c r="CF120" s="127"/>
      <c r="CG120" s="127"/>
      <c r="CH120" s="127"/>
      <c r="CI120" s="127"/>
    </row>
    <row r="121" spans="1:87" x14ac:dyDescent="0.25">
      <c r="A121" s="1"/>
      <c r="B121" s="3"/>
      <c r="F121" s="1"/>
      <c r="G121" s="1"/>
      <c r="AJ121" s="127"/>
      <c r="AK121" s="127"/>
      <c r="AL121" s="127"/>
      <c r="AM121" s="127"/>
      <c r="AN121" s="127"/>
      <c r="AO121" s="127"/>
      <c r="AP121" s="127"/>
      <c r="AQ121" s="127"/>
      <c r="AR121" s="127"/>
      <c r="AS121" s="127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  <c r="BZ121" s="127"/>
      <c r="CA121" s="127"/>
      <c r="CB121" s="127"/>
      <c r="CC121" s="127"/>
      <c r="CD121" s="127"/>
      <c r="CE121" s="127"/>
      <c r="CF121" s="127"/>
      <c r="CG121" s="127"/>
      <c r="CH121" s="127"/>
      <c r="CI121" s="127"/>
    </row>
    <row r="122" spans="1:87" x14ac:dyDescent="0.25">
      <c r="A122" s="1"/>
      <c r="B122" s="3"/>
      <c r="F122" s="1"/>
      <c r="G122" s="1"/>
      <c r="AJ122" s="127"/>
      <c r="AK122" s="127"/>
      <c r="AL122" s="127"/>
      <c r="AM122" s="127"/>
      <c r="AN122" s="127"/>
      <c r="AO122" s="127"/>
      <c r="AP122" s="127"/>
      <c r="AQ122" s="127"/>
      <c r="AR122" s="127"/>
      <c r="AS122" s="127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  <c r="BZ122" s="127"/>
      <c r="CA122" s="127"/>
      <c r="CB122" s="127"/>
      <c r="CC122" s="127"/>
      <c r="CD122" s="127"/>
      <c r="CE122" s="127"/>
      <c r="CF122" s="127"/>
      <c r="CG122" s="127"/>
      <c r="CH122" s="127"/>
      <c r="CI122" s="127"/>
    </row>
    <row r="123" spans="1:87" x14ac:dyDescent="0.25">
      <c r="A123" s="1"/>
      <c r="B123" s="1"/>
      <c r="F123" s="1"/>
      <c r="G123" s="1"/>
      <c r="AJ123" s="127"/>
      <c r="AK123" s="127"/>
      <c r="AL123" s="127"/>
      <c r="AM123" s="127"/>
      <c r="AN123" s="127"/>
      <c r="AO123" s="127"/>
      <c r="AP123" s="127"/>
      <c r="AQ123" s="127"/>
      <c r="AR123" s="127"/>
      <c r="AS123" s="127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  <c r="BZ123" s="127"/>
      <c r="CA123" s="127"/>
      <c r="CB123" s="127"/>
      <c r="CC123" s="127"/>
      <c r="CD123" s="127"/>
      <c r="CE123" s="127"/>
      <c r="CF123" s="127"/>
      <c r="CG123" s="127"/>
      <c r="CH123" s="127"/>
      <c r="CI123" s="127"/>
    </row>
    <row r="124" spans="1:87" x14ac:dyDescent="0.25">
      <c r="A124" s="1"/>
      <c r="B124" s="1"/>
      <c r="F124" s="1"/>
      <c r="G124" s="1"/>
      <c r="AJ124" s="127"/>
      <c r="AK124" s="127"/>
      <c r="AL124" s="127"/>
      <c r="AM124" s="127"/>
      <c r="AN124" s="127"/>
      <c r="AO124" s="127"/>
      <c r="AP124" s="127"/>
      <c r="AQ124" s="127"/>
      <c r="AR124" s="127"/>
      <c r="AS124" s="127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  <c r="BZ124" s="127"/>
      <c r="CA124" s="127"/>
      <c r="CB124" s="127"/>
      <c r="CC124" s="127"/>
      <c r="CD124" s="127"/>
      <c r="CE124" s="127"/>
      <c r="CF124" s="127"/>
      <c r="CG124" s="127"/>
      <c r="CH124" s="127"/>
      <c r="CI124" s="127"/>
    </row>
    <row r="125" spans="1:87" x14ac:dyDescent="0.25">
      <c r="A125" s="1"/>
      <c r="B125" s="1"/>
      <c r="F125" s="1"/>
      <c r="G125" s="1"/>
      <c r="AJ125" s="127"/>
      <c r="AK125" s="127"/>
      <c r="AL125" s="127"/>
      <c r="AM125" s="127"/>
      <c r="AN125" s="127"/>
      <c r="AO125" s="127"/>
      <c r="AP125" s="127"/>
      <c r="AQ125" s="127"/>
      <c r="AR125" s="127"/>
      <c r="AS125" s="127"/>
      <c r="AT125" s="127"/>
      <c r="AU125" s="127"/>
      <c r="AV125" s="127"/>
      <c r="AW125" s="127"/>
      <c r="AX125" s="127"/>
      <c r="AY125" s="127"/>
      <c r="AZ125" s="127"/>
      <c r="BA125" s="127"/>
      <c r="BB125" s="127"/>
      <c r="BC125" s="127"/>
      <c r="BD125" s="127"/>
      <c r="BE125" s="127"/>
      <c r="BF125" s="127"/>
      <c r="BG125" s="127"/>
      <c r="BH125" s="127"/>
      <c r="BI125" s="127"/>
      <c r="BJ125" s="127"/>
      <c r="BK125" s="127"/>
      <c r="BL125" s="127"/>
      <c r="BM125" s="127"/>
      <c r="BN125" s="127"/>
      <c r="BO125" s="127"/>
      <c r="BP125" s="127"/>
      <c r="BQ125" s="127"/>
      <c r="BR125" s="127"/>
      <c r="BS125" s="127"/>
      <c r="BT125" s="127"/>
      <c r="BU125" s="127"/>
      <c r="BV125" s="127"/>
      <c r="BW125" s="127"/>
      <c r="BX125" s="127"/>
      <c r="BY125" s="127"/>
      <c r="BZ125" s="127"/>
      <c r="CA125" s="127"/>
      <c r="CB125" s="127"/>
      <c r="CC125" s="127"/>
      <c r="CD125" s="127"/>
      <c r="CE125" s="127"/>
      <c r="CF125" s="127"/>
      <c r="CG125" s="127"/>
      <c r="CH125" s="127"/>
      <c r="CI125" s="127"/>
    </row>
    <row r="126" spans="1:87" x14ac:dyDescent="0.25">
      <c r="A126" s="1"/>
      <c r="B126" s="1"/>
      <c r="F126" s="1"/>
      <c r="G126" s="1"/>
      <c r="AJ126" s="127"/>
      <c r="AK126" s="127"/>
      <c r="AL126" s="127"/>
      <c r="AM126" s="127"/>
      <c r="AN126" s="127"/>
      <c r="AO126" s="127"/>
      <c r="AP126" s="127"/>
      <c r="AQ126" s="127"/>
      <c r="AR126" s="127"/>
      <c r="AS126" s="127"/>
      <c r="AT126" s="127"/>
      <c r="AU126" s="127"/>
      <c r="AV126" s="127"/>
      <c r="AW126" s="127"/>
      <c r="AX126" s="127"/>
      <c r="AY126" s="127"/>
      <c r="AZ126" s="127"/>
      <c r="BA126" s="127"/>
      <c r="BB126" s="127"/>
      <c r="BC126" s="127"/>
      <c r="BD126" s="127"/>
      <c r="BE126" s="127"/>
      <c r="BF126" s="127"/>
      <c r="BG126" s="127"/>
      <c r="BH126" s="127"/>
      <c r="BI126" s="127"/>
      <c r="BJ126" s="127"/>
      <c r="BK126" s="127"/>
      <c r="BL126" s="127"/>
      <c r="BM126" s="127"/>
      <c r="BN126" s="127"/>
      <c r="BO126" s="127"/>
      <c r="BP126" s="127"/>
      <c r="BQ126" s="127"/>
      <c r="BR126" s="127"/>
      <c r="BS126" s="127"/>
      <c r="BT126" s="127"/>
      <c r="BU126" s="127"/>
      <c r="BV126" s="127"/>
      <c r="BW126" s="127"/>
      <c r="BX126" s="127"/>
      <c r="BY126" s="127"/>
      <c r="BZ126" s="127"/>
      <c r="CA126" s="127"/>
      <c r="CB126" s="127"/>
      <c r="CC126" s="127"/>
      <c r="CD126" s="127"/>
      <c r="CE126" s="127"/>
      <c r="CF126" s="127"/>
      <c r="CG126" s="127"/>
      <c r="CH126" s="127"/>
      <c r="CI126" s="127"/>
    </row>
    <row r="127" spans="1:87" x14ac:dyDescent="0.25">
      <c r="A127" s="1"/>
      <c r="B127" s="1"/>
      <c r="F127" s="1"/>
      <c r="G127" s="1"/>
      <c r="AJ127" s="127"/>
      <c r="AK127" s="127"/>
      <c r="AL127" s="127"/>
      <c r="AM127" s="127"/>
      <c r="AN127" s="127"/>
      <c r="AO127" s="127"/>
      <c r="AP127" s="127"/>
      <c r="AQ127" s="127"/>
      <c r="AR127" s="127"/>
      <c r="AS127" s="127"/>
      <c r="AT127" s="127"/>
      <c r="AU127" s="127"/>
      <c r="AV127" s="127"/>
      <c r="AW127" s="127"/>
      <c r="AX127" s="127"/>
      <c r="AY127" s="127"/>
      <c r="AZ127" s="127"/>
      <c r="BA127" s="127"/>
      <c r="BB127" s="127"/>
      <c r="BC127" s="127"/>
      <c r="BD127" s="127"/>
      <c r="BE127" s="127"/>
      <c r="BF127" s="127"/>
      <c r="BG127" s="127"/>
      <c r="BH127" s="127"/>
      <c r="BI127" s="127"/>
      <c r="BJ127" s="127"/>
      <c r="BK127" s="127"/>
      <c r="BL127" s="127"/>
      <c r="BM127" s="127"/>
      <c r="BN127" s="127"/>
      <c r="BO127" s="127"/>
      <c r="BP127" s="127"/>
      <c r="BQ127" s="127"/>
      <c r="BR127" s="127"/>
      <c r="BS127" s="127"/>
      <c r="BT127" s="127"/>
      <c r="BU127" s="127"/>
      <c r="BV127" s="127"/>
      <c r="BW127" s="127"/>
      <c r="BX127" s="127"/>
      <c r="BY127" s="127"/>
      <c r="BZ127" s="127"/>
      <c r="CA127" s="127"/>
      <c r="CB127" s="127"/>
      <c r="CC127" s="127"/>
      <c r="CD127" s="127"/>
      <c r="CE127" s="127"/>
      <c r="CF127" s="127"/>
      <c r="CG127" s="127"/>
      <c r="CH127" s="127"/>
      <c r="CI127" s="127"/>
    </row>
    <row r="128" spans="1:87" x14ac:dyDescent="0.25">
      <c r="A128" s="1"/>
      <c r="B128" s="1"/>
      <c r="F128" s="1"/>
      <c r="G128" s="1"/>
      <c r="AJ128" s="127"/>
      <c r="AK128" s="127"/>
      <c r="AL128" s="127"/>
      <c r="AM128" s="127"/>
      <c r="AN128" s="127"/>
      <c r="AO128" s="127"/>
      <c r="AP128" s="127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27"/>
      <c r="BC128" s="127"/>
      <c r="BD128" s="127"/>
      <c r="BE128" s="127"/>
      <c r="BF128" s="127"/>
      <c r="BG128" s="127"/>
      <c r="BH128" s="127"/>
      <c r="BI128" s="127"/>
      <c r="BJ128" s="127"/>
      <c r="BK128" s="127"/>
      <c r="BL128" s="127"/>
      <c r="BM128" s="127"/>
      <c r="BN128" s="127"/>
      <c r="BO128" s="127"/>
      <c r="BP128" s="127"/>
      <c r="BQ128" s="127"/>
      <c r="BR128" s="127"/>
      <c r="BS128" s="127"/>
      <c r="BT128" s="127"/>
      <c r="BU128" s="127"/>
      <c r="BV128" s="127"/>
      <c r="BW128" s="127"/>
      <c r="BX128" s="127"/>
      <c r="BY128" s="127"/>
      <c r="BZ128" s="127"/>
      <c r="CA128" s="127"/>
      <c r="CB128" s="127"/>
      <c r="CC128" s="127"/>
      <c r="CD128" s="127"/>
      <c r="CE128" s="127"/>
      <c r="CF128" s="127"/>
      <c r="CG128" s="127"/>
      <c r="CH128" s="127"/>
      <c r="CI128" s="127"/>
    </row>
    <row r="129" spans="1:87" x14ac:dyDescent="0.25">
      <c r="A129" s="1"/>
      <c r="B129" s="1"/>
      <c r="F129" s="1"/>
      <c r="G129" s="1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  <c r="BP129" s="127"/>
      <c r="BQ129" s="127"/>
      <c r="BR129" s="127"/>
      <c r="BS129" s="127"/>
      <c r="BT129" s="127"/>
      <c r="BU129" s="127"/>
      <c r="BV129" s="127"/>
      <c r="BW129" s="127"/>
      <c r="BX129" s="127"/>
      <c r="BY129" s="127"/>
      <c r="BZ129" s="127"/>
      <c r="CA129" s="127"/>
      <c r="CB129" s="127"/>
      <c r="CC129" s="127"/>
      <c r="CD129" s="127"/>
      <c r="CE129" s="127"/>
      <c r="CF129" s="127"/>
      <c r="CG129" s="127"/>
      <c r="CH129" s="127"/>
      <c r="CI129" s="127"/>
    </row>
    <row r="130" spans="1:87" x14ac:dyDescent="0.25">
      <c r="A130" s="1"/>
      <c r="B130" s="1"/>
      <c r="F130" s="1"/>
      <c r="G130" s="1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  <c r="BP130" s="127"/>
      <c r="BQ130" s="127"/>
      <c r="BR130" s="127"/>
      <c r="BS130" s="127"/>
      <c r="BT130" s="127"/>
      <c r="BU130" s="127"/>
      <c r="BV130" s="127"/>
      <c r="BW130" s="127"/>
      <c r="BX130" s="127"/>
      <c r="BY130" s="127"/>
      <c r="BZ130" s="127"/>
      <c r="CA130" s="127"/>
      <c r="CB130" s="127"/>
      <c r="CC130" s="127"/>
      <c r="CD130" s="127"/>
      <c r="CE130" s="127"/>
      <c r="CF130" s="127"/>
      <c r="CG130" s="127"/>
      <c r="CH130" s="127"/>
      <c r="CI130" s="127"/>
    </row>
    <row r="131" spans="1:87" x14ac:dyDescent="0.25">
      <c r="A131" s="1"/>
      <c r="B131" s="1"/>
      <c r="F131" s="1"/>
      <c r="G131" s="1"/>
      <c r="AJ131" s="127"/>
      <c r="AK131" s="127"/>
      <c r="AL131" s="127"/>
      <c r="AM131" s="127"/>
      <c r="AN131" s="127"/>
      <c r="AO131" s="127"/>
      <c r="AP131" s="127"/>
      <c r="AQ131" s="127"/>
      <c r="AR131" s="127"/>
      <c r="AS131" s="127"/>
      <c r="AT131" s="127"/>
      <c r="AU131" s="127"/>
      <c r="AV131" s="127"/>
      <c r="AW131" s="127"/>
      <c r="AX131" s="127"/>
      <c r="AY131" s="127"/>
      <c r="AZ131" s="127"/>
      <c r="BA131" s="127"/>
      <c r="BB131" s="127"/>
      <c r="BC131" s="127"/>
      <c r="BD131" s="127"/>
      <c r="BE131" s="127"/>
      <c r="BF131" s="127"/>
      <c r="BG131" s="127"/>
      <c r="BH131" s="127"/>
      <c r="BI131" s="127"/>
      <c r="BJ131" s="127"/>
      <c r="BK131" s="127"/>
      <c r="BL131" s="127"/>
      <c r="BM131" s="127"/>
      <c r="BN131" s="127"/>
      <c r="BO131" s="127"/>
      <c r="BP131" s="127"/>
      <c r="BQ131" s="127"/>
      <c r="BR131" s="127"/>
      <c r="BS131" s="127"/>
      <c r="BT131" s="127"/>
      <c r="BU131" s="127"/>
      <c r="BV131" s="127"/>
      <c r="BW131" s="127"/>
      <c r="BX131" s="127"/>
      <c r="BY131" s="127"/>
      <c r="BZ131" s="127"/>
      <c r="CA131" s="127"/>
      <c r="CB131" s="127"/>
      <c r="CC131" s="127"/>
      <c r="CD131" s="127"/>
      <c r="CE131" s="127"/>
      <c r="CF131" s="127"/>
      <c r="CG131" s="127"/>
      <c r="CH131" s="127"/>
      <c r="CI131" s="127"/>
    </row>
    <row r="132" spans="1:87" x14ac:dyDescent="0.25">
      <c r="A132" s="1"/>
      <c r="B132" s="1"/>
      <c r="F132" s="1"/>
      <c r="G132" s="1"/>
      <c r="AJ132" s="127"/>
      <c r="AK132" s="127"/>
      <c r="AL132" s="127"/>
      <c r="AM132" s="127"/>
      <c r="AN132" s="127"/>
      <c r="AO132" s="127"/>
      <c r="AP132" s="127"/>
      <c r="AQ132" s="127"/>
      <c r="AR132" s="127"/>
      <c r="AS132" s="127"/>
      <c r="AT132" s="127"/>
      <c r="AU132" s="127"/>
      <c r="AV132" s="127"/>
      <c r="AW132" s="127"/>
      <c r="AX132" s="127"/>
      <c r="AY132" s="127"/>
      <c r="AZ132" s="127"/>
      <c r="BA132" s="127"/>
      <c r="BB132" s="127"/>
      <c r="BC132" s="127"/>
      <c r="BD132" s="127"/>
      <c r="BE132" s="127"/>
      <c r="BF132" s="127"/>
      <c r="BG132" s="127"/>
      <c r="BH132" s="127"/>
      <c r="BI132" s="127"/>
      <c r="BJ132" s="127"/>
      <c r="BK132" s="127"/>
      <c r="BL132" s="127"/>
      <c r="BM132" s="127"/>
      <c r="BN132" s="127"/>
      <c r="BO132" s="127"/>
      <c r="BP132" s="127"/>
      <c r="BQ132" s="127"/>
      <c r="BR132" s="127"/>
      <c r="BS132" s="127"/>
      <c r="BT132" s="127"/>
      <c r="BU132" s="127"/>
      <c r="BV132" s="127"/>
      <c r="BW132" s="127"/>
      <c r="BX132" s="127"/>
      <c r="BY132" s="127"/>
      <c r="BZ132" s="127"/>
      <c r="CA132" s="127"/>
      <c r="CB132" s="127"/>
      <c r="CC132" s="127"/>
      <c r="CD132" s="127"/>
      <c r="CE132" s="127"/>
      <c r="CF132" s="127"/>
      <c r="CG132" s="127"/>
      <c r="CH132" s="127"/>
      <c r="CI132" s="127"/>
    </row>
    <row r="133" spans="1:87" x14ac:dyDescent="0.25">
      <c r="A133" s="1"/>
      <c r="B133" s="1"/>
      <c r="F133" s="1"/>
      <c r="G133" s="1"/>
      <c r="AJ133" s="127"/>
      <c r="AK133" s="127"/>
      <c r="AL133" s="127"/>
      <c r="AM133" s="127"/>
      <c r="AN133" s="127"/>
      <c r="AO133" s="127"/>
      <c r="AP133" s="127"/>
      <c r="AQ133" s="127"/>
      <c r="AR133" s="127"/>
      <c r="AS133" s="127"/>
      <c r="AT133" s="127"/>
      <c r="AU133" s="127"/>
      <c r="AV133" s="127"/>
      <c r="AW133" s="127"/>
      <c r="AX133" s="127"/>
      <c r="AY133" s="127"/>
      <c r="AZ133" s="127"/>
      <c r="BA133" s="127"/>
      <c r="BB133" s="127"/>
      <c r="BC133" s="127"/>
      <c r="BD133" s="127"/>
      <c r="BE133" s="127"/>
      <c r="BF133" s="127"/>
      <c r="BG133" s="127"/>
      <c r="BH133" s="127"/>
      <c r="BI133" s="127"/>
      <c r="BJ133" s="127"/>
      <c r="BK133" s="127"/>
      <c r="BL133" s="127"/>
      <c r="BM133" s="127"/>
      <c r="BN133" s="127"/>
      <c r="BO133" s="127"/>
      <c r="BP133" s="127"/>
      <c r="BQ133" s="127"/>
      <c r="BR133" s="127"/>
      <c r="BS133" s="127"/>
      <c r="BT133" s="127"/>
      <c r="BU133" s="127"/>
      <c r="BV133" s="127"/>
      <c r="BW133" s="127"/>
      <c r="BX133" s="127"/>
      <c r="BY133" s="127"/>
      <c r="BZ133" s="127"/>
      <c r="CA133" s="127"/>
      <c r="CB133" s="127"/>
      <c r="CC133" s="127"/>
      <c r="CD133" s="127"/>
      <c r="CE133" s="127"/>
      <c r="CF133" s="127"/>
      <c r="CG133" s="127"/>
      <c r="CH133" s="127"/>
      <c r="CI133" s="127"/>
    </row>
    <row r="134" spans="1:87" x14ac:dyDescent="0.25">
      <c r="A134" s="1"/>
      <c r="B134" s="1"/>
      <c r="F134" s="1"/>
      <c r="G134" s="1"/>
      <c r="AJ134" s="127"/>
      <c r="AK134" s="127"/>
      <c r="AL134" s="127"/>
      <c r="AM134" s="127"/>
      <c r="AN134" s="127"/>
      <c r="AO134" s="127"/>
      <c r="AP134" s="127"/>
      <c r="AQ134" s="127"/>
      <c r="AR134" s="127"/>
      <c r="AS134" s="127"/>
      <c r="AT134" s="127"/>
      <c r="AU134" s="127"/>
      <c r="AV134" s="127"/>
      <c r="AW134" s="127"/>
      <c r="AX134" s="127"/>
      <c r="AY134" s="127"/>
      <c r="AZ134" s="127"/>
      <c r="BA134" s="127"/>
      <c r="BB134" s="127"/>
      <c r="BC134" s="127"/>
      <c r="BD134" s="127"/>
      <c r="BE134" s="127"/>
      <c r="BF134" s="127"/>
      <c r="BG134" s="127"/>
      <c r="BH134" s="127"/>
      <c r="BI134" s="127"/>
      <c r="BJ134" s="127"/>
      <c r="BK134" s="127"/>
      <c r="BL134" s="127"/>
      <c r="BM134" s="127"/>
      <c r="BN134" s="127"/>
      <c r="BO134" s="127"/>
      <c r="BP134" s="127"/>
      <c r="BQ134" s="127"/>
      <c r="BR134" s="127"/>
      <c r="BS134" s="127"/>
      <c r="BT134" s="127"/>
      <c r="BU134" s="127"/>
      <c r="BV134" s="127"/>
      <c r="BW134" s="127"/>
      <c r="BX134" s="127"/>
      <c r="BY134" s="127"/>
      <c r="BZ134" s="127"/>
      <c r="CA134" s="127"/>
      <c r="CB134" s="127"/>
      <c r="CC134" s="127"/>
      <c r="CD134" s="127"/>
      <c r="CE134" s="127"/>
      <c r="CF134" s="127"/>
      <c r="CG134" s="127"/>
      <c r="CH134" s="127"/>
      <c r="CI134" s="127"/>
    </row>
    <row r="135" spans="1:87" x14ac:dyDescent="0.25">
      <c r="A135" s="1"/>
      <c r="B135" s="1"/>
      <c r="F135" s="1"/>
      <c r="G135" s="1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127"/>
      <c r="AW135" s="127"/>
      <c r="AX135" s="127"/>
      <c r="AY135" s="127"/>
      <c r="AZ135" s="127"/>
      <c r="BA135" s="127"/>
      <c r="BB135" s="127"/>
      <c r="BC135" s="127"/>
      <c r="BD135" s="127"/>
      <c r="BE135" s="127"/>
      <c r="BF135" s="127"/>
      <c r="BG135" s="127"/>
      <c r="BH135" s="127"/>
      <c r="BI135" s="127"/>
      <c r="BJ135" s="127"/>
      <c r="BK135" s="127"/>
      <c r="BL135" s="127"/>
      <c r="BM135" s="127"/>
      <c r="BN135" s="127"/>
      <c r="BO135" s="127"/>
      <c r="BP135" s="127"/>
      <c r="BQ135" s="127"/>
      <c r="BR135" s="127"/>
      <c r="BS135" s="127"/>
      <c r="BT135" s="127"/>
      <c r="BU135" s="127"/>
      <c r="BV135" s="127"/>
      <c r="BW135" s="127"/>
      <c r="BX135" s="127"/>
      <c r="BY135" s="127"/>
      <c r="BZ135" s="127"/>
      <c r="CA135" s="127"/>
      <c r="CB135" s="127"/>
      <c r="CC135" s="127"/>
      <c r="CD135" s="127"/>
      <c r="CE135" s="127"/>
      <c r="CF135" s="127"/>
      <c r="CG135" s="127"/>
      <c r="CH135" s="127"/>
      <c r="CI135" s="127"/>
    </row>
    <row r="136" spans="1:87" x14ac:dyDescent="0.25">
      <c r="A136" s="1"/>
      <c r="B136" s="1"/>
      <c r="F136" s="1"/>
      <c r="G136" s="1"/>
      <c r="AJ136" s="127"/>
      <c r="AK136" s="127"/>
      <c r="AL136" s="127"/>
      <c r="AM136" s="127"/>
      <c r="AN136" s="127"/>
      <c r="AO136" s="127"/>
      <c r="AP136" s="127"/>
      <c r="AQ136" s="127"/>
      <c r="AR136" s="127"/>
      <c r="AS136" s="127"/>
      <c r="AT136" s="127"/>
      <c r="AU136" s="127"/>
      <c r="AV136" s="127"/>
      <c r="AW136" s="127"/>
      <c r="AX136" s="127"/>
      <c r="AY136" s="127"/>
      <c r="AZ136" s="127"/>
      <c r="BA136" s="127"/>
      <c r="BB136" s="127"/>
      <c r="BC136" s="127"/>
      <c r="BD136" s="127"/>
      <c r="BE136" s="127"/>
      <c r="BF136" s="127"/>
      <c r="BG136" s="127"/>
      <c r="BH136" s="127"/>
      <c r="BI136" s="127"/>
      <c r="BJ136" s="127"/>
      <c r="BK136" s="127"/>
      <c r="BL136" s="127"/>
      <c r="BM136" s="127"/>
      <c r="BN136" s="127"/>
      <c r="BO136" s="127"/>
      <c r="BP136" s="127"/>
      <c r="BQ136" s="127"/>
      <c r="BR136" s="127"/>
      <c r="BS136" s="127"/>
      <c r="BT136" s="127"/>
      <c r="BU136" s="127"/>
      <c r="BV136" s="127"/>
      <c r="BW136" s="127"/>
      <c r="BX136" s="127"/>
      <c r="BY136" s="127"/>
      <c r="BZ136" s="127"/>
      <c r="CA136" s="127"/>
      <c r="CB136" s="127"/>
      <c r="CC136" s="127"/>
      <c r="CD136" s="127"/>
      <c r="CE136" s="127"/>
      <c r="CF136" s="127"/>
      <c r="CG136" s="127"/>
      <c r="CH136" s="127"/>
      <c r="CI136" s="127"/>
    </row>
    <row r="137" spans="1:87" x14ac:dyDescent="0.25">
      <c r="A137" s="1"/>
      <c r="B137" s="1"/>
      <c r="F137" s="1"/>
      <c r="G137" s="1"/>
      <c r="AJ137" s="127"/>
      <c r="AK137" s="127"/>
      <c r="AL137" s="127"/>
      <c r="AM137" s="127"/>
      <c r="AN137" s="127"/>
      <c r="AO137" s="127"/>
      <c r="AP137" s="127"/>
      <c r="AQ137" s="127"/>
      <c r="AR137" s="127"/>
      <c r="AS137" s="127"/>
      <c r="AT137" s="127"/>
      <c r="AU137" s="127"/>
      <c r="AV137" s="127"/>
      <c r="AW137" s="127"/>
      <c r="AX137" s="127"/>
      <c r="AY137" s="127"/>
      <c r="AZ137" s="127"/>
      <c r="BA137" s="127"/>
      <c r="BB137" s="127"/>
      <c r="BC137" s="127"/>
      <c r="BD137" s="127"/>
      <c r="BE137" s="127"/>
      <c r="BF137" s="127"/>
      <c r="BG137" s="127"/>
      <c r="BH137" s="127"/>
      <c r="BI137" s="127"/>
      <c r="BJ137" s="127"/>
      <c r="BK137" s="127"/>
      <c r="BL137" s="127"/>
      <c r="BM137" s="127"/>
      <c r="BN137" s="127"/>
      <c r="BO137" s="127"/>
      <c r="BP137" s="127"/>
      <c r="BQ137" s="127"/>
      <c r="BR137" s="127"/>
      <c r="BS137" s="127"/>
      <c r="BT137" s="127"/>
      <c r="BU137" s="127"/>
      <c r="BV137" s="127"/>
      <c r="BW137" s="127"/>
      <c r="BX137" s="127"/>
      <c r="BY137" s="127"/>
      <c r="BZ137" s="127"/>
      <c r="CA137" s="127"/>
      <c r="CB137" s="127"/>
      <c r="CC137" s="127"/>
      <c r="CD137" s="127"/>
      <c r="CE137" s="127"/>
      <c r="CF137" s="127"/>
      <c r="CG137" s="127"/>
      <c r="CH137" s="127"/>
      <c r="CI137" s="127"/>
    </row>
    <row r="138" spans="1:87" x14ac:dyDescent="0.25">
      <c r="A138" s="1"/>
      <c r="B138" s="1"/>
      <c r="F138" s="1"/>
      <c r="G138" s="1"/>
      <c r="AJ138" s="127"/>
      <c r="AK138" s="127"/>
      <c r="AL138" s="127"/>
      <c r="AM138" s="127"/>
      <c r="AN138" s="127"/>
      <c r="AO138" s="127"/>
      <c r="AP138" s="127"/>
      <c r="AQ138" s="127"/>
      <c r="AR138" s="127"/>
      <c r="AS138" s="127"/>
      <c r="AT138" s="127"/>
      <c r="AU138" s="127"/>
      <c r="AV138" s="127"/>
      <c r="AW138" s="127"/>
      <c r="AX138" s="127"/>
      <c r="AY138" s="127"/>
      <c r="AZ138" s="127"/>
      <c r="BA138" s="127"/>
      <c r="BB138" s="127"/>
      <c r="BC138" s="127"/>
      <c r="BD138" s="127"/>
      <c r="BE138" s="127"/>
      <c r="BF138" s="127"/>
      <c r="BG138" s="127"/>
      <c r="BH138" s="127"/>
      <c r="BI138" s="127"/>
      <c r="BJ138" s="127"/>
      <c r="BK138" s="127"/>
      <c r="BL138" s="127"/>
      <c r="BM138" s="127"/>
      <c r="BN138" s="127"/>
      <c r="BO138" s="127"/>
      <c r="BP138" s="127"/>
      <c r="BQ138" s="127"/>
      <c r="BR138" s="127"/>
      <c r="BS138" s="127"/>
      <c r="BT138" s="127"/>
      <c r="BU138" s="127"/>
      <c r="BV138" s="127"/>
      <c r="BW138" s="127"/>
      <c r="BX138" s="127"/>
      <c r="BY138" s="127"/>
      <c r="BZ138" s="127"/>
      <c r="CA138" s="127"/>
      <c r="CB138" s="127"/>
      <c r="CC138" s="127"/>
      <c r="CD138" s="127"/>
      <c r="CE138" s="127"/>
      <c r="CF138" s="127"/>
      <c r="CG138" s="127"/>
      <c r="CH138" s="127"/>
      <c r="CI138" s="127"/>
    </row>
    <row r="139" spans="1:87" x14ac:dyDescent="0.25">
      <c r="A139" s="1"/>
      <c r="B139" s="1"/>
      <c r="F139" s="1"/>
      <c r="G139" s="1"/>
      <c r="AJ139" s="127"/>
      <c r="AK139" s="127"/>
      <c r="AL139" s="127"/>
      <c r="AM139" s="127"/>
      <c r="AN139" s="127"/>
      <c r="AO139" s="127"/>
      <c r="AP139" s="127"/>
      <c r="AQ139" s="127"/>
      <c r="AR139" s="127"/>
      <c r="AS139" s="127"/>
      <c r="AT139" s="127"/>
      <c r="AU139" s="127"/>
      <c r="AV139" s="127"/>
      <c r="AW139" s="127"/>
      <c r="AX139" s="127"/>
      <c r="AY139" s="127"/>
      <c r="AZ139" s="127"/>
      <c r="BA139" s="127"/>
      <c r="BB139" s="127"/>
      <c r="BC139" s="127"/>
      <c r="BD139" s="127"/>
      <c r="BE139" s="127"/>
      <c r="BF139" s="127"/>
      <c r="BG139" s="127"/>
      <c r="BH139" s="127"/>
      <c r="BI139" s="127"/>
      <c r="BJ139" s="127"/>
      <c r="BK139" s="127"/>
      <c r="BL139" s="127"/>
      <c r="BM139" s="127"/>
      <c r="BN139" s="127"/>
      <c r="BO139" s="127"/>
      <c r="BP139" s="127"/>
      <c r="BQ139" s="127"/>
      <c r="BR139" s="127"/>
      <c r="BS139" s="127"/>
      <c r="BT139" s="127"/>
      <c r="BU139" s="127"/>
      <c r="BV139" s="127"/>
      <c r="BW139" s="127"/>
      <c r="BX139" s="127"/>
      <c r="BY139" s="127"/>
      <c r="BZ139" s="127"/>
      <c r="CA139" s="127"/>
      <c r="CB139" s="127"/>
      <c r="CC139" s="127"/>
      <c r="CD139" s="127"/>
      <c r="CE139" s="127"/>
      <c r="CF139" s="127"/>
      <c r="CG139" s="127"/>
      <c r="CH139" s="127"/>
      <c r="CI139" s="127"/>
    </row>
    <row r="140" spans="1:87" x14ac:dyDescent="0.25">
      <c r="A140" s="1"/>
      <c r="B140" s="1"/>
      <c r="F140" s="1"/>
      <c r="G140" s="1"/>
      <c r="AJ140" s="127"/>
      <c r="AK140" s="127"/>
      <c r="AL140" s="127"/>
      <c r="AM140" s="127"/>
      <c r="AN140" s="127"/>
      <c r="AO140" s="127"/>
      <c r="AP140" s="127"/>
      <c r="AQ140" s="127"/>
      <c r="AR140" s="127"/>
      <c r="AS140" s="127"/>
      <c r="AT140" s="127"/>
      <c r="AU140" s="127"/>
      <c r="AV140" s="127"/>
      <c r="AW140" s="127"/>
      <c r="AX140" s="127"/>
      <c r="AY140" s="127"/>
      <c r="AZ140" s="127"/>
      <c r="BA140" s="127"/>
      <c r="BB140" s="127"/>
      <c r="BC140" s="127"/>
      <c r="BD140" s="127"/>
      <c r="BE140" s="127"/>
      <c r="BF140" s="127"/>
      <c r="BG140" s="127"/>
      <c r="BH140" s="127"/>
      <c r="BI140" s="127"/>
      <c r="BJ140" s="127"/>
      <c r="BK140" s="127"/>
      <c r="BL140" s="127"/>
      <c r="BM140" s="127"/>
      <c r="BN140" s="127"/>
      <c r="BO140" s="127"/>
      <c r="BP140" s="127"/>
      <c r="BQ140" s="127"/>
      <c r="BR140" s="127"/>
      <c r="BS140" s="127"/>
      <c r="BT140" s="127"/>
      <c r="BU140" s="127"/>
      <c r="BV140" s="127"/>
      <c r="BW140" s="127"/>
      <c r="BX140" s="127"/>
      <c r="BY140" s="127"/>
      <c r="BZ140" s="127"/>
      <c r="CA140" s="127"/>
      <c r="CB140" s="127"/>
      <c r="CC140" s="127"/>
      <c r="CD140" s="127"/>
      <c r="CE140" s="127"/>
      <c r="CF140" s="127"/>
      <c r="CG140" s="127"/>
      <c r="CH140" s="127"/>
      <c r="CI140" s="127"/>
    </row>
    <row r="141" spans="1:87" x14ac:dyDescent="0.25">
      <c r="A141" s="1"/>
      <c r="B141" s="1"/>
      <c r="F141" s="1"/>
      <c r="G141" s="1"/>
      <c r="AJ141" s="127"/>
      <c r="AK141" s="127"/>
      <c r="AL141" s="127"/>
      <c r="AM141" s="127"/>
      <c r="AN141" s="127"/>
      <c r="AO141" s="127"/>
      <c r="AP141" s="127"/>
      <c r="AQ141" s="127"/>
      <c r="AR141" s="127"/>
      <c r="AS141" s="127"/>
      <c r="AT141" s="127"/>
      <c r="AU141" s="127"/>
      <c r="AV141" s="127"/>
      <c r="AW141" s="127"/>
      <c r="AX141" s="127"/>
      <c r="AY141" s="127"/>
      <c r="AZ141" s="127"/>
      <c r="BA141" s="127"/>
      <c r="BB141" s="127"/>
      <c r="BC141" s="127"/>
      <c r="BD141" s="127"/>
      <c r="BE141" s="127"/>
      <c r="BF141" s="127"/>
      <c r="BG141" s="127"/>
      <c r="BH141" s="127"/>
      <c r="BI141" s="127"/>
      <c r="BJ141" s="127"/>
      <c r="BK141" s="127"/>
      <c r="BL141" s="127"/>
      <c r="BM141" s="127"/>
      <c r="BN141" s="127"/>
      <c r="BO141" s="127"/>
      <c r="BP141" s="127"/>
      <c r="BQ141" s="127"/>
      <c r="BR141" s="127"/>
      <c r="BS141" s="127"/>
      <c r="BT141" s="127"/>
      <c r="BU141" s="127"/>
      <c r="BV141" s="127"/>
      <c r="BW141" s="127"/>
      <c r="BX141" s="127"/>
      <c r="BY141" s="127"/>
      <c r="BZ141" s="127"/>
      <c r="CA141" s="127"/>
      <c r="CB141" s="127"/>
      <c r="CC141" s="127"/>
      <c r="CD141" s="127"/>
      <c r="CE141" s="127"/>
      <c r="CF141" s="127"/>
      <c r="CG141" s="127"/>
      <c r="CH141" s="127"/>
      <c r="CI141" s="127"/>
    </row>
    <row r="142" spans="1:87" x14ac:dyDescent="0.25">
      <c r="A142" s="1"/>
      <c r="B142" s="1"/>
      <c r="F142" s="1"/>
      <c r="G142" s="1"/>
      <c r="AJ142" s="127"/>
      <c r="AK142" s="127"/>
      <c r="AL142" s="127"/>
      <c r="AM142" s="127"/>
      <c r="AN142" s="127"/>
      <c r="AO142" s="127"/>
      <c r="AP142" s="127"/>
      <c r="AQ142" s="127"/>
      <c r="AR142" s="127"/>
      <c r="AS142" s="127"/>
      <c r="AT142" s="127"/>
      <c r="AU142" s="127"/>
      <c r="AV142" s="127"/>
      <c r="AW142" s="127"/>
      <c r="AX142" s="127"/>
      <c r="AY142" s="127"/>
      <c r="AZ142" s="127"/>
      <c r="BA142" s="127"/>
      <c r="BB142" s="127"/>
      <c r="BC142" s="127"/>
      <c r="BD142" s="127"/>
      <c r="BE142" s="127"/>
      <c r="BF142" s="127"/>
      <c r="BG142" s="127"/>
      <c r="BH142" s="127"/>
      <c r="BI142" s="127"/>
      <c r="BJ142" s="127"/>
      <c r="BK142" s="127"/>
      <c r="BL142" s="127"/>
      <c r="BM142" s="127"/>
      <c r="BN142" s="127"/>
      <c r="BO142" s="127"/>
      <c r="BP142" s="127"/>
      <c r="BQ142" s="127"/>
      <c r="BR142" s="127"/>
      <c r="BS142" s="127"/>
      <c r="BT142" s="127"/>
      <c r="BU142" s="127"/>
      <c r="BV142" s="127"/>
      <c r="BW142" s="127"/>
      <c r="BX142" s="127"/>
      <c r="BY142" s="127"/>
      <c r="BZ142" s="127"/>
      <c r="CA142" s="127"/>
      <c r="CB142" s="127"/>
      <c r="CC142" s="127"/>
      <c r="CD142" s="127"/>
      <c r="CE142" s="127"/>
      <c r="CF142" s="127"/>
      <c r="CG142" s="127"/>
      <c r="CH142" s="127"/>
      <c r="CI142" s="127"/>
    </row>
    <row r="143" spans="1:87" x14ac:dyDescent="0.25">
      <c r="A143" s="1"/>
      <c r="B143" s="1"/>
      <c r="F143" s="1"/>
      <c r="G143" s="1"/>
      <c r="AJ143" s="127"/>
      <c r="AK143" s="127"/>
      <c r="AL143" s="127"/>
      <c r="AM143" s="127"/>
      <c r="AN143" s="127"/>
      <c r="AO143" s="127"/>
      <c r="AP143" s="127"/>
      <c r="AQ143" s="127"/>
      <c r="AR143" s="127"/>
      <c r="AS143" s="127"/>
      <c r="AT143" s="127"/>
      <c r="AU143" s="127"/>
      <c r="AV143" s="127"/>
      <c r="AW143" s="127"/>
      <c r="AX143" s="127"/>
      <c r="AY143" s="127"/>
      <c r="AZ143" s="127"/>
      <c r="BA143" s="127"/>
      <c r="BB143" s="127"/>
      <c r="BC143" s="127"/>
      <c r="BD143" s="127"/>
      <c r="BE143" s="127"/>
      <c r="BF143" s="127"/>
      <c r="BG143" s="127"/>
      <c r="BH143" s="127"/>
      <c r="BI143" s="127"/>
      <c r="BJ143" s="127"/>
      <c r="BK143" s="127"/>
      <c r="BL143" s="127"/>
      <c r="BM143" s="127"/>
      <c r="BN143" s="127"/>
      <c r="BO143" s="127"/>
      <c r="BP143" s="127"/>
      <c r="BQ143" s="127"/>
      <c r="BR143" s="127"/>
      <c r="BS143" s="127"/>
      <c r="BT143" s="127"/>
      <c r="BU143" s="127"/>
      <c r="BV143" s="127"/>
      <c r="BW143" s="127"/>
      <c r="BX143" s="127"/>
      <c r="BY143" s="127"/>
      <c r="BZ143" s="127"/>
      <c r="CA143" s="127"/>
      <c r="CB143" s="127"/>
      <c r="CC143" s="127"/>
      <c r="CD143" s="127"/>
      <c r="CE143" s="127"/>
      <c r="CF143" s="127"/>
      <c r="CG143" s="127"/>
      <c r="CH143" s="127"/>
      <c r="CI143" s="127"/>
    </row>
    <row r="144" spans="1:87" x14ac:dyDescent="0.25">
      <c r="A144" s="1"/>
      <c r="B144" s="1"/>
      <c r="F144" s="1"/>
      <c r="G144" s="1"/>
      <c r="AJ144" s="127"/>
      <c r="AK144" s="127"/>
      <c r="AL144" s="127"/>
      <c r="AM144" s="127"/>
      <c r="AN144" s="127"/>
      <c r="AO144" s="127"/>
      <c r="AP144" s="127"/>
      <c r="AQ144" s="127"/>
      <c r="AR144" s="127"/>
      <c r="AS144" s="127"/>
      <c r="AT144" s="127"/>
      <c r="AU144" s="127"/>
      <c r="AV144" s="127"/>
      <c r="AW144" s="127"/>
      <c r="AX144" s="127"/>
      <c r="AY144" s="127"/>
      <c r="AZ144" s="127"/>
      <c r="BA144" s="127"/>
      <c r="BB144" s="127"/>
      <c r="BC144" s="127"/>
      <c r="BD144" s="127"/>
      <c r="BE144" s="127"/>
      <c r="BF144" s="127"/>
      <c r="BG144" s="127"/>
      <c r="BH144" s="127"/>
      <c r="BI144" s="127"/>
      <c r="BJ144" s="127"/>
      <c r="BK144" s="127"/>
      <c r="BL144" s="127"/>
      <c r="BM144" s="127"/>
      <c r="BN144" s="127"/>
      <c r="BO144" s="127"/>
      <c r="BP144" s="127"/>
      <c r="BQ144" s="127"/>
      <c r="BR144" s="127"/>
      <c r="BS144" s="127"/>
      <c r="BT144" s="127"/>
      <c r="BU144" s="127"/>
      <c r="BV144" s="127"/>
      <c r="BW144" s="127"/>
      <c r="BX144" s="127"/>
      <c r="BY144" s="127"/>
      <c r="BZ144" s="127"/>
      <c r="CA144" s="127"/>
      <c r="CB144" s="127"/>
      <c r="CC144" s="127"/>
      <c r="CD144" s="127"/>
      <c r="CE144" s="127"/>
      <c r="CF144" s="127"/>
      <c r="CG144" s="127"/>
      <c r="CH144" s="127"/>
      <c r="CI144" s="127"/>
    </row>
    <row r="145" spans="1:87" x14ac:dyDescent="0.25">
      <c r="A145" s="1"/>
      <c r="B145" s="1"/>
      <c r="F145" s="1"/>
      <c r="G145" s="1"/>
      <c r="AJ145" s="127"/>
      <c r="AK145" s="127"/>
      <c r="AL145" s="127"/>
      <c r="AM145" s="127"/>
      <c r="AN145" s="127"/>
      <c r="AO145" s="127"/>
      <c r="AP145" s="127"/>
      <c r="AQ145" s="127"/>
      <c r="AR145" s="127"/>
      <c r="AS145" s="127"/>
      <c r="AT145" s="127"/>
      <c r="AU145" s="127"/>
      <c r="AV145" s="127"/>
      <c r="AW145" s="127"/>
      <c r="AX145" s="127"/>
      <c r="AY145" s="127"/>
      <c r="AZ145" s="127"/>
      <c r="BA145" s="127"/>
      <c r="BB145" s="127"/>
      <c r="BC145" s="127"/>
      <c r="BD145" s="127"/>
      <c r="BE145" s="127"/>
      <c r="BF145" s="127"/>
      <c r="BG145" s="127"/>
      <c r="BH145" s="127"/>
      <c r="BI145" s="127"/>
      <c r="BJ145" s="127"/>
      <c r="BK145" s="127"/>
      <c r="BL145" s="127"/>
      <c r="BM145" s="127"/>
      <c r="BN145" s="127"/>
      <c r="BO145" s="127"/>
      <c r="BP145" s="127"/>
      <c r="BQ145" s="127"/>
      <c r="BR145" s="127"/>
      <c r="BS145" s="127"/>
      <c r="BT145" s="127"/>
      <c r="BU145" s="127"/>
      <c r="BV145" s="127"/>
      <c r="BW145" s="127"/>
      <c r="BX145" s="127"/>
      <c r="BY145" s="127"/>
      <c r="BZ145" s="127"/>
      <c r="CA145" s="127"/>
      <c r="CB145" s="127"/>
      <c r="CC145" s="127"/>
      <c r="CD145" s="127"/>
      <c r="CE145" s="127"/>
      <c r="CF145" s="127"/>
      <c r="CG145" s="127"/>
      <c r="CH145" s="127"/>
      <c r="CI145" s="127"/>
    </row>
    <row r="146" spans="1:87" x14ac:dyDescent="0.25">
      <c r="A146" s="1"/>
      <c r="B146" s="1"/>
      <c r="F146" s="1"/>
      <c r="G146" s="1"/>
      <c r="AJ146" s="127"/>
      <c r="AK146" s="127"/>
      <c r="AL146" s="127"/>
      <c r="AM146" s="127"/>
      <c r="AN146" s="127"/>
      <c r="AO146" s="127"/>
      <c r="AP146" s="127"/>
      <c r="AQ146" s="127"/>
      <c r="AR146" s="127"/>
      <c r="AS146" s="127"/>
      <c r="AT146" s="127"/>
      <c r="AU146" s="127"/>
      <c r="AV146" s="127"/>
      <c r="AW146" s="127"/>
      <c r="AX146" s="127"/>
      <c r="AY146" s="127"/>
      <c r="AZ146" s="127"/>
      <c r="BA146" s="127"/>
      <c r="BB146" s="127"/>
      <c r="BC146" s="127"/>
      <c r="BD146" s="127"/>
      <c r="BE146" s="127"/>
      <c r="BF146" s="127"/>
      <c r="BG146" s="127"/>
      <c r="BH146" s="127"/>
      <c r="BI146" s="127"/>
      <c r="BJ146" s="127"/>
      <c r="BK146" s="127"/>
      <c r="BL146" s="127"/>
      <c r="BM146" s="127"/>
      <c r="BN146" s="127"/>
      <c r="BO146" s="127"/>
      <c r="BP146" s="127"/>
      <c r="BQ146" s="127"/>
      <c r="BR146" s="127"/>
      <c r="BS146" s="127"/>
      <c r="BT146" s="127"/>
      <c r="BU146" s="127"/>
      <c r="BV146" s="127"/>
      <c r="BW146" s="127"/>
      <c r="BX146" s="127"/>
      <c r="BY146" s="127"/>
      <c r="BZ146" s="127"/>
      <c r="CA146" s="127"/>
      <c r="CB146" s="127"/>
      <c r="CC146" s="127"/>
      <c r="CD146" s="127"/>
      <c r="CE146" s="127"/>
      <c r="CF146" s="127"/>
      <c r="CG146" s="127"/>
      <c r="CH146" s="127"/>
      <c r="CI146" s="127"/>
    </row>
    <row r="147" spans="1:87" x14ac:dyDescent="0.25">
      <c r="A147" s="1"/>
      <c r="B147" s="1"/>
      <c r="F147" s="1"/>
      <c r="G147" s="1"/>
      <c r="AJ147" s="127"/>
      <c r="AK147" s="127"/>
      <c r="AL147" s="127"/>
      <c r="AM147" s="127"/>
      <c r="AN147" s="127"/>
      <c r="AO147" s="127"/>
      <c r="AP147" s="127"/>
      <c r="AQ147" s="127"/>
      <c r="AR147" s="127"/>
      <c r="AS147" s="127"/>
      <c r="AT147" s="127"/>
      <c r="AU147" s="127"/>
      <c r="AV147" s="127"/>
      <c r="AW147" s="127"/>
      <c r="AX147" s="127"/>
      <c r="AY147" s="127"/>
      <c r="AZ147" s="127"/>
      <c r="BA147" s="127"/>
      <c r="BB147" s="127"/>
      <c r="BC147" s="127"/>
      <c r="BD147" s="127"/>
      <c r="BE147" s="127"/>
      <c r="BF147" s="127"/>
      <c r="BG147" s="127"/>
      <c r="BH147" s="127"/>
      <c r="BI147" s="127"/>
      <c r="BJ147" s="127"/>
      <c r="BK147" s="127"/>
      <c r="BL147" s="127"/>
      <c r="BM147" s="127"/>
      <c r="BN147" s="127"/>
      <c r="BO147" s="127"/>
      <c r="BP147" s="127"/>
      <c r="BQ147" s="127"/>
      <c r="BR147" s="127"/>
      <c r="BS147" s="127"/>
      <c r="BT147" s="127"/>
      <c r="BU147" s="127"/>
      <c r="BV147" s="127"/>
      <c r="BW147" s="127"/>
      <c r="BX147" s="127"/>
      <c r="BY147" s="127"/>
      <c r="BZ147" s="127"/>
      <c r="CA147" s="127"/>
      <c r="CB147" s="127"/>
      <c r="CC147" s="127"/>
      <c r="CD147" s="127"/>
      <c r="CE147" s="127"/>
      <c r="CF147" s="127"/>
      <c r="CG147" s="127"/>
      <c r="CH147" s="127"/>
      <c r="CI147" s="127"/>
    </row>
    <row r="148" spans="1:87" x14ac:dyDescent="0.25">
      <c r="A148" s="1"/>
      <c r="B148" s="1"/>
      <c r="F148" s="1"/>
      <c r="G148" s="1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7"/>
      <c r="BC148" s="127"/>
      <c r="BD148" s="127"/>
      <c r="BE148" s="127"/>
      <c r="BF148" s="127"/>
      <c r="BG148" s="127"/>
      <c r="BH148" s="127"/>
      <c r="BI148" s="127"/>
      <c r="BJ148" s="127"/>
      <c r="BK148" s="127"/>
      <c r="BL148" s="127"/>
      <c r="BM148" s="127"/>
      <c r="BN148" s="127"/>
      <c r="BO148" s="127"/>
      <c r="BP148" s="127"/>
      <c r="BQ148" s="127"/>
      <c r="BR148" s="127"/>
      <c r="BS148" s="127"/>
      <c r="BT148" s="127"/>
      <c r="BU148" s="127"/>
      <c r="BV148" s="127"/>
      <c r="BW148" s="127"/>
      <c r="BX148" s="127"/>
      <c r="BY148" s="127"/>
      <c r="BZ148" s="127"/>
      <c r="CA148" s="127"/>
      <c r="CB148" s="127"/>
      <c r="CC148" s="127"/>
      <c r="CD148" s="127"/>
      <c r="CE148" s="127"/>
      <c r="CF148" s="127"/>
      <c r="CG148" s="127"/>
      <c r="CH148" s="127"/>
      <c r="CI148" s="127"/>
    </row>
    <row r="149" spans="1:87" x14ac:dyDescent="0.25">
      <c r="A149" s="1"/>
      <c r="B149" s="1"/>
      <c r="F149" s="1"/>
      <c r="G149" s="1"/>
      <c r="AJ149" s="127"/>
      <c r="AK149" s="127"/>
      <c r="AL149" s="127"/>
      <c r="AM149" s="127"/>
      <c r="AN149" s="127"/>
      <c r="AO149" s="127"/>
      <c r="AP149" s="127"/>
      <c r="AQ149" s="127"/>
      <c r="AR149" s="127"/>
      <c r="AS149" s="127"/>
      <c r="AT149" s="127"/>
      <c r="AU149" s="127"/>
      <c r="AV149" s="127"/>
      <c r="AW149" s="127"/>
      <c r="AX149" s="127"/>
      <c r="AY149" s="127"/>
      <c r="AZ149" s="127"/>
      <c r="BA149" s="127"/>
      <c r="BB149" s="127"/>
      <c r="BC149" s="127"/>
      <c r="BD149" s="127"/>
      <c r="BE149" s="127"/>
      <c r="BF149" s="127"/>
      <c r="BG149" s="127"/>
      <c r="BH149" s="127"/>
      <c r="BI149" s="127"/>
      <c r="BJ149" s="127"/>
      <c r="BK149" s="127"/>
      <c r="BL149" s="127"/>
      <c r="BM149" s="127"/>
      <c r="BN149" s="127"/>
      <c r="BO149" s="127"/>
      <c r="BP149" s="127"/>
      <c r="BQ149" s="127"/>
      <c r="BR149" s="127"/>
      <c r="BS149" s="127"/>
      <c r="BT149" s="127"/>
      <c r="BU149" s="127"/>
      <c r="BV149" s="127"/>
      <c r="BW149" s="127"/>
      <c r="BX149" s="127"/>
      <c r="BY149" s="127"/>
      <c r="BZ149" s="127"/>
      <c r="CA149" s="127"/>
      <c r="CB149" s="127"/>
      <c r="CC149" s="127"/>
      <c r="CD149" s="127"/>
      <c r="CE149" s="127"/>
      <c r="CF149" s="127"/>
      <c r="CG149" s="127"/>
      <c r="CH149" s="127"/>
      <c r="CI149" s="127"/>
    </row>
    <row r="150" spans="1:87" x14ac:dyDescent="0.25">
      <c r="A150" s="1"/>
      <c r="B150" s="1"/>
      <c r="F150" s="1"/>
      <c r="G150" s="1"/>
      <c r="AJ150" s="127"/>
      <c r="AK150" s="127"/>
      <c r="AL150" s="127"/>
      <c r="AM150" s="127"/>
      <c r="AN150" s="127"/>
      <c r="AO150" s="127"/>
      <c r="AP150" s="127"/>
      <c r="AQ150" s="127"/>
      <c r="AR150" s="127"/>
      <c r="AS150" s="127"/>
      <c r="AT150" s="127"/>
      <c r="AU150" s="127"/>
      <c r="AV150" s="127"/>
      <c r="AW150" s="127"/>
      <c r="AX150" s="127"/>
      <c r="AY150" s="127"/>
      <c r="AZ150" s="127"/>
      <c r="BA150" s="127"/>
      <c r="BB150" s="127"/>
      <c r="BC150" s="127"/>
      <c r="BD150" s="127"/>
      <c r="BE150" s="127"/>
      <c r="BF150" s="127"/>
      <c r="BG150" s="127"/>
      <c r="BH150" s="127"/>
      <c r="BI150" s="127"/>
      <c r="BJ150" s="127"/>
      <c r="BK150" s="127"/>
      <c r="BL150" s="127"/>
      <c r="BM150" s="127"/>
      <c r="BN150" s="127"/>
      <c r="BO150" s="127"/>
      <c r="BP150" s="127"/>
      <c r="BQ150" s="127"/>
      <c r="BR150" s="127"/>
      <c r="BS150" s="127"/>
      <c r="BT150" s="127"/>
      <c r="BU150" s="127"/>
      <c r="BV150" s="127"/>
      <c r="BW150" s="127"/>
      <c r="BX150" s="127"/>
      <c r="BY150" s="127"/>
      <c r="BZ150" s="127"/>
      <c r="CA150" s="127"/>
      <c r="CB150" s="127"/>
      <c r="CC150" s="127"/>
      <c r="CD150" s="127"/>
      <c r="CE150" s="127"/>
      <c r="CF150" s="127"/>
      <c r="CG150" s="127"/>
      <c r="CH150" s="127"/>
      <c r="CI150" s="127"/>
    </row>
    <row r="151" spans="1:87" x14ac:dyDescent="0.25">
      <c r="A151" s="1"/>
      <c r="B151" s="1"/>
      <c r="F151" s="1"/>
      <c r="G151" s="1"/>
      <c r="AJ151" s="127"/>
      <c r="AK151" s="127"/>
      <c r="AL151" s="127"/>
      <c r="AM151" s="127"/>
      <c r="AN151" s="127"/>
      <c r="AO151" s="127"/>
      <c r="AP151" s="127"/>
      <c r="AQ151" s="127"/>
      <c r="AR151" s="127"/>
      <c r="AS151" s="127"/>
      <c r="AT151" s="127"/>
      <c r="AU151" s="127"/>
      <c r="AV151" s="127"/>
      <c r="AW151" s="127"/>
      <c r="AX151" s="127"/>
      <c r="AY151" s="127"/>
      <c r="AZ151" s="127"/>
      <c r="BA151" s="127"/>
      <c r="BB151" s="127"/>
      <c r="BC151" s="127"/>
      <c r="BD151" s="127"/>
      <c r="BE151" s="127"/>
      <c r="BF151" s="127"/>
      <c r="BG151" s="127"/>
      <c r="BH151" s="127"/>
      <c r="BI151" s="127"/>
      <c r="BJ151" s="127"/>
      <c r="BK151" s="127"/>
      <c r="BL151" s="127"/>
      <c r="BM151" s="127"/>
      <c r="BN151" s="127"/>
      <c r="BO151" s="127"/>
      <c r="BP151" s="127"/>
      <c r="BQ151" s="127"/>
      <c r="BR151" s="127"/>
      <c r="BS151" s="127"/>
      <c r="BT151" s="127"/>
      <c r="BU151" s="127"/>
      <c r="BV151" s="127"/>
      <c r="BW151" s="127"/>
      <c r="BX151" s="127"/>
      <c r="BY151" s="127"/>
      <c r="BZ151" s="127"/>
      <c r="CA151" s="127"/>
      <c r="CB151" s="127"/>
      <c r="CC151" s="127"/>
      <c r="CD151" s="127"/>
      <c r="CE151" s="127"/>
      <c r="CF151" s="127"/>
      <c r="CG151" s="127"/>
      <c r="CH151" s="127"/>
      <c r="CI151" s="127"/>
    </row>
    <row r="152" spans="1:87" x14ac:dyDescent="0.25">
      <c r="A152" s="1"/>
      <c r="B152" s="1"/>
      <c r="F152" s="1"/>
      <c r="G152" s="1"/>
      <c r="AJ152" s="127"/>
      <c r="AK152" s="127"/>
      <c r="AL152" s="127"/>
      <c r="AM152" s="127"/>
      <c r="AN152" s="127"/>
      <c r="AO152" s="127"/>
      <c r="AP152" s="127"/>
      <c r="AQ152" s="127"/>
      <c r="AR152" s="127"/>
      <c r="AS152" s="127"/>
      <c r="AT152" s="127"/>
      <c r="AU152" s="127"/>
      <c r="AV152" s="127"/>
      <c r="AW152" s="127"/>
      <c r="AX152" s="127"/>
      <c r="AY152" s="127"/>
      <c r="AZ152" s="127"/>
      <c r="BA152" s="127"/>
      <c r="BB152" s="127"/>
      <c r="BC152" s="127"/>
      <c r="BD152" s="127"/>
      <c r="BE152" s="127"/>
      <c r="BF152" s="127"/>
      <c r="BG152" s="127"/>
      <c r="BH152" s="127"/>
      <c r="BI152" s="127"/>
      <c r="BJ152" s="127"/>
      <c r="BK152" s="127"/>
      <c r="BL152" s="127"/>
      <c r="BM152" s="127"/>
      <c r="BN152" s="127"/>
      <c r="BO152" s="127"/>
      <c r="BP152" s="127"/>
      <c r="BQ152" s="127"/>
      <c r="BR152" s="127"/>
      <c r="BS152" s="127"/>
      <c r="BT152" s="127"/>
      <c r="BU152" s="127"/>
      <c r="BV152" s="127"/>
      <c r="BW152" s="127"/>
      <c r="BX152" s="127"/>
      <c r="BY152" s="127"/>
      <c r="BZ152" s="127"/>
      <c r="CA152" s="127"/>
      <c r="CB152" s="127"/>
      <c r="CC152" s="127"/>
      <c r="CD152" s="127"/>
      <c r="CE152" s="127"/>
      <c r="CF152" s="127"/>
      <c r="CG152" s="127"/>
      <c r="CH152" s="127"/>
      <c r="CI152" s="127"/>
    </row>
    <row r="153" spans="1:87" x14ac:dyDescent="0.25">
      <c r="A153" s="1"/>
      <c r="B153" s="1"/>
      <c r="F153" s="1"/>
      <c r="G153" s="1"/>
      <c r="AJ153" s="127"/>
      <c r="AK153" s="127"/>
      <c r="AL153" s="127"/>
      <c r="AM153" s="127"/>
      <c r="AN153" s="127"/>
      <c r="AO153" s="127"/>
      <c r="AP153" s="127"/>
      <c r="AQ153" s="127"/>
      <c r="AR153" s="127"/>
      <c r="AS153" s="127"/>
      <c r="AT153" s="127"/>
      <c r="AU153" s="127"/>
      <c r="AV153" s="127"/>
      <c r="AW153" s="127"/>
      <c r="AX153" s="127"/>
      <c r="AY153" s="127"/>
      <c r="AZ153" s="127"/>
      <c r="BA153" s="127"/>
      <c r="BB153" s="127"/>
      <c r="BC153" s="127"/>
      <c r="BD153" s="127"/>
      <c r="BE153" s="127"/>
      <c r="BF153" s="127"/>
      <c r="BG153" s="127"/>
      <c r="BH153" s="127"/>
      <c r="BI153" s="127"/>
      <c r="BJ153" s="127"/>
      <c r="BK153" s="127"/>
      <c r="BL153" s="127"/>
      <c r="BM153" s="127"/>
      <c r="BN153" s="127"/>
      <c r="BO153" s="127"/>
      <c r="BP153" s="127"/>
      <c r="BQ153" s="127"/>
      <c r="BR153" s="127"/>
      <c r="BS153" s="127"/>
      <c r="BT153" s="127"/>
      <c r="BU153" s="127"/>
      <c r="BV153" s="127"/>
      <c r="BW153" s="127"/>
      <c r="BX153" s="127"/>
      <c r="BY153" s="127"/>
      <c r="BZ153" s="127"/>
      <c r="CA153" s="127"/>
      <c r="CB153" s="127"/>
      <c r="CC153" s="127"/>
      <c r="CD153" s="127"/>
      <c r="CE153" s="127"/>
      <c r="CF153" s="127"/>
      <c r="CG153" s="127"/>
      <c r="CH153" s="127"/>
      <c r="CI153" s="127"/>
    </row>
    <row r="154" spans="1:87" x14ac:dyDescent="0.25">
      <c r="A154" s="1"/>
      <c r="B154" s="1"/>
      <c r="F154" s="1"/>
      <c r="G154" s="1"/>
      <c r="AJ154" s="127"/>
      <c r="AK154" s="127"/>
      <c r="AL154" s="127"/>
      <c r="AM154" s="127"/>
      <c r="AN154" s="127"/>
      <c r="AO154" s="127"/>
      <c r="AP154" s="127"/>
      <c r="AQ154" s="127"/>
      <c r="AR154" s="127"/>
      <c r="AS154" s="127"/>
      <c r="AT154" s="127"/>
      <c r="AU154" s="127"/>
      <c r="AV154" s="127"/>
      <c r="AW154" s="127"/>
      <c r="AX154" s="127"/>
      <c r="AY154" s="127"/>
      <c r="AZ154" s="127"/>
      <c r="BA154" s="127"/>
      <c r="BB154" s="127"/>
      <c r="BC154" s="127"/>
      <c r="BD154" s="127"/>
      <c r="BE154" s="127"/>
      <c r="BF154" s="127"/>
      <c r="BG154" s="127"/>
      <c r="BH154" s="127"/>
      <c r="BI154" s="127"/>
      <c r="BJ154" s="127"/>
      <c r="BK154" s="127"/>
      <c r="BL154" s="127"/>
      <c r="BM154" s="127"/>
      <c r="BN154" s="127"/>
      <c r="BO154" s="127"/>
      <c r="BP154" s="127"/>
      <c r="BQ154" s="127"/>
      <c r="BR154" s="127"/>
      <c r="BS154" s="127"/>
      <c r="BT154" s="127"/>
      <c r="BU154" s="127"/>
      <c r="BV154" s="127"/>
      <c r="BW154" s="127"/>
      <c r="BX154" s="127"/>
      <c r="BY154" s="127"/>
      <c r="BZ154" s="127"/>
      <c r="CA154" s="127"/>
      <c r="CB154" s="127"/>
      <c r="CC154" s="127"/>
      <c r="CD154" s="127"/>
      <c r="CE154" s="127"/>
      <c r="CF154" s="127"/>
      <c r="CG154" s="127"/>
      <c r="CH154" s="127"/>
      <c r="CI154" s="127"/>
    </row>
    <row r="155" spans="1:87" x14ac:dyDescent="0.25">
      <c r="A155" s="1"/>
      <c r="B155" s="1"/>
      <c r="F155" s="1"/>
      <c r="G155" s="1"/>
      <c r="AJ155" s="127"/>
      <c r="AK155" s="127"/>
      <c r="AL155" s="127"/>
      <c r="AM155" s="127"/>
      <c r="AN155" s="127"/>
      <c r="AO155" s="127"/>
      <c r="AP155" s="127"/>
      <c r="AQ155" s="127"/>
      <c r="AR155" s="127"/>
      <c r="AS155" s="127"/>
      <c r="AT155" s="127"/>
      <c r="AU155" s="127"/>
      <c r="AV155" s="127"/>
      <c r="AW155" s="127"/>
      <c r="AX155" s="127"/>
      <c r="AY155" s="127"/>
      <c r="AZ155" s="127"/>
      <c r="BA155" s="127"/>
      <c r="BB155" s="127"/>
      <c r="BC155" s="127"/>
      <c r="BD155" s="127"/>
      <c r="BE155" s="127"/>
      <c r="BF155" s="127"/>
      <c r="BG155" s="127"/>
      <c r="BH155" s="127"/>
      <c r="BI155" s="127"/>
      <c r="BJ155" s="127"/>
      <c r="BK155" s="127"/>
      <c r="BL155" s="127"/>
      <c r="BM155" s="127"/>
      <c r="BN155" s="127"/>
      <c r="BO155" s="127"/>
      <c r="BP155" s="127"/>
      <c r="BQ155" s="127"/>
      <c r="BR155" s="127"/>
      <c r="BS155" s="127"/>
      <c r="BT155" s="127"/>
      <c r="BU155" s="127"/>
      <c r="BV155" s="127"/>
      <c r="BW155" s="127"/>
      <c r="BX155" s="127"/>
      <c r="BY155" s="127"/>
      <c r="BZ155" s="127"/>
      <c r="CA155" s="127"/>
      <c r="CB155" s="127"/>
      <c r="CC155" s="127"/>
      <c r="CD155" s="127"/>
      <c r="CE155" s="127"/>
      <c r="CF155" s="127"/>
      <c r="CG155" s="127"/>
      <c r="CH155" s="127"/>
      <c r="CI155" s="127"/>
    </row>
    <row r="156" spans="1:87" x14ac:dyDescent="0.25">
      <c r="A156" s="1"/>
      <c r="B156" s="1"/>
      <c r="F156" s="1"/>
      <c r="G156" s="1"/>
      <c r="AJ156" s="127"/>
      <c r="AK156" s="127"/>
      <c r="AL156" s="127"/>
      <c r="AM156" s="127"/>
      <c r="AN156" s="127"/>
      <c r="AO156" s="127"/>
      <c r="AP156" s="127"/>
      <c r="AQ156" s="127"/>
      <c r="AR156" s="127"/>
      <c r="AS156" s="127"/>
      <c r="AT156" s="127"/>
      <c r="AU156" s="127"/>
      <c r="AV156" s="127"/>
      <c r="AW156" s="127"/>
      <c r="AX156" s="127"/>
      <c r="AY156" s="127"/>
      <c r="AZ156" s="127"/>
      <c r="BA156" s="127"/>
      <c r="BB156" s="127"/>
      <c r="BC156" s="127"/>
      <c r="BD156" s="127"/>
      <c r="BE156" s="127"/>
      <c r="BF156" s="127"/>
      <c r="BG156" s="127"/>
      <c r="BH156" s="127"/>
      <c r="BI156" s="127"/>
      <c r="BJ156" s="127"/>
      <c r="BK156" s="127"/>
      <c r="BL156" s="127"/>
      <c r="BM156" s="127"/>
      <c r="BN156" s="127"/>
      <c r="BO156" s="127"/>
      <c r="BP156" s="127"/>
      <c r="BQ156" s="127"/>
      <c r="BR156" s="127"/>
      <c r="BS156" s="127"/>
      <c r="BT156" s="127"/>
      <c r="BU156" s="127"/>
      <c r="BV156" s="127"/>
      <c r="BW156" s="127"/>
      <c r="BX156" s="127"/>
      <c r="BY156" s="127"/>
      <c r="BZ156" s="127"/>
      <c r="CA156" s="127"/>
      <c r="CB156" s="127"/>
      <c r="CC156" s="127"/>
      <c r="CD156" s="127"/>
      <c r="CE156" s="127"/>
      <c r="CF156" s="127"/>
      <c r="CG156" s="127"/>
      <c r="CH156" s="127"/>
      <c r="CI156" s="127"/>
    </row>
    <row r="157" spans="1:87" x14ac:dyDescent="0.25">
      <c r="A157" s="1"/>
      <c r="B157" s="1"/>
      <c r="F157" s="1"/>
      <c r="G157" s="1"/>
      <c r="AJ157" s="127"/>
      <c r="AK157" s="127"/>
      <c r="AL157" s="127"/>
      <c r="AM157" s="127"/>
      <c r="AN157" s="127"/>
      <c r="AO157" s="127"/>
      <c r="AP157" s="127"/>
      <c r="AQ157" s="127"/>
      <c r="AR157" s="127"/>
      <c r="AS157" s="127"/>
      <c r="AT157" s="127"/>
      <c r="AU157" s="127"/>
      <c r="AV157" s="127"/>
      <c r="AW157" s="127"/>
      <c r="AX157" s="127"/>
      <c r="AY157" s="127"/>
      <c r="AZ157" s="127"/>
      <c r="BA157" s="127"/>
      <c r="BB157" s="127"/>
      <c r="BC157" s="127"/>
      <c r="BD157" s="127"/>
      <c r="BE157" s="127"/>
      <c r="BF157" s="127"/>
      <c r="BG157" s="127"/>
      <c r="BH157" s="127"/>
      <c r="BI157" s="127"/>
      <c r="BJ157" s="127"/>
      <c r="BK157" s="127"/>
      <c r="BL157" s="127"/>
      <c r="BM157" s="127"/>
      <c r="BN157" s="127"/>
      <c r="BO157" s="127"/>
      <c r="BP157" s="127"/>
      <c r="BQ157" s="127"/>
      <c r="BR157" s="127"/>
      <c r="BS157" s="127"/>
      <c r="BT157" s="127"/>
      <c r="BU157" s="127"/>
      <c r="BV157" s="127"/>
      <c r="BW157" s="127"/>
      <c r="BX157" s="127"/>
      <c r="BY157" s="127"/>
      <c r="BZ157" s="127"/>
      <c r="CA157" s="127"/>
      <c r="CB157" s="127"/>
      <c r="CC157" s="127"/>
      <c r="CD157" s="127"/>
      <c r="CE157" s="127"/>
      <c r="CF157" s="127"/>
      <c r="CG157" s="127"/>
      <c r="CH157" s="127"/>
      <c r="CI157" s="127"/>
    </row>
    <row r="158" spans="1:87" x14ac:dyDescent="0.25">
      <c r="A158" s="1"/>
      <c r="B158" s="1"/>
      <c r="F158" s="1"/>
      <c r="G158" s="1"/>
      <c r="AJ158" s="127"/>
      <c r="AK158" s="127"/>
      <c r="AL158" s="127"/>
      <c r="AM158" s="127"/>
      <c r="AN158" s="127"/>
      <c r="AO158" s="127"/>
      <c r="AP158" s="127"/>
      <c r="AQ158" s="127"/>
      <c r="AR158" s="127"/>
      <c r="AS158" s="127"/>
      <c r="AT158" s="127"/>
      <c r="AU158" s="127"/>
      <c r="AV158" s="127"/>
      <c r="AW158" s="127"/>
      <c r="AX158" s="127"/>
      <c r="AY158" s="127"/>
      <c r="AZ158" s="127"/>
      <c r="BA158" s="127"/>
      <c r="BB158" s="127"/>
      <c r="BC158" s="127"/>
      <c r="BD158" s="127"/>
      <c r="BE158" s="127"/>
      <c r="BF158" s="127"/>
      <c r="BG158" s="127"/>
      <c r="BH158" s="127"/>
      <c r="BI158" s="127"/>
      <c r="BJ158" s="127"/>
      <c r="BK158" s="127"/>
      <c r="BL158" s="127"/>
      <c r="BM158" s="127"/>
      <c r="BN158" s="127"/>
      <c r="BO158" s="127"/>
      <c r="BP158" s="127"/>
      <c r="BQ158" s="127"/>
      <c r="BR158" s="127"/>
      <c r="BS158" s="127"/>
      <c r="BT158" s="127"/>
      <c r="BU158" s="127"/>
      <c r="BV158" s="127"/>
      <c r="BW158" s="127"/>
      <c r="BX158" s="127"/>
      <c r="BY158" s="127"/>
      <c r="BZ158" s="127"/>
      <c r="CA158" s="127"/>
      <c r="CB158" s="127"/>
      <c r="CC158" s="127"/>
      <c r="CD158" s="127"/>
      <c r="CE158" s="127"/>
      <c r="CF158" s="127"/>
      <c r="CG158" s="127"/>
      <c r="CH158" s="127"/>
      <c r="CI158" s="127"/>
    </row>
    <row r="159" spans="1:87" x14ac:dyDescent="0.25">
      <c r="A159" s="1"/>
      <c r="B159" s="1"/>
      <c r="F159" s="1"/>
      <c r="G159" s="1"/>
      <c r="AJ159" s="127"/>
      <c r="AK159" s="127"/>
      <c r="AL159" s="127"/>
      <c r="AM159" s="127"/>
      <c r="AN159" s="127"/>
      <c r="AO159" s="127"/>
      <c r="AP159" s="127"/>
      <c r="AQ159" s="127"/>
      <c r="AR159" s="127"/>
      <c r="AS159" s="127"/>
      <c r="AT159" s="127"/>
      <c r="AU159" s="127"/>
      <c r="AV159" s="127"/>
      <c r="AW159" s="127"/>
      <c r="AX159" s="127"/>
      <c r="AY159" s="127"/>
      <c r="AZ159" s="127"/>
      <c r="BA159" s="127"/>
      <c r="BB159" s="127"/>
      <c r="BC159" s="127"/>
      <c r="BD159" s="127"/>
      <c r="BE159" s="127"/>
      <c r="BF159" s="127"/>
      <c r="BG159" s="127"/>
      <c r="BH159" s="127"/>
      <c r="BI159" s="127"/>
      <c r="BJ159" s="127"/>
      <c r="BK159" s="127"/>
      <c r="BL159" s="127"/>
      <c r="BM159" s="127"/>
      <c r="BN159" s="127"/>
      <c r="BO159" s="127"/>
      <c r="BP159" s="127"/>
      <c r="BQ159" s="127"/>
      <c r="BR159" s="127"/>
      <c r="BS159" s="127"/>
      <c r="BT159" s="127"/>
      <c r="BU159" s="127"/>
      <c r="BV159" s="127"/>
      <c r="BW159" s="127"/>
      <c r="BX159" s="127"/>
      <c r="BY159" s="127"/>
      <c r="BZ159" s="127"/>
      <c r="CA159" s="127"/>
      <c r="CB159" s="127"/>
      <c r="CC159" s="127"/>
      <c r="CD159" s="127"/>
      <c r="CE159" s="127"/>
      <c r="CF159" s="127"/>
      <c r="CG159" s="127"/>
      <c r="CH159" s="127"/>
      <c r="CI159" s="127"/>
    </row>
    <row r="160" spans="1:87" x14ac:dyDescent="0.25">
      <c r="A160" s="1"/>
      <c r="B160" s="1"/>
      <c r="F160" s="1"/>
      <c r="G160" s="1"/>
      <c r="AJ160" s="127"/>
      <c r="AK160" s="127"/>
      <c r="AL160" s="127"/>
      <c r="AM160" s="127"/>
      <c r="AN160" s="127"/>
      <c r="AO160" s="127"/>
      <c r="AP160" s="127"/>
      <c r="AQ160" s="127"/>
      <c r="AR160" s="127"/>
      <c r="AS160" s="127"/>
      <c r="AT160" s="127"/>
      <c r="AU160" s="127"/>
      <c r="AV160" s="127"/>
      <c r="AW160" s="127"/>
      <c r="AX160" s="127"/>
      <c r="AY160" s="127"/>
      <c r="AZ160" s="127"/>
      <c r="BA160" s="127"/>
      <c r="BB160" s="127"/>
      <c r="BC160" s="127"/>
      <c r="BD160" s="127"/>
      <c r="BE160" s="127"/>
      <c r="BF160" s="127"/>
      <c r="BG160" s="127"/>
      <c r="BH160" s="127"/>
      <c r="BI160" s="127"/>
      <c r="BJ160" s="127"/>
      <c r="BK160" s="127"/>
      <c r="BL160" s="127"/>
      <c r="BM160" s="127"/>
      <c r="BN160" s="127"/>
      <c r="BO160" s="127"/>
      <c r="BP160" s="127"/>
      <c r="BQ160" s="127"/>
      <c r="BR160" s="127"/>
      <c r="BS160" s="127"/>
      <c r="BT160" s="127"/>
      <c r="BU160" s="127"/>
      <c r="BV160" s="127"/>
      <c r="BW160" s="127"/>
      <c r="BX160" s="127"/>
      <c r="BY160" s="127"/>
      <c r="BZ160" s="127"/>
      <c r="CA160" s="127"/>
      <c r="CB160" s="127"/>
      <c r="CC160" s="127"/>
      <c r="CD160" s="127"/>
      <c r="CE160" s="127"/>
      <c r="CF160" s="127"/>
      <c r="CG160" s="127"/>
      <c r="CH160" s="127"/>
      <c r="CI160" s="127"/>
    </row>
    <row r="161" spans="1:87" x14ac:dyDescent="0.25">
      <c r="A161" s="1"/>
      <c r="B161" s="1"/>
      <c r="F161" s="1"/>
      <c r="G161" s="1"/>
      <c r="AJ161" s="127"/>
      <c r="AK161" s="127"/>
      <c r="AL161" s="127"/>
      <c r="AM161" s="127"/>
      <c r="AN161" s="127"/>
      <c r="AO161" s="127"/>
      <c r="AP161" s="127"/>
      <c r="AQ161" s="127"/>
      <c r="AR161" s="127"/>
      <c r="AS161" s="127"/>
      <c r="AT161" s="127"/>
      <c r="AU161" s="127"/>
      <c r="AV161" s="127"/>
      <c r="AW161" s="127"/>
      <c r="AX161" s="127"/>
      <c r="AY161" s="127"/>
      <c r="AZ161" s="127"/>
      <c r="BA161" s="127"/>
      <c r="BB161" s="127"/>
      <c r="BC161" s="127"/>
      <c r="BD161" s="127"/>
      <c r="BE161" s="127"/>
      <c r="BF161" s="127"/>
      <c r="BG161" s="127"/>
      <c r="BH161" s="127"/>
      <c r="BI161" s="127"/>
      <c r="BJ161" s="127"/>
      <c r="BK161" s="127"/>
      <c r="BL161" s="127"/>
      <c r="BM161" s="127"/>
      <c r="BN161" s="127"/>
      <c r="BO161" s="127"/>
      <c r="BP161" s="127"/>
      <c r="BQ161" s="127"/>
      <c r="BR161" s="127"/>
      <c r="BS161" s="127"/>
      <c r="BT161" s="127"/>
      <c r="BU161" s="127"/>
      <c r="BV161" s="127"/>
      <c r="BW161" s="127"/>
      <c r="BX161" s="127"/>
      <c r="BY161" s="127"/>
      <c r="BZ161" s="127"/>
      <c r="CA161" s="127"/>
      <c r="CB161" s="127"/>
      <c r="CC161" s="127"/>
      <c r="CD161" s="127"/>
      <c r="CE161" s="127"/>
      <c r="CF161" s="127"/>
      <c r="CG161" s="127"/>
      <c r="CH161" s="127"/>
      <c r="CI161" s="127"/>
    </row>
    <row r="162" spans="1:87" x14ac:dyDescent="0.25">
      <c r="A162" s="1"/>
      <c r="B162" s="1"/>
      <c r="F162" s="1"/>
      <c r="G162" s="1"/>
      <c r="AJ162" s="127"/>
      <c r="AK162" s="127"/>
      <c r="AL162" s="127"/>
      <c r="AM162" s="127"/>
      <c r="AN162" s="127"/>
      <c r="AO162" s="127"/>
      <c r="AP162" s="127"/>
      <c r="AQ162" s="127"/>
      <c r="AR162" s="127"/>
      <c r="AS162" s="127"/>
      <c r="AT162" s="127"/>
      <c r="AU162" s="127"/>
      <c r="AV162" s="127"/>
      <c r="AW162" s="127"/>
      <c r="AX162" s="127"/>
      <c r="AY162" s="127"/>
      <c r="AZ162" s="127"/>
      <c r="BA162" s="127"/>
      <c r="BB162" s="127"/>
      <c r="BC162" s="127"/>
      <c r="BD162" s="127"/>
      <c r="BE162" s="127"/>
      <c r="BF162" s="127"/>
      <c r="BG162" s="127"/>
      <c r="BH162" s="127"/>
      <c r="BI162" s="127"/>
      <c r="BJ162" s="127"/>
      <c r="BK162" s="127"/>
      <c r="BL162" s="127"/>
      <c r="BM162" s="127"/>
      <c r="BN162" s="127"/>
      <c r="BO162" s="127"/>
      <c r="BP162" s="127"/>
      <c r="BQ162" s="127"/>
      <c r="BR162" s="127"/>
      <c r="BS162" s="127"/>
      <c r="BT162" s="127"/>
      <c r="BU162" s="127"/>
      <c r="BV162" s="127"/>
      <c r="BW162" s="127"/>
      <c r="BX162" s="127"/>
      <c r="BY162" s="127"/>
      <c r="BZ162" s="127"/>
      <c r="CA162" s="127"/>
      <c r="CB162" s="127"/>
      <c r="CC162" s="127"/>
      <c r="CD162" s="127"/>
      <c r="CE162" s="127"/>
      <c r="CF162" s="127"/>
      <c r="CG162" s="127"/>
      <c r="CH162" s="127"/>
      <c r="CI162" s="127"/>
    </row>
    <row r="163" spans="1:87" x14ac:dyDescent="0.25">
      <c r="A163" s="1"/>
      <c r="B163" s="1"/>
      <c r="F163" s="1"/>
      <c r="G163" s="1"/>
      <c r="AJ163" s="127"/>
      <c r="AK163" s="127"/>
      <c r="AL163" s="127"/>
      <c r="AM163" s="127"/>
      <c r="AN163" s="127"/>
      <c r="AO163" s="127"/>
      <c r="AP163" s="127"/>
      <c r="AQ163" s="127"/>
      <c r="AR163" s="127"/>
      <c r="AS163" s="127"/>
      <c r="AT163" s="127"/>
      <c r="AU163" s="127"/>
      <c r="AV163" s="127"/>
      <c r="AW163" s="127"/>
      <c r="AX163" s="127"/>
      <c r="AY163" s="127"/>
      <c r="AZ163" s="127"/>
      <c r="BA163" s="127"/>
      <c r="BB163" s="127"/>
      <c r="BC163" s="127"/>
      <c r="BD163" s="127"/>
      <c r="BE163" s="127"/>
      <c r="BF163" s="127"/>
      <c r="BG163" s="127"/>
      <c r="BH163" s="127"/>
      <c r="BI163" s="127"/>
      <c r="BJ163" s="127"/>
      <c r="BK163" s="127"/>
      <c r="BL163" s="127"/>
      <c r="BM163" s="127"/>
      <c r="BN163" s="127"/>
      <c r="BO163" s="127"/>
      <c r="BP163" s="127"/>
      <c r="BQ163" s="127"/>
      <c r="BR163" s="127"/>
      <c r="BS163" s="127"/>
      <c r="BT163" s="127"/>
      <c r="BU163" s="127"/>
      <c r="BV163" s="127"/>
      <c r="BW163" s="127"/>
      <c r="BX163" s="127"/>
      <c r="BY163" s="127"/>
      <c r="BZ163" s="127"/>
      <c r="CA163" s="127"/>
      <c r="CB163" s="127"/>
      <c r="CC163" s="127"/>
      <c r="CD163" s="127"/>
      <c r="CE163" s="127"/>
      <c r="CF163" s="127"/>
      <c r="CG163" s="127"/>
      <c r="CH163" s="127"/>
      <c r="CI163" s="127"/>
    </row>
    <row r="164" spans="1:87" x14ac:dyDescent="0.25">
      <c r="A164" s="1"/>
      <c r="B164" s="1"/>
      <c r="F164" s="1"/>
      <c r="G164" s="1"/>
      <c r="AJ164" s="127"/>
      <c r="AK164" s="127"/>
      <c r="AL164" s="127"/>
      <c r="AM164" s="127"/>
      <c r="AN164" s="127"/>
      <c r="AO164" s="127"/>
      <c r="AP164" s="127"/>
      <c r="AQ164" s="127"/>
      <c r="AR164" s="127"/>
      <c r="AS164" s="127"/>
      <c r="AT164" s="127"/>
      <c r="AU164" s="127"/>
      <c r="AV164" s="127"/>
      <c r="AW164" s="127"/>
      <c r="AX164" s="127"/>
      <c r="AY164" s="127"/>
      <c r="AZ164" s="127"/>
      <c r="BA164" s="127"/>
      <c r="BB164" s="127"/>
      <c r="BC164" s="127"/>
      <c r="BD164" s="127"/>
      <c r="BE164" s="127"/>
      <c r="BF164" s="127"/>
      <c r="BG164" s="127"/>
      <c r="BH164" s="127"/>
      <c r="BI164" s="127"/>
      <c r="BJ164" s="127"/>
      <c r="BK164" s="127"/>
      <c r="BL164" s="127"/>
      <c r="BM164" s="127"/>
      <c r="BN164" s="127"/>
      <c r="BO164" s="127"/>
      <c r="BP164" s="127"/>
      <c r="BQ164" s="127"/>
      <c r="BR164" s="127"/>
      <c r="BS164" s="127"/>
      <c r="BT164" s="127"/>
      <c r="BU164" s="127"/>
      <c r="BV164" s="127"/>
      <c r="BW164" s="127"/>
      <c r="BX164" s="127"/>
      <c r="BY164" s="127"/>
      <c r="BZ164" s="127"/>
      <c r="CA164" s="127"/>
      <c r="CB164" s="127"/>
      <c r="CC164" s="127"/>
      <c r="CD164" s="127"/>
      <c r="CE164" s="127"/>
      <c r="CF164" s="127"/>
      <c r="CG164" s="127"/>
      <c r="CH164" s="127"/>
      <c r="CI164" s="127"/>
    </row>
    <row r="165" spans="1:87" x14ac:dyDescent="0.25">
      <c r="A165" s="1"/>
      <c r="B165" s="1"/>
      <c r="F165" s="1"/>
      <c r="G165" s="1"/>
      <c r="AJ165" s="127"/>
      <c r="AK165" s="127"/>
      <c r="AL165" s="127"/>
      <c r="AM165" s="127"/>
      <c r="AN165" s="127"/>
      <c r="AO165" s="127"/>
      <c r="AP165" s="127"/>
      <c r="AQ165" s="127"/>
      <c r="AR165" s="127"/>
      <c r="AS165" s="127"/>
      <c r="AT165" s="127"/>
      <c r="AU165" s="127"/>
      <c r="AV165" s="127"/>
      <c r="AW165" s="127"/>
      <c r="AX165" s="127"/>
      <c r="AY165" s="127"/>
      <c r="AZ165" s="127"/>
      <c r="BA165" s="127"/>
      <c r="BB165" s="127"/>
      <c r="BC165" s="127"/>
      <c r="BD165" s="127"/>
      <c r="BE165" s="127"/>
      <c r="BF165" s="127"/>
      <c r="BG165" s="127"/>
      <c r="BH165" s="127"/>
      <c r="BI165" s="127"/>
      <c r="BJ165" s="127"/>
      <c r="BK165" s="127"/>
      <c r="BL165" s="127"/>
      <c r="BM165" s="127"/>
      <c r="BN165" s="127"/>
      <c r="BO165" s="127"/>
      <c r="BP165" s="127"/>
      <c r="BQ165" s="127"/>
      <c r="BR165" s="127"/>
      <c r="BS165" s="127"/>
      <c r="BT165" s="127"/>
      <c r="BU165" s="127"/>
      <c r="BV165" s="127"/>
      <c r="BW165" s="127"/>
      <c r="BX165" s="127"/>
      <c r="BY165" s="127"/>
      <c r="BZ165" s="127"/>
      <c r="CA165" s="127"/>
      <c r="CB165" s="127"/>
      <c r="CC165" s="127"/>
      <c r="CD165" s="127"/>
      <c r="CE165" s="127"/>
      <c r="CF165" s="127"/>
      <c r="CG165" s="127"/>
      <c r="CH165" s="127"/>
      <c r="CI165" s="127"/>
    </row>
    <row r="166" spans="1:87" x14ac:dyDescent="0.25">
      <c r="A166" s="1"/>
      <c r="B166" s="1"/>
      <c r="F166" s="1"/>
      <c r="G166" s="1"/>
      <c r="AJ166" s="127"/>
      <c r="AK166" s="127"/>
      <c r="AL166" s="127"/>
      <c r="AM166" s="127"/>
      <c r="AN166" s="127"/>
      <c r="AO166" s="127"/>
      <c r="AP166" s="127"/>
      <c r="AQ166" s="127"/>
      <c r="AR166" s="127"/>
      <c r="AS166" s="127"/>
      <c r="AT166" s="127"/>
      <c r="AU166" s="127"/>
      <c r="AV166" s="127"/>
      <c r="AW166" s="127"/>
      <c r="AX166" s="127"/>
      <c r="AY166" s="127"/>
      <c r="AZ166" s="127"/>
      <c r="BA166" s="127"/>
      <c r="BB166" s="127"/>
      <c r="BC166" s="127"/>
      <c r="BD166" s="127"/>
      <c r="BE166" s="127"/>
      <c r="BF166" s="127"/>
      <c r="BG166" s="127"/>
      <c r="BH166" s="127"/>
      <c r="BI166" s="127"/>
      <c r="BJ166" s="127"/>
      <c r="BK166" s="127"/>
      <c r="BL166" s="127"/>
      <c r="BM166" s="127"/>
      <c r="BN166" s="127"/>
      <c r="BO166" s="127"/>
      <c r="BP166" s="127"/>
      <c r="BQ166" s="127"/>
      <c r="BR166" s="127"/>
      <c r="BS166" s="127"/>
      <c r="BT166" s="127"/>
      <c r="BU166" s="127"/>
      <c r="BV166" s="127"/>
      <c r="BW166" s="127"/>
      <c r="BX166" s="127"/>
      <c r="BY166" s="127"/>
      <c r="BZ166" s="127"/>
      <c r="CA166" s="127"/>
      <c r="CB166" s="127"/>
      <c r="CC166" s="127"/>
      <c r="CD166" s="127"/>
      <c r="CE166" s="127"/>
      <c r="CF166" s="127"/>
      <c r="CG166" s="127"/>
      <c r="CH166" s="127"/>
      <c r="CI166" s="127"/>
    </row>
    <row r="167" spans="1:87" x14ac:dyDescent="0.25">
      <c r="A167" s="1"/>
      <c r="B167" s="1"/>
      <c r="F167" s="1"/>
      <c r="G167" s="1"/>
      <c r="AJ167" s="127"/>
      <c r="AK167" s="127"/>
      <c r="AL167" s="127"/>
      <c r="AM167" s="127"/>
      <c r="AN167" s="127"/>
      <c r="AO167" s="127"/>
      <c r="AP167" s="127"/>
      <c r="AQ167" s="127"/>
      <c r="AR167" s="127"/>
      <c r="AS167" s="127"/>
      <c r="AT167" s="127"/>
      <c r="AU167" s="127"/>
      <c r="AV167" s="127"/>
      <c r="AW167" s="127"/>
      <c r="AX167" s="127"/>
      <c r="AY167" s="127"/>
      <c r="AZ167" s="127"/>
      <c r="BA167" s="127"/>
      <c r="BB167" s="127"/>
      <c r="BC167" s="127"/>
      <c r="BD167" s="127"/>
      <c r="BE167" s="127"/>
      <c r="BF167" s="127"/>
      <c r="BG167" s="127"/>
      <c r="BH167" s="127"/>
      <c r="BI167" s="127"/>
      <c r="BJ167" s="127"/>
      <c r="BK167" s="127"/>
      <c r="BL167" s="127"/>
      <c r="BM167" s="127"/>
      <c r="BN167" s="127"/>
      <c r="BO167" s="127"/>
      <c r="BP167" s="127"/>
      <c r="BQ167" s="127"/>
      <c r="BR167" s="127"/>
      <c r="BS167" s="127"/>
      <c r="BT167" s="127"/>
      <c r="BU167" s="127"/>
      <c r="BV167" s="127"/>
      <c r="BW167" s="127"/>
      <c r="BX167" s="127"/>
      <c r="BY167" s="127"/>
      <c r="BZ167" s="127"/>
      <c r="CA167" s="127"/>
      <c r="CB167" s="127"/>
      <c r="CC167" s="127"/>
      <c r="CD167" s="127"/>
      <c r="CE167" s="127"/>
      <c r="CF167" s="127"/>
      <c r="CG167" s="127"/>
      <c r="CH167" s="127"/>
      <c r="CI167" s="127"/>
    </row>
    <row r="168" spans="1:87" x14ac:dyDescent="0.25">
      <c r="A168" s="1"/>
      <c r="B168" s="1"/>
      <c r="F168" s="1"/>
      <c r="G168" s="1"/>
      <c r="AJ168" s="127"/>
      <c r="AK168" s="127"/>
      <c r="AL168" s="127"/>
      <c r="AM168" s="127"/>
      <c r="AN168" s="127"/>
      <c r="AO168" s="127"/>
      <c r="AP168" s="127"/>
      <c r="AQ168" s="127"/>
      <c r="AR168" s="127"/>
      <c r="AS168" s="127"/>
      <c r="AT168" s="127"/>
      <c r="AU168" s="127"/>
      <c r="AV168" s="127"/>
      <c r="AW168" s="127"/>
      <c r="AX168" s="127"/>
      <c r="AY168" s="127"/>
      <c r="AZ168" s="127"/>
      <c r="BA168" s="127"/>
      <c r="BB168" s="127"/>
      <c r="BC168" s="127"/>
      <c r="BD168" s="127"/>
      <c r="BE168" s="127"/>
      <c r="BF168" s="127"/>
      <c r="BG168" s="127"/>
      <c r="BH168" s="127"/>
      <c r="BI168" s="127"/>
      <c r="BJ168" s="127"/>
      <c r="BK168" s="127"/>
      <c r="BL168" s="127"/>
      <c r="BM168" s="127"/>
      <c r="BN168" s="127"/>
      <c r="BO168" s="127"/>
      <c r="BP168" s="127"/>
      <c r="BQ168" s="127"/>
      <c r="BR168" s="127"/>
      <c r="BS168" s="127"/>
      <c r="BT168" s="127"/>
      <c r="BU168" s="127"/>
      <c r="BV168" s="127"/>
      <c r="BW168" s="127"/>
      <c r="BX168" s="127"/>
      <c r="BY168" s="127"/>
      <c r="BZ168" s="127"/>
      <c r="CA168" s="127"/>
      <c r="CB168" s="127"/>
      <c r="CC168" s="127"/>
      <c r="CD168" s="127"/>
      <c r="CE168" s="127"/>
      <c r="CF168" s="127"/>
      <c r="CG168" s="127"/>
      <c r="CH168" s="127"/>
      <c r="CI168" s="127"/>
    </row>
    <row r="169" spans="1:87" x14ac:dyDescent="0.25">
      <c r="A169" s="1"/>
      <c r="B169" s="1"/>
      <c r="F169" s="1"/>
      <c r="G169" s="1"/>
      <c r="AJ169" s="127"/>
      <c r="AK169" s="127"/>
      <c r="AL169" s="127"/>
      <c r="AM169" s="127"/>
      <c r="AN169" s="127"/>
      <c r="AO169" s="127"/>
      <c r="AP169" s="127"/>
      <c r="AQ169" s="127"/>
      <c r="AR169" s="127"/>
      <c r="AS169" s="127"/>
      <c r="AT169" s="127"/>
      <c r="AU169" s="127"/>
      <c r="AV169" s="127"/>
      <c r="AW169" s="127"/>
      <c r="AX169" s="127"/>
      <c r="AY169" s="127"/>
      <c r="AZ169" s="127"/>
      <c r="BA169" s="127"/>
      <c r="BB169" s="127"/>
      <c r="BC169" s="127"/>
      <c r="BD169" s="127"/>
      <c r="BE169" s="127"/>
      <c r="BF169" s="127"/>
      <c r="BG169" s="127"/>
      <c r="BH169" s="127"/>
      <c r="BI169" s="127"/>
      <c r="BJ169" s="127"/>
      <c r="BK169" s="127"/>
      <c r="BL169" s="127"/>
      <c r="BM169" s="127"/>
      <c r="BN169" s="127"/>
      <c r="BO169" s="127"/>
      <c r="BP169" s="127"/>
      <c r="BQ169" s="127"/>
      <c r="BR169" s="127"/>
      <c r="BS169" s="127"/>
      <c r="BT169" s="127"/>
      <c r="BU169" s="127"/>
      <c r="BV169" s="127"/>
      <c r="BW169" s="127"/>
      <c r="BX169" s="127"/>
      <c r="BY169" s="127"/>
      <c r="BZ169" s="127"/>
      <c r="CA169" s="127"/>
      <c r="CB169" s="127"/>
      <c r="CC169" s="127"/>
      <c r="CD169" s="127"/>
      <c r="CE169" s="127"/>
      <c r="CF169" s="127"/>
      <c r="CG169" s="127"/>
      <c r="CH169" s="127"/>
      <c r="CI169" s="127"/>
    </row>
    <row r="170" spans="1:87" x14ac:dyDescent="0.25">
      <c r="A170" s="1"/>
      <c r="B170" s="1"/>
      <c r="F170" s="1"/>
      <c r="G170" s="1"/>
      <c r="AJ170" s="127"/>
      <c r="AK170" s="127"/>
      <c r="AL170" s="127"/>
      <c r="AM170" s="127"/>
      <c r="AN170" s="127"/>
      <c r="AO170" s="127"/>
      <c r="AP170" s="127"/>
      <c r="AQ170" s="127"/>
      <c r="AR170" s="127"/>
      <c r="AS170" s="127"/>
      <c r="AT170" s="127"/>
      <c r="AU170" s="127"/>
      <c r="AV170" s="127"/>
      <c r="AW170" s="127"/>
      <c r="AX170" s="127"/>
      <c r="AY170" s="127"/>
      <c r="AZ170" s="127"/>
      <c r="BA170" s="127"/>
      <c r="BB170" s="127"/>
      <c r="BC170" s="127"/>
      <c r="BD170" s="127"/>
      <c r="BE170" s="127"/>
      <c r="BF170" s="127"/>
      <c r="BG170" s="127"/>
      <c r="BH170" s="127"/>
      <c r="BI170" s="127"/>
      <c r="BJ170" s="127"/>
      <c r="BK170" s="127"/>
      <c r="BL170" s="127"/>
      <c r="BM170" s="127"/>
      <c r="BN170" s="127"/>
      <c r="BO170" s="127"/>
      <c r="BP170" s="127"/>
      <c r="BQ170" s="127"/>
      <c r="BR170" s="127"/>
      <c r="BS170" s="127"/>
      <c r="BT170" s="127"/>
      <c r="BU170" s="127"/>
      <c r="BV170" s="127"/>
      <c r="BW170" s="127"/>
      <c r="BX170" s="127"/>
      <c r="BY170" s="127"/>
      <c r="BZ170" s="127"/>
      <c r="CA170" s="127"/>
      <c r="CB170" s="127"/>
      <c r="CC170" s="127"/>
      <c r="CD170" s="127"/>
      <c r="CE170" s="127"/>
      <c r="CF170" s="127"/>
      <c r="CG170" s="127"/>
      <c r="CH170" s="127"/>
      <c r="CI170" s="127"/>
    </row>
    <row r="171" spans="1:87" x14ac:dyDescent="0.25">
      <c r="A171" s="1"/>
      <c r="B171" s="1"/>
      <c r="F171" s="1"/>
      <c r="G171" s="1"/>
      <c r="AJ171" s="127"/>
      <c r="AK171" s="127"/>
      <c r="AL171" s="127"/>
      <c r="AM171" s="127"/>
      <c r="AN171" s="127"/>
      <c r="AO171" s="127"/>
      <c r="AP171" s="127"/>
      <c r="AQ171" s="127"/>
      <c r="AR171" s="127"/>
      <c r="AS171" s="127"/>
      <c r="AT171" s="127"/>
      <c r="AU171" s="127"/>
      <c r="AV171" s="127"/>
      <c r="AW171" s="127"/>
      <c r="AX171" s="127"/>
      <c r="AY171" s="127"/>
      <c r="AZ171" s="127"/>
      <c r="BA171" s="127"/>
      <c r="BB171" s="127"/>
      <c r="BC171" s="127"/>
      <c r="BD171" s="127"/>
      <c r="BE171" s="127"/>
      <c r="BF171" s="127"/>
      <c r="BG171" s="127"/>
      <c r="BH171" s="127"/>
      <c r="BI171" s="127"/>
      <c r="BJ171" s="127"/>
      <c r="BK171" s="127"/>
      <c r="BL171" s="127"/>
      <c r="BM171" s="127"/>
      <c r="BN171" s="127"/>
      <c r="BO171" s="127"/>
      <c r="BP171" s="127"/>
      <c r="BQ171" s="127"/>
      <c r="BR171" s="127"/>
      <c r="BS171" s="127"/>
      <c r="BT171" s="127"/>
      <c r="BU171" s="127"/>
      <c r="BV171" s="127"/>
      <c r="BW171" s="127"/>
      <c r="BX171" s="127"/>
      <c r="BY171" s="127"/>
      <c r="BZ171" s="127"/>
      <c r="CA171" s="127"/>
      <c r="CB171" s="127"/>
      <c r="CC171" s="127"/>
      <c r="CD171" s="127"/>
      <c r="CE171" s="127"/>
      <c r="CF171" s="127"/>
      <c r="CG171" s="127"/>
      <c r="CH171" s="127"/>
      <c r="CI171" s="127"/>
    </row>
    <row r="172" spans="1:87" x14ac:dyDescent="0.25">
      <c r="A172" s="1"/>
      <c r="B172" s="1"/>
      <c r="F172" s="1"/>
      <c r="G172" s="1"/>
      <c r="AJ172" s="127"/>
      <c r="AK172" s="127"/>
      <c r="AL172" s="127"/>
      <c r="AM172" s="127"/>
      <c r="AN172" s="127"/>
      <c r="AO172" s="127"/>
      <c r="AP172" s="127"/>
      <c r="AQ172" s="127"/>
      <c r="AR172" s="127"/>
      <c r="AS172" s="127"/>
      <c r="AT172" s="127"/>
      <c r="AU172" s="127"/>
      <c r="AV172" s="127"/>
      <c r="AW172" s="127"/>
      <c r="AX172" s="127"/>
      <c r="AY172" s="127"/>
      <c r="AZ172" s="127"/>
      <c r="BA172" s="127"/>
      <c r="BB172" s="127"/>
      <c r="BC172" s="127"/>
      <c r="BD172" s="127"/>
      <c r="BE172" s="127"/>
      <c r="BF172" s="127"/>
      <c r="BG172" s="127"/>
      <c r="BH172" s="127"/>
      <c r="BI172" s="127"/>
      <c r="BJ172" s="127"/>
      <c r="BK172" s="127"/>
      <c r="BL172" s="127"/>
      <c r="BM172" s="127"/>
      <c r="BN172" s="127"/>
      <c r="BO172" s="127"/>
      <c r="BP172" s="127"/>
      <c r="BQ172" s="127"/>
      <c r="BR172" s="127"/>
      <c r="BS172" s="127"/>
      <c r="BT172" s="127"/>
      <c r="BU172" s="127"/>
      <c r="BV172" s="127"/>
      <c r="BW172" s="127"/>
      <c r="BX172" s="127"/>
      <c r="BY172" s="127"/>
      <c r="BZ172" s="127"/>
      <c r="CA172" s="127"/>
      <c r="CB172" s="127"/>
      <c r="CC172" s="127"/>
      <c r="CD172" s="127"/>
      <c r="CE172" s="127"/>
      <c r="CF172" s="127"/>
      <c r="CG172" s="127"/>
      <c r="CH172" s="127"/>
      <c r="CI172" s="127"/>
    </row>
    <row r="173" spans="1:87" x14ac:dyDescent="0.25">
      <c r="A173" s="1"/>
      <c r="B173" s="1"/>
      <c r="F173" s="1"/>
      <c r="G173" s="1"/>
      <c r="AJ173" s="127"/>
      <c r="AK173" s="127"/>
      <c r="AL173" s="127"/>
      <c r="AM173" s="127"/>
      <c r="AN173" s="127"/>
      <c r="AO173" s="127"/>
      <c r="AP173" s="127"/>
      <c r="AQ173" s="127"/>
      <c r="AR173" s="127"/>
      <c r="AS173" s="127"/>
      <c r="AT173" s="127"/>
      <c r="AU173" s="127"/>
      <c r="AV173" s="127"/>
      <c r="AW173" s="127"/>
      <c r="AX173" s="127"/>
      <c r="AY173" s="127"/>
      <c r="AZ173" s="127"/>
      <c r="BA173" s="127"/>
      <c r="BB173" s="127"/>
      <c r="BC173" s="127"/>
      <c r="BD173" s="127"/>
      <c r="BE173" s="127"/>
      <c r="BF173" s="127"/>
      <c r="BG173" s="127"/>
      <c r="BH173" s="127"/>
      <c r="BI173" s="127"/>
      <c r="BJ173" s="127"/>
      <c r="BK173" s="127"/>
      <c r="BL173" s="127"/>
      <c r="BM173" s="127"/>
      <c r="BN173" s="127"/>
      <c r="BO173" s="127"/>
      <c r="BP173" s="127"/>
      <c r="BQ173" s="127"/>
      <c r="BR173" s="127"/>
      <c r="BS173" s="127"/>
      <c r="BT173" s="127"/>
      <c r="BU173" s="127"/>
      <c r="BV173" s="127"/>
      <c r="BW173" s="127"/>
      <c r="BX173" s="127"/>
      <c r="BY173" s="127"/>
      <c r="BZ173" s="127"/>
      <c r="CA173" s="127"/>
      <c r="CB173" s="127"/>
      <c r="CC173" s="127"/>
      <c r="CD173" s="127"/>
      <c r="CE173" s="127"/>
      <c r="CF173" s="127"/>
      <c r="CG173" s="127"/>
      <c r="CH173" s="127"/>
      <c r="CI173" s="127"/>
    </row>
    <row r="174" spans="1:87" x14ac:dyDescent="0.25">
      <c r="A174" s="1"/>
      <c r="B174" s="1"/>
      <c r="F174" s="1"/>
      <c r="G174" s="1"/>
      <c r="AJ174" s="127"/>
      <c r="AK174" s="127"/>
      <c r="AL174" s="127"/>
      <c r="AM174" s="127"/>
      <c r="AN174" s="127"/>
      <c r="AO174" s="127"/>
      <c r="AP174" s="127"/>
      <c r="AQ174" s="127"/>
      <c r="AR174" s="127"/>
      <c r="AS174" s="127"/>
      <c r="AT174" s="127"/>
      <c r="AU174" s="127"/>
      <c r="AV174" s="127"/>
      <c r="AW174" s="127"/>
      <c r="AX174" s="127"/>
      <c r="AY174" s="127"/>
      <c r="AZ174" s="127"/>
      <c r="BA174" s="127"/>
      <c r="BB174" s="127"/>
      <c r="BC174" s="127"/>
      <c r="BD174" s="127"/>
      <c r="BE174" s="127"/>
      <c r="BF174" s="127"/>
      <c r="BG174" s="127"/>
      <c r="BH174" s="127"/>
      <c r="BI174" s="127"/>
      <c r="BJ174" s="127"/>
      <c r="BK174" s="127"/>
      <c r="BL174" s="127"/>
      <c r="BM174" s="127"/>
      <c r="BN174" s="127"/>
      <c r="BO174" s="127"/>
      <c r="BP174" s="127"/>
      <c r="BQ174" s="127"/>
      <c r="BR174" s="127"/>
      <c r="BS174" s="127"/>
      <c r="BT174" s="127"/>
      <c r="BU174" s="127"/>
      <c r="BV174" s="127"/>
      <c r="BW174" s="127"/>
      <c r="BX174" s="127"/>
      <c r="BY174" s="127"/>
      <c r="BZ174" s="127"/>
      <c r="CA174" s="127"/>
      <c r="CB174" s="127"/>
      <c r="CC174" s="127"/>
      <c r="CD174" s="127"/>
      <c r="CE174" s="127"/>
      <c r="CF174" s="127"/>
      <c r="CG174" s="127"/>
      <c r="CH174" s="127"/>
      <c r="CI174" s="127"/>
    </row>
    <row r="175" spans="1:87" x14ac:dyDescent="0.25">
      <c r="A175" s="1"/>
      <c r="B175" s="1"/>
      <c r="F175" s="1"/>
      <c r="G175" s="1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7"/>
      <c r="BK175" s="127"/>
      <c r="BL175" s="127"/>
      <c r="BM175" s="127"/>
      <c r="BN175" s="127"/>
      <c r="BO175" s="127"/>
      <c r="BP175" s="127"/>
      <c r="BQ175" s="127"/>
      <c r="BR175" s="127"/>
      <c r="BS175" s="127"/>
      <c r="BT175" s="127"/>
      <c r="BU175" s="127"/>
      <c r="BV175" s="127"/>
      <c r="BW175" s="127"/>
      <c r="BX175" s="127"/>
      <c r="BY175" s="127"/>
      <c r="BZ175" s="127"/>
      <c r="CA175" s="127"/>
      <c r="CB175" s="127"/>
      <c r="CC175" s="127"/>
      <c r="CD175" s="127"/>
      <c r="CE175" s="127"/>
      <c r="CF175" s="127"/>
      <c r="CG175" s="127"/>
      <c r="CH175" s="127"/>
      <c r="CI175" s="127"/>
    </row>
    <row r="176" spans="1:87" x14ac:dyDescent="0.25">
      <c r="A176" s="1"/>
      <c r="B176" s="1"/>
      <c r="F176" s="1"/>
      <c r="G176" s="1"/>
      <c r="AJ176" s="127"/>
      <c r="AK176" s="127"/>
      <c r="AL176" s="127"/>
      <c r="AM176" s="127"/>
      <c r="AN176" s="127"/>
      <c r="AO176" s="127"/>
      <c r="AP176" s="127"/>
      <c r="AQ176" s="127"/>
      <c r="AR176" s="127"/>
      <c r="AS176" s="127"/>
      <c r="AT176" s="127"/>
      <c r="AU176" s="127"/>
      <c r="AV176" s="127"/>
      <c r="AW176" s="127"/>
      <c r="AX176" s="127"/>
      <c r="AY176" s="127"/>
      <c r="AZ176" s="127"/>
      <c r="BA176" s="127"/>
      <c r="BB176" s="127"/>
      <c r="BC176" s="127"/>
      <c r="BD176" s="127"/>
      <c r="BE176" s="127"/>
      <c r="BF176" s="127"/>
      <c r="BG176" s="127"/>
      <c r="BH176" s="127"/>
      <c r="BI176" s="127"/>
      <c r="BJ176" s="127"/>
      <c r="BK176" s="127"/>
      <c r="BL176" s="127"/>
      <c r="BM176" s="127"/>
      <c r="BN176" s="127"/>
      <c r="BO176" s="127"/>
      <c r="BP176" s="127"/>
      <c r="BQ176" s="127"/>
      <c r="BR176" s="127"/>
      <c r="BS176" s="127"/>
      <c r="BT176" s="127"/>
      <c r="BU176" s="127"/>
      <c r="BV176" s="127"/>
      <c r="BW176" s="127"/>
      <c r="BX176" s="127"/>
      <c r="BY176" s="127"/>
      <c r="BZ176" s="127"/>
      <c r="CA176" s="127"/>
      <c r="CB176" s="127"/>
      <c r="CC176" s="127"/>
      <c r="CD176" s="127"/>
      <c r="CE176" s="127"/>
      <c r="CF176" s="127"/>
      <c r="CG176" s="127"/>
      <c r="CH176" s="127"/>
      <c r="CI176" s="127"/>
    </row>
    <row r="177" spans="1:87" x14ac:dyDescent="0.25">
      <c r="A177" s="1"/>
      <c r="B177" s="1"/>
      <c r="F177" s="1"/>
      <c r="G177" s="1"/>
      <c r="AJ177" s="127"/>
      <c r="AK177" s="127"/>
      <c r="AL177" s="127"/>
      <c r="AM177" s="127"/>
      <c r="AN177" s="127"/>
      <c r="AO177" s="127"/>
      <c r="AP177" s="127"/>
      <c r="AQ177" s="127"/>
      <c r="AR177" s="127"/>
      <c r="AS177" s="127"/>
      <c r="AT177" s="127"/>
      <c r="AU177" s="127"/>
      <c r="AV177" s="127"/>
      <c r="AW177" s="127"/>
      <c r="AX177" s="127"/>
      <c r="AY177" s="127"/>
      <c r="AZ177" s="127"/>
      <c r="BA177" s="127"/>
      <c r="BB177" s="127"/>
      <c r="BC177" s="127"/>
      <c r="BD177" s="127"/>
      <c r="BE177" s="127"/>
      <c r="BF177" s="127"/>
      <c r="BG177" s="127"/>
      <c r="BH177" s="127"/>
      <c r="BI177" s="127"/>
      <c r="BJ177" s="127"/>
      <c r="BK177" s="127"/>
      <c r="BL177" s="127"/>
      <c r="BM177" s="127"/>
      <c r="BN177" s="127"/>
      <c r="BO177" s="127"/>
      <c r="BP177" s="127"/>
      <c r="BQ177" s="127"/>
      <c r="BR177" s="127"/>
      <c r="BS177" s="127"/>
      <c r="BT177" s="127"/>
      <c r="BU177" s="127"/>
      <c r="BV177" s="127"/>
      <c r="BW177" s="127"/>
      <c r="BX177" s="127"/>
      <c r="BY177" s="127"/>
      <c r="BZ177" s="127"/>
      <c r="CA177" s="127"/>
      <c r="CB177" s="127"/>
      <c r="CC177" s="127"/>
      <c r="CD177" s="127"/>
      <c r="CE177" s="127"/>
      <c r="CF177" s="127"/>
      <c r="CG177" s="127"/>
      <c r="CH177" s="127"/>
      <c r="CI177" s="127"/>
    </row>
    <row r="178" spans="1:87" x14ac:dyDescent="0.25">
      <c r="A178" s="1"/>
      <c r="B178" s="1"/>
      <c r="F178" s="1"/>
      <c r="G178" s="1"/>
      <c r="AJ178" s="127"/>
      <c r="AK178" s="127"/>
      <c r="AL178" s="127"/>
      <c r="AM178" s="127"/>
      <c r="AN178" s="127"/>
      <c r="AO178" s="127"/>
      <c r="AP178" s="127"/>
      <c r="AQ178" s="127"/>
      <c r="AR178" s="127"/>
      <c r="AS178" s="127"/>
      <c r="AT178" s="127"/>
      <c r="AU178" s="127"/>
      <c r="AV178" s="127"/>
      <c r="AW178" s="127"/>
      <c r="AX178" s="127"/>
      <c r="AY178" s="127"/>
      <c r="AZ178" s="127"/>
      <c r="BA178" s="127"/>
      <c r="BB178" s="127"/>
      <c r="BC178" s="127"/>
      <c r="BD178" s="127"/>
      <c r="BE178" s="127"/>
      <c r="BF178" s="127"/>
      <c r="BG178" s="127"/>
      <c r="BH178" s="127"/>
      <c r="BI178" s="127"/>
      <c r="BJ178" s="127"/>
      <c r="BK178" s="127"/>
      <c r="BL178" s="127"/>
      <c r="BM178" s="127"/>
      <c r="BN178" s="127"/>
      <c r="BO178" s="127"/>
      <c r="BP178" s="127"/>
      <c r="BQ178" s="127"/>
      <c r="BR178" s="127"/>
      <c r="BS178" s="127"/>
      <c r="BT178" s="127"/>
      <c r="BU178" s="127"/>
      <c r="BV178" s="127"/>
      <c r="BW178" s="127"/>
      <c r="BX178" s="127"/>
      <c r="BY178" s="127"/>
      <c r="BZ178" s="127"/>
      <c r="CA178" s="127"/>
      <c r="CB178" s="127"/>
      <c r="CC178" s="127"/>
      <c r="CD178" s="127"/>
      <c r="CE178" s="127"/>
      <c r="CF178" s="127"/>
      <c r="CG178" s="127"/>
      <c r="CH178" s="127"/>
      <c r="CI178" s="127"/>
    </row>
    <row r="179" spans="1:87" x14ac:dyDescent="0.25">
      <c r="A179" s="1"/>
      <c r="B179" s="1"/>
      <c r="F179" s="1"/>
      <c r="G179" s="1"/>
      <c r="AJ179" s="127"/>
      <c r="AK179" s="127"/>
      <c r="AL179" s="127"/>
      <c r="AM179" s="127"/>
      <c r="AN179" s="127"/>
      <c r="AO179" s="127"/>
      <c r="AP179" s="127"/>
      <c r="AQ179" s="127"/>
      <c r="AR179" s="127"/>
      <c r="AS179" s="127"/>
      <c r="AT179" s="127"/>
      <c r="AU179" s="127"/>
      <c r="AV179" s="127"/>
      <c r="AW179" s="127"/>
      <c r="AX179" s="127"/>
      <c r="AY179" s="127"/>
      <c r="AZ179" s="127"/>
      <c r="BA179" s="127"/>
      <c r="BB179" s="127"/>
      <c r="BC179" s="127"/>
      <c r="BD179" s="127"/>
      <c r="BE179" s="127"/>
      <c r="BF179" s="127"/>
      <c r="BG179" s="127"/>
      <c r="BH179" s="127"/>
      <c r="BI179" s="127"/>
      <c r="BJ179" s="127"/>
      <c r="BK179" s="127"/>
      <c r="BL179" s="127"/>
      <c r="BM179" s="127"/>
      <c r="BN179" s="127"/>
      <c r="BO179" s="127"/>
      <c r="BP179" s="127"/>
      <c r="BQ179" s="127"/>
      <c r="BR179" s="127"/>
      <c r="BS179" s="127"/>
      <c r="BT179" s="127"/>
      <c r="BU179" s="127"/>
      <c r="BV179" s="127"/>
      <c r="BW179" s="127"/>
      <c r="BX179" s="127"/>
      <c r="BY179" s="127"/>
      <c r="BZ179" s="127"/>
      <c r="CA179" s="127"/>
      <c r="CB179" s="127"/>
      <c r="CC179" s="127"/>
      <c r="CD179" s="127"/>
      <c r="CE179" s="127"/>
      <c r="CF179" s="127"/>
      <c r="CG179" s="127"/>
      <c r="CH179" s="127"/>
      <c r="CI179" s="127"/>
    </row>
    <row r="180" spans="1:87" x14ac:dyDescent="0.25">
      <c r="A180" s="1"/>
      <c r="B180" s="1"/>
      <c r="F180" s="1"/>
      <c r="G180" s="1"/>
      <c r="AJ180" s="127"/>
      <c r="AK180" s="127"/>
      <c r="AL180" s="127"/>
      <c r="AM180" s="127"/>
      <c r="AN180" s="127"/>
      <c r="AO180" s="127"/>
      <c r="AP180" s="127"/>
      <c r="AQ180" s="127"/>
      <c r="AR180" s="127"/>
      <c r="AS180" s="127"/>
      <c r="AT180" s="127"/>
      <c r="AU180" s="127"/>
      <c r="AV180" s="127"/>
      <c r="AW180" s="127"/>
      <c r="AX180" s="127"/>
      <c r="AY180" s="127"/>
      <c r="AZ180" s="127"/>
      <c r="BA180" s="127"/>
      <c r="BB180" s="127"/>
      <c r="BC180" s="127"/>
      <c r="BD180" s="127"/>
      <c r="BE180" s="127"/>
      <c r="BF180" s="127"/>
      <c r="BG180" s="127"/>
      <c r="BH180" s="127"/>
      <c r="BI180" s="127"/>
      <c r="BJ180" s="127"/>
      <c r="BK180" s="127"/>
      <c r="BL180" s="127"/>
      <c r="BM180" s="127"/>
      <c r="BN180" s="127"/>
      <c r="BO180" s="127"/>
      <c r="BP180" s="127"/>
      <c r="BQ180" s="127"/>
      <c r="BR180" s="127"/>
      <c r="BS180" s="127"/>
      <c r="BT180" s="127"/>
      <c r="BU180" s="127"/>
      <c r="BV180" s="127"/>
      <c r="BW180" s="127"/>
      <c r="BX180" s="127"/>
      <c r="BY180" s="127"/>
      <c r="BZ180" s="127"/>
      <c r="CA180" s="127"/>
      <c r="CB180" s="127"/>
      <c r="CC180" s="127"/>
      <c r="CD180" s="127"/>
      <c r="CE180" s="127"/>
      <c r="CF180" s="127"/>
      <c r="CG180" s="127"/>
      <c r="CH180" s="127"/>
      <c r="CI180" s="127"/>
    </row>
    <row r="181" spans="1:87" x14ac:dyDescent="0.25">
      <c r="A181" s="1"/>
      <c r="B181" s="1"/>
      <c r="F181" s="1"/>
      <c r="G181" s="1"/>
      <c r="AJ181" s="127"/>
      <c r="AK181" s="127"/>
      <c r="AL181" s="127"/>
      <c r="AM181" s="127"/>
      <c r="AN181" s="127"/>
      <c r="AO181" s="127"/>
      <c r="AP181" s="127"/>
      <c r="AQ181" s="127"/>
      <c r="AR181" s="127"/>
      <c r="AS181" s="127"/>
      <c r="AT181" s="127"/>
      <c r="AU181" s="127"/>
      <c r="AV181" s="127"/>
      <c r="AW181" s="127"/>
      <c r="AX181" s="127"/>
      <c r="AY181" s="127"/>
      <c r="AZ181" s="127"/>
      <c r="BA181" s="127"/>
      <c r="BB181" s="127"/>
      <c r="BC181" s="127"/>
      <c r="BD181" s="127"/>
      <c r="BE181" s="127"/>
      <c r="BF181" s="127"/>
      <c r="BG181" s="127"/>
      <c r="BH181" s="127"/>
      <c r="BI181" s="127"/>
      <c r="BJ181" s="127"/>
      <c r="BK181" s="127"/>
      <c r="BL181" s="127"/>
      <c r="BM181" s="127"/>
      <c r="BN181" s="127"/>
      <c r="BO181" s="127"/>
      <c r="BP181" s="127"/>
      <c r="BQ181" s="127"/>
      <c r="BR181" s="127"/>
      <c r="BS181" s="127"/>
      <c r="BT181" s="127"/>
      <c r="BU181" s="127"/>
      <c r="BV181" s="127"/>
      <c r="BW181" s="127"/>
      <c r="BX181" s="127"/>
      <c r="BY181" s="127"/>
      <c r="BZ181" s="127"/>
      <c r="CA181" s="127"/>
      <c r="CB181" s="127"/>
      <c r="CC181" s="127"/>
      <c r="CD181" s="127"/>
      <c r="CE181" s="127"/>
      <c r="CF181" s="127"/>
      <c r="CG181" s="127"/>
      <c r="CH181" s="127"/>
      <c r="CI181" s="127"/>
    </row>
    <row r="182" spans="1:87" x14ac:dyDescent="0.25">
      <c r="A182" s="1"/>
      <c r="B182" s="1"/>
      <c r="F182" s="1"/>
      <c r="G182" s="1"/>
      <c r="AJ182" s="127"/>
      <c r="AK182" s="127"/>
      <c r="AL182" s="127"/>
      <c r="AM182" s="127"/>
      <c r="AN182" s="127"/>
      <c r="AO182" s="127"/>
      <c r="AP182" s="127"/>
      <c r="AQ182" s="127"/>
      <c r="AR182" s="127"/>
      <c r="AS182" s="127"/>
      <c r="AT182" s="127"/>
      <c r="AU182" s="127"/>
      <c r="AV182" s="127"/>
      <c r="AW182" s="127"/>
      <c r="AX182" s="127"/>
      <c r="AY182" s="127"/>
      <c r="AZ182" s="127"/>
      <c r="BA182" s="127"/>
      <c r="BB182" s="127"/>
      <c r="BC182" s="127"/>
      <c r="BD182" s="127"/>
      <c r="BE182" s="127"/>
      <c r="BF182" s="127"/>
      <c r="BG182" s="127"/>
      <c r="BH182" s="127"/>
      <c r="BI182" s="127"/>
      <c r="BJ182" s="127"/>
      <c r="BK182" s="127"/>
      <c r="BL182" s="127"/>
      <c r="BM182" s="127"/>
      <c r="BN182" s="127"/>
      <c r="BO182" s="127"/>
      <c r="BP182" s="127"/>
      <c r="BQ182" s="127"/>
      <c r="BR182" s="127"/>
      <c r="BS182" s="127"/>
      <c r="BT182" s="127"/>
      <c r="BU182" s="127"/>
      <c r="BV182" s="127"/>
      <c r="BW182" s="127"/>
      <c r="BX182" s="127"/>
      <c r="BY182" s="127"/>
      <c r="BZ182" s="127"/>
      <c r="CA182" s="127"/>
      <c r="CB182" s="127"/>
      <c r="CC182" s="127"/>
      <c r="CD182" s="127"/>
      <c r="CE182" s="127"/>
      <c r="CF182" s="127"/>
      <c r="CG182" s="127"/>
      <c r="CH182" s="127"/>
      <c r="CI182" s="127"/>
    </row>
    <row r="183" spans="1:87" x14ac:dyDescent="0.25">
      <c r="A183" s="1"/>
      <c r="B183" s="1"/>
      <c r="F183" s="1"/>
      <c r="G183" s="1"/>
      <c r="AJ183" s="127"/>
      <c r="AK183" s="127"/>
      <c r="AL183" s="127"/>
      <c r="AM183" s="127"/>
      <c r="AN183" s="127"/>
      <c r="AO183" s="127"/>
      <c r="AP183" s="127"/>
      <c r="AQ183" s="127"/>
      <c r="AR183" s="127"/>
      <c r="AS183" s="127"/>
      <c r="AT183" s="127"/>
      <c r="AU183" s="127"/>
      <c r="AV183" s="127"/>
      <c r="AW183" s="127"/>
      <c r="AX183" s="127"/>
      <c r="AY183" s="127"/>
      <c r="AZ183" s="127"/>
      <c r="BA183" s="127"/>
      <c r="BB183" s="127"/>
      <c r="BC183" s="127"/>
      <c r="BD183" s="127"/>
      <c r="BE183" s="127"/>
      <c r="BF183" s="127"/>
      <c r="BG183" s="127"/>
      <c r="BH183" s="127"/>
      <c r="BI183" s="127"/>
      <c r="BJ183" s="127"/>
      <c r="BK183" s="127"/>
      <c r="BL183" s="127"/>
      <c r="BM183" s="127"/>
      <c r="BN183" s="127"/>
      <c r="BO183" s="127"/>
      <c r="BP183" s="127"/>
      <c r="BQ183" s="127"/>
      <c r="BR183" s="127"/>
      <c r="BS183" s="127"/>
      <c r="BT183" s="127"/>
      <c r="BU183" s="127"/>
      <c r="BV183" s="127"/>
      <c r="BW183" s="127"/>
      <c r="BX183" s="127"/>
      <c r="BY183" s="127"/>
      <c r="BZ183" s="127"/>
      <c r="CA183" s="127"/>
      <c r="CB183" s="127"/>
      <c r="CC183" s="127"/>
      <c r="CD183" s="127"/>
      <c r="CE183" s="127"/>
      <c r="CF183" s="127"/>
      <c r="CG183" s="127"/>
      <c r="CH183" s="127"/>
      <c r="CI183" s="127"/>
    </row>
    <row r="184" spans="1:87" x14ac:dyDescent="0.25">
      <c r="A184" s="1"/>
      <c r="B184" s="1"/>
      <c r="F184" s="1"/>
      <c r="G184" s="1"/>
      <c r="AJ184" s="127"/>
      <c r="AK184" s="127"/>
      <c r="AL184" s="127"/>
      <c r="AM184" s="127"/>
      <c r="AN184" s="127"/>
      <c r="AO184" s="127"/>
      <c r="AP184" s="127"/>
      <c r="AQ184" s="127"/>
      <c r="AR184" s="127"/>
      <c r="AS184" s="127"/>
      <c r="AT184" s="127"/>
      <c r="AU184" s="127"/>
      <c r="AV184" s="127"/>
      <c r="AW184" s="127"/>
      <c r="AX184" s="127"/>
      <c r="AY184" s="127"/>
      <c r="AZ184" s="127"/>
      <c r="BA184" s="127"/>
      <c r="BB184" s="127"/>
      <c r="BC184" s="127"/>
      <c r="BD184" s="127"/>
      <c r="BE184" s="127"/>
      <c r="BF184" s="127"/>
      <c r="BG184" s="127"/>
      <c r="BH184" s="127"/>
      <c r="BI184" s="127"/>
      <c r="BJ184" s="127"/>
      <c r="BK184" s="127"/>
      <c r="BL184" s="127"/>
      <c r="BM184" s="127"/>
      <c r="BN184" s="127"/>
      <c r="BO184" s="127"/>
      <c r="BP184" s="127"/>
      <c r="BQ184" s="127"/>
      <c r="BR184" s="127"/>
      <c r="BS184" s="127"/>
      <c r="BT184" s="127"/>
      <c r="BU184" s="127"/>
      <c r="BV184" s="127"/>
      <c r="BW184" s="127"/>
      <c r="BX184" s="127"/>
      <c r="BY184" s="127"/>
      <c r="BZ184" s="127"/>
      <c r="CA184" s="127"/>
      <c r="CB184" s="127"/>
      <c r="CC184" s="127"/>
      <c r="CD184" s="127"/>
      <c r="CE184" s="127"/>
      <c r="CF184" s="127"/>
      <c r="CG184" s="127"/>
      <c r="CH184" s="127"/>
      <c r="CI184" s="127"/>
    </row>
    <row r="185" spans="1:87" x14ac:dyDescent="0.25">
      <c r="A185" s="1"/>
      <c r="B185" s="1"/>
      <c r="F185" s="1"/>
      <c r="G185" s="1"/>
      <c r="AJ185" s="127"/>
      <c r="AK185" s="127"/>
      <c r="AL185" s="127"/>
      <c r="AM185" s="127"/>
      <c r="AN185" s="127"/>
      <c r="AO185" s="127"/>
      <c r="AP185" s="127"/>
      <c r="AQ185" s="127"/>
      <c r="AR185" s="127"/>
      <c r="AS185" s="127"/>
      <c r="AT185" s="127"/>
      <c r="AU185" s="127"/>
      <c r="AV185" s="127"/>
      <c r="AW185" s="127"/>
      <c r="AX185" s="127"/>
      <c r="AY185" s="127"/>
      <c r="AZ185" s="127"/>
      <c r="BA185" s="127"/>
      <c r="BB185" s="127"/>
      <c r="BC185" s="127"/>
      <c r="BD185" s="127"/>
      <c r="BE185" s="127"/>
      <c r="BF185" s="127"/>
      <c r="BG185" s="127"/>
      <c r="BH185" s="127"/>
      <c r="BI185" s="127"/>
      <c r="BJ185" s="127"/>
      <c r="BK185" s="127"/>
      <c r="BL185" s="127"/>
      <c r="BM185" s="127"/>
      <c r="BN185" s="127"/>
      <c r="BO185" s="127"/>
      <c r="BP185" s="127"/>
      <c r="BQ185" s="127"/>
      <c r="BR185" s="127"/>
      <c r="BS185" s="127"/>
      <c r="BT185" s="127"/>
      <c r="BU185" s="127"/>
      <c r="BV185" s="127"/>
      <c r="BW185" s="127"/>
      <c r="BX185" s="127"/>
      <c r="BY185" s="127"/>
      <c r="BZ185" s="127"/>
      <c r="CA185" s="127"/>
      <c r="CB185" s="127"/>
      <c r="CC185" s="127"/>
      <c r="CD185" s="127"/>
      <c r="CE185" s="127"/>
      <c r="CF185" s="127"/>
      <c r="CG185" s="127"/>
      <c r="CH185" s="127"/>
      <c r="CI185" s="127"/>
    </row>
    <row r="186" spans="1:87" x14ac:dyDescent="0.25">
      <c r="A186" s="1"/>
      <c r="B186" s="1"/>
      <c r="F186" s="1"/>
      <c r="G186" s="1"/>
      <c r="AJ186" s="127"/>
      <c r="AK186" s="127"/>
      <c r="AL186" s="127"/>
      <c r="AM186" s="127"/>
      <c r="AN186" s="127"/>
      <c r="AO186" s="127"/>
      <c r="AP186" s="127"/>
      <c r="AQ186" s="127"/>
      <c r="AR186" s="127"/>
      <c r="AS186" s="127"/>
      <c r="AT186" s="127"/>
      <c r="AU186" s="127"/>
      <c r="AV186" s="127"/>
      <c r="AW186" s="127"/>
      <c r="AX186" s="127"/>
      <c r="AY186" s="127"/>
      <c r="AZ186" s="127"/>
      <c r="BA186" s="127"/>
      <c r="BB186" s="127"/>
      <c r="BC186" s="127"/>
      <c r="BD186" s="127"/>
      <c r="BE186" s="127"/>
      <c r="BF186" s="127"/>
      <c r="BG186" s="127"/>
      <c r="BH186" s="127"/>
      <c r="BI186" s="127"/>
      <c r="BJ186" s="127"/>
      <c r="BK186" s="127"/>
      <c r="BL186" s="127"/>
      <c r="BM186" s="127"/>
      <c r="BN186" s="127"/>
      <c r="BO186" s="127"/>
      <c r="BP186" s="127"/>
      <c r="BQ186" s="127"/>
      <c r="BR186" s="127"/>
      <c r="BS186" s="127"/>
      <c r="BT186" s="127"/>
      <c r="BU186" s="127"/>
      <c r="BV186" s="127"/>
      <c r="BW186" s="127"/>
      <c r="BX186" s="127"/>
      <c r="BY186" s="127"/>
      <c r="BZ186" s="127"/>
      <c r="CA186" s="127"/>
      <c r="CB186" s="127"/>
      <c r="CC186" s="127"/>
      <c r="CD186" s="127"/>
      <c r="CE186" s="127"/>
      <c r="CF186" s="127"/>
      <c r="CG186" s="127"/>
      <c r="CH186" s="127"/>
      <c r="CI186" s="127"/>
    </row>
    <row r="187" spans="1:87" x14ac:dyDescent="0.25">
      <c r="A187" s="1"/>
      <c r="B187" s="1"/>
      <c r="F187" s="1"/>
      <c r="G187" s="1"/>
      <c r="AJ187" s="127"/>
      <c r="AK187" s="127"/>
      <c r="AL187" s="127"/>
      <c r="AM187" s="127"/>
      <c r="AN187" s="127"/>
      <c r="AO187" s="127"/>
      <c r="AP187" s="127"/>
      <c r="AQ187" s="127"/>
      <c r="AR187" s="127"/>
      <c r="AS187" s="127"/>
      <c r="AT187" s="127"/>
      <c r="AU187" s="127"/>
      <c r="AV187" s="127"/>
      <c r="AW187" s="127"/>
      <c r="AX187" s="127"/>
      <c r="AY187" s="127"/>
      <c r="AZ187" s="127"/>
      <c r="BA187" s="127"/>
      <c r="BB187" s="127"/>
      <c r="BC187" s="127"/>
      <c r="BD187" s="127"/>
      <c r="BE187" s="127"/>
      <c r="BF187" s="127"/>
      <c r="BG187" s="127"/>
      <c r="BH187" s="127"/>
      <c r="BI187" s="127"/>
      <c r="BJ187" s="127"/>
      <c r="BK187" s="127"/>
      <c r="BL187" s="127"/>
      <c r="BM187" s="127"/>
      <c r="BN187" s="127"/>
      <c r="BO187" s="127"/>
      <c r="BP187" s="127"/>
      <c r="BQ187" s="127"/>
      <c r="BR187" s="127"/>
      <c r="BS187" s="127"/>
      <c r="BT187" s="127"/>
      <c r="BU187" s="127"/>
      <c r="BV187" s="127"/>
      <c r="BW187" s="127"/>
      <c r="BX187" s="127"/>
      <c r="BY187" s="127"/>
      <c r="BZ187" s="127"/>
      <c r="CA187" s="127"/>
      <c r="CB187" s="127"/>
      <c r="CC187" s="127"/>
      <c r="CD187" s="127"/>
      <c r="CE187" s="127"/>
      <c r="CF187" s="127"/>
      <c r="CG187" s="127"/>
      <c r="CH187" s="127"/>
      <c r="CI187" s="127"/>
    </row>
    <row r="188" spans="1:87" x14ac:dyDescent="0.25">
      <c r="A188" s="1"/>
      <c r="B188" s="1"/>
      <c r="F188" s="1"/>
      <c r="G188" s="1"/>
      <c r="AJ188" s="127"/>
      <c r="AK188" s="127"/>
      <c r="AL188" s="127"/>
      <c r="AM188" s="127"/>
      <c r="AN188" s="127"/>
      <c r="AO188" s="127"/>
      <c r="AP188" s="127"/>
      <c r="AQ188" s="127"/>
      <c r="AR188" s="127"/>
      <c r="AS188" s="127"/>
      <c r="AT188" s="127"/>
      <c r="AU188" s="127"/>
      <c r="AV188" s="127"/>
      <c r="AW188" s="127"/>
      <c r="AX188" s="127"/>
      <c r="AY188" s="127"/>
      <c r="AZ188" s="127"/>
      <c r="BA188" s="127"/>
      <c r="BB188" s="127"/>
      <c r="BC188" s="127"/>
      <c r="BD188" s="127"/>
      <c r="BE188" s="127"/>
      <c r="BF188" s="127"/>
      <c r="BG188" s="127"/>
      <c r="BH188" s="127"/>
      <c r="BI188" s="127"/>
      <c r="BJ188" s="127"/>
      <c r="BK188" s="127"/>
      <c r="BL188" s="127"/>
      <c r="BM188" s="127"/>
      <c r="BN188" s="127"/>
      <c r="BO188" s="127"/>
      <c r="BP188" s="127"/>
      <c r="BQ188" s="127"/>
      <c r="BR188" s="127"/>
      <c r="BS188" s="127"/>
      <c r="BT188" s="127"/>
      <c r="BU188" s="127"/>
      <c r="BV188" s="127"/>
      <c r="BW188" s="127"/>
      <c r="BX188" s="127"/>
      <c r="BY188" s="127"/>
      <c r="BZ188" s="127"/>
      <c r="CA188" s="127"/>
      <c r="CB188" s="127"/>
      <c r="CC188" s="127"/>
      <c r="CD188" s="127"/>
      <c r="CE188" s="127"/>
      <c r="CF188" s="127"/>
      <c r="CG188" s="127"/>
      <c r="CH188" s="127"/>
      <c r="CI188" s="127"/>
    </row>
    <row r="189" spans="1:87" x14ac:dyDescent="0.25">
      <c r="A189" s="1"/>
      <c r="B189" s="1"/>
      <c r="F189" s="1"/>
      <c r="G189" s="1"/>
      <c r="AJ189" s="127"/>
      <c r="AK189" s="127"/>
      <c r="AL189" s="127"/>
      <c r="AM189" s="127"/>
      <c r="AN189" s="127"/>
      <c r="AO189" s="127"/>
      <c r="AP189" s="127"/>
      <c r="AQ189" s="127"/>
      <c r="AR189" s="127"/>
      <c r="AS189" s="127"/>
      <c r="AT189" s="127"/>
      <c r="AU189" s="127"/>
      <c r="AV189" s="127"/>
      <c r="AW189" s="127"/>
      <c r="AX189" s="127"/>
      <c r="AY189" s="127"/>
      <c r="AZ189" s="127"/>
      <c r="BA189" s="127"/>
      <c r="BB189" s="127"/>
      <c r="BC189" s="127"/>
      <c r="BD189" s="127"/>
      <c r="BE189" s="127"/>
      <c r="BF189" s="127"/>
      <c r="BG189" s="127"/>
      <c r="BH189" s="127"/>
      <c r="BI189" s="127"/>
      <c r="BJ189" s="127"/>
      <c r="BK189" s="127"/>
      <c r="BL189" s="127"/>
      <c r="BM189" s="127"/>
      <c r="BN189" s="127"/>
      <c r="BO189" s="127"/>
      <c r="BP189" s="127"/>
      <c r="BQ189" s="127"/>
      <c r="BR189" s="127"/>
      <c r="BS189" s="127"/>
      <c r="BT189" s="127"/>
      <c r="BU189" s="127"/>
      <c r="BV189" s="127"/>
      <c r="BW189" s="127"/>
      <c r="BX189" s="127"/>
      <c r="BY189" s="127"/>
      <c r="BZ189" s="127"/>
      <c r="CA189" s="127"/>
      <c r="CB189" s="127"/>
      <c r="CC189" s="127"/>
      <c r="CD189" s="127"/>
      <c r="CE189" s="127"/>
      <c r="CF189" s="127"/>
      <c r="CG189" s="127"/>
      <c r="CH189" s="127"/>
      <c r="CI189" s="127"/>
    </row>
    <row r="190" spans="1:87" x14ac:dyDescent="0.25">
      <c r="A190" s="1"/>
      <c r="B190" s="1"/>
      <c r="F190" s="1"/>
      <c r="G190" s="1"/>
      <c r="AJ190" s="127"/>
      <c r="AK190" s="127"/>
      <c r="AL190" s="127"/>
      <c r="AM190" s="127"/>
      <c r="AN190" s="127"/>
      <c r="AO190" s="127"/>
      <c r="AP190" s="127"/>
      <c r="AQ190" s="127"/>
      <c r="AR190" s="127"/>
      <c r="AS190" s="127"/>
      <c r="AT190" s="127"/>
      <c r="AU190" s="127"/>
      <c r="AV190" s="127"/>
      <c r="AW190" s="127"/>
      <c r="AX190" s="127"/>
      <c r="AY190" s="127"/>
      <c r="AZ190" s="127"/>
      <c r="BA190" s="127"/>
      <c r="BB190" s="127"/>
      <c r="BC190" s="127"/>
      <c r="BD190" s="127"/>
      <c r="BE190" s="127"/>
      <c r="BF190" s="127"/>
      <c r="BG190" s="127"/>
      <c r="BH190" s="127"/>
      <c r="BI190" s="127"/>
      <c r="BJ190" s="127"/>
      <c r="BK190" s="127"/>
      <c r="BL190" s="127"/>
      <c r="BM190" s="127"/>
      <c r="BN190" s="127"/>
      <c r="BO190" s="127"/>
      <c r="BP190" s="127"/>
      <c r="BQ190" s="127"/>
      <c r="BR190" s="127"/>
      <c r="BS190" s="127"/>
      <c r="BT190" s="127"/>
      <c r="BU190" s="127"/>
      <c r="BV190" s="127"/>
      <c r="BW190" s="127"/>
      <c r="BX190" s="127"/>
      <c r="BY190" s="127"/>
      <c r="BZ190" s="127"/>
      <c r="CA190" s="127"/>
      <c r="CB190" s="127"/>
      <c r="CC190" s="127"/>
      <c r="CD190" s="127"/>
      <c r="CE190" s="127"/>
      <c r="CF190" s="127"/>
      <c r="CG190" s="127"/>
      <c r="CH190" s="127"/>
      <c r="CI190" s="127"/>
    </row>
    <row r="191" spans="1:87" x14ac:dyDescent="0.25">
      <c r="A191" s="1"/>
      <c r="B191" s="1"/>
      <c r="F191" s="1"/>
      <c r="G191" s="1"/>
      <c r="AJ191" s="127"/>
      <c r="AK191" s="127"/>
      <c r="AL191" s="127"/>
      <c r="AM191" s="127"/>
      <c r="AN191" s="127"/>
      <c r="AO191" s="127"/>
      <c r="AP191" s="127"/>
      <c r="AQ191" s="127"/>
      <c r="AR191" s="127"/>
      <c r="AS191" s="127"/>
      <c r="AT191" s="127"/>
      <c r="AU191" s="127"/>
      <c r="AV191" s="127"/>
      <c r="AW191" s="127"/>
      <c r="AX191" s="127"/>
      <c r="AY191" s="127"/>
      <c r="AZ191" s="127"/>
      <c r="BA191" s="127"/>
      <c r="BB191" s="127"/>
      <c r="BC191" s="127"/>
      <c r="BD191" s="127"/>
      <c r="BE191" s="127"/>
      <c r="BF191" s="127"/>
      <c r="BG191" s="127"/>
      <c r="BH191" s="127"/>
      <c r="BI191" s="127"/>
      <c r="BJ191" s="127"/>
      <c r="BK191" s="127"/>
      <c r="BL191" s="127"/>
      <c r="BM191" s="127"/>
      <c r="BN191" s="127"/>
      <c r="BO191" s="127"/>
      <c r="BP191" s="127"/>
      <c r="BQ191" s="127"/>
      <c r="BR191" s="127"/>
      <c r="BS191" s="127"/>
      <c r="BT191" s="127"/>
      <c r="BU191" s="127"/>
      <c r="BV191" s="127"/>
      <c r="BW191" s="127"/>
      <c r="BX191" s="127"/>
      <c r="BY191" s="127"/>
      <c r="BZ191" s="127"/>
      <c r="CA191" s="127"/>
      <c r="CB191" s="127"/>
      <c r="CC191" s="127"/>
      <c r="CD191" s="127"/>
      <c r="CE191" s="127"/>
      <c r="CF191" s="127"/>
      <c r="CG191" s="127"/>
      <c r="CH191" s="127"/>
      <c r="CI191" s="127"/>
    </row>
    <row r="192" spans="1:87" x14ac:dyDescent="0.25">
      <c r="A192" s="1"/>
      <c r="B192" s="1"/>
      <c r="F192" s="1"/>
      <c r="G192" s="1"/>
      <c r="AJ192" s="127"/>
      <c r="AK192" s="127"/>
      <c r="AL192" s="127"/>
      <c r="AM192" s="127"/>
      <c r="AN192" s="127"/>
      <c r="AO192" s="127"/>
      <c r="AP192" s="127"/>
      <c r="AQ192" s="127"/>
      <c r="AR192" s="127"/>
      <c r="AS192" s="127"/>
      <c r="AT192" s="127"/>
      <c r="AU192" s="127"/>
      <c r="AV192" s="127"/>
      <c r="AW192" s="127"/>
      <c r="AX192" s="127"/>
      <c r="AY192" s="127"/>
      <c r="AZ192" s="127"/>
      <c r="BA192" s="127"/>
      <c r="BB192" s="127"/>
      <c r="BC192" s="127"/>
      <c r="BD192" s="127"/>
      <c r="BE192" s="127"/>
      <c r="BF192" s="127"/>
      <c r="BG192" s="127"/>
      <c r="BH192" s="127"/>
      <c r="BI192" s="127"/>
      <c r="BJ192" s="127"/>
      <c r="BK192" s="127"/>
      <c r="BL192" s="127"/>
      <c r="BM192" s="127"/>
      <c r="BN192" s="127"/>
      <c r="BO192" s="127"/>
      <c r="BP192" s="127"/>
      <c r="BQ192" s="127"/>
      <c r="BR192" s="127"/>
      <c r="BS192" s="127"/>
      <c r="BT192" s="127"/>
      <c r="BU192" s="127"/>
      <c r="BV192" s="127"/>
      <c r="BW192" s="127"/>
      <c r="BX192" s="127"/>
      <c r="BY192" s="127"/>
      <c r="BZ192" s="127"/>
      <c r="CA192" s="127"/>
      <c r="CB192" s="127"/>
      <c r="CC192" s="127"/>
      <c r="CD192" s="127"/>
      <c r="CE192" s="127"/>
      <c r="CF192" s="127"/>
      <c r="CG192" s="127"/>
      <c r="CH192" s="127"/>
      <c r="CI192" s="127"/>
    </row>
    <row r="193" spans="1:87" x14ac:dyDescent="0.25">
      <c r="A193" s="1"/>
      <c r="B193" s="1"/>
      <c r="F193" s="1"/>
      <c r="G193" s="1"/>
      <c r="AJ193" s="127"/>
      <c r="AK193" s="127"/>
      <c r="AL193" s="127"/>
      <c r="AM193" s="127"/>
      <c r="AN193" s="127"/>
      <c r="AO193" s="127"/>
      <c r="AP193" s="127"/>
      <c r="AQ193" s="127"/>
      <c r="AR193" s="127"/>
      <c r="AS193" s="127"/>
      <c r="AT193" s="127"/>
      <c r="AU193" s="127"/>
      <c r="AV193" s="127"/>
      <c r="AW193" s="127"/>
      <c r="AX193" s="127"/>
      <c r="AY193" s="127"/>
      <c r="AZ193" s="127"/>
      <c r="BA193" s="127"/>
      <c r="BB193" s="127"/>
      <c r="BC193" s="127"/>
      <c r="BD193" s="127"/>
      <c r="BE193" s="127"/>
      <c r="BF193" s="127"/>
      <c r="BG193" s="127"/>
      <c r="BH193" s="127"/>
      <c r="BI193" s="127"/>
      <c r="BJ193" s="127"/>
      <c r="BK193" s="127"/>
      <c r="BL193" s="127"/>
      <c r="BM193" s="127"/>
      <c r="BN193" s="127"/>
      <c r="BO193" s="127"/>
      <c r="BP193" s="127"/>
      <c r="BQ193" s="127"/>
      <c r="BR193" s="127"/>
      <c r="BS193" s="127"/>
      <c r="BT193" s="127"/>
      <c r="BU193" s="127"/>
      <c r="BV193" s="127"/>
      <c r="BW193" s="127"/>
      <c r="BX193" s="127"/>
      <c r="BY193" s="127"/>
      <c r="BZ193" s="127"/>
      <c r="CA193" s="127"/>
      <c r="CB193" s="127"/>
      <c r="CC193" s="127"/>
      <c r="CD193" s="127"/>
      <c r="CE193" s="127"/>
      <c r="CF193" s="127"/>
      <c r="CG193" s="127"/>
      <c r="CH193" s="127"/>
      <c r="CI193" s="127"/>
    </row>
    <row r="194" spans="1:87" x14ac:dyDescent="0.25">
      <c r="A194" s="1"/>
      <c r="B194" s="1"/>
      <c r="F194" s="1"/>
      <c r="G194" s="1"/>
      <c r="AJ194" s="127"/>
      <c r="AK194" s="127"/>
      <c r="AL194" s="127"/>
      <c r="AM194" s="127"/>
      <c r="AN194" s="127"/>
      <c r="AO194" s="127"/>
      <c r="AP194" s="127"/>
      <c r="AQ194" s="127"/>
      <c r="AR194" s="127"/>
      <c r="AS194" s="127"/>
      <c r="AT194" s="127"/>
      <c r="AU194" s="127"/>
      <c r="AV194" s="127"/>
      <c r="AW194" s="127"/>
      <c r="AX194" s="127"/>
      <c r="AY194" s="127"/>
      <c r="AZ194" s="127"/>
      <c r="BA194" s="127"/>
      <c r="BB194" s="127"/>
      <c r="BC194" s="127"/>
      <c r="BD194" s="127"/>
      <c r="BE194" s="127"/>
      <c r="BF194" s="127"/>
      <c r="BG194" s="127"/>
      <c r="BH194" s="127"/>
      <c r="BI194" s="127"/>
      <c r="BJ194" s="127"/>
      <c r="BK194" s="127"/>
      <c r="BL194" s="127"/>
      <c r="BM194" s="127"/>
      <c r="BN194" s="127"/>
      <c r="BO194" s="127"/>
      <c r="BP194" s="127"/>
      <c r="BQ194" s="127"/>
      <c r="BR194" s="127"/>
      <c r="BS194" s="127"/>
      <c r="BT194" s="127"/>
      <c r="BU194" s="127"/>
      <c r="BV194" s="127"/>
      <c r="BW194" s="127"/>
      <c r="BX194" s="127"/>
      <c r="BY194" s="127"/>
      <c r="BZ194" s="127"/>
      <c r="CA194" s="127"/>
      <c r="CB194" s="127"/>
      <c r="CC194" s="127"/>
      <c r="CD194" s="127"/>
      <c r="CE194" s="127"/>
      <c r="CF194" s="127"/>
      <c r="CG194" s="127"/>
      <c r="CH194" s="127"/>
      <c r="CI194" s="127"/>
    </row>
    <row r="195" spans="1:87" x14ac:dyDescent="0.25">
      <c r="A195" s="1"/>
      <c r="B195" s="1"/>
      <c r="F195" s="1"/>
      <c r="G195" s="1"/>
      <c r="AJ195" s="127"/>
      <c r="AK195" s="127"/>
      <c r="AL195" s="127"/>
      <c r="AM195" s="127"/>
      <c r="AN195" s="127"/>
      <c r="AO195" s="127"/>
      <c r="AP195" s="127"/>
      <c r="AQ195" s="127"/>
      <c r="AR195" s="127"/>
      <c r="AS195" s="127"/>
      <c r="AT195" s="127"/>
      <c r="AU195" s="127"/>
      <c r="AV195" s="127"/>
      <c r="AW195" s="127"/>
      <c r="AX195" s="127"/>
      <c r="AY195" s="127"/>
      <c r="AZ195" s="127"/>
      <c r="BA195" s="127"/>
      <c r="BB195" s="127"/>
      <c r="BC195" s="127"/>
      <c r="BD195" s="127"/>
      <c r="BE195" s="127"/>
      <c r="BF195" s="127"/>
      <c r="BG195" s="127"/>
      <c r="BH195" s="127"/>
      <c r="BI195" s="127"/>
      <c r="BJ195" s="127"/>
      <c r="BK195" s="127"/>
      <c r="BL195" s="127"/>
      <c r="BM195" s="127"/>
      <c r="BN195" s="127"/>
      <c r="BO195" s="127"/>
      <c r="BP195" s="127"/>
      <c r="BQ195" s="127"/>
      <c r="BR195" s="127"/>
      <c r="BS195" s="127"/>
      <c r="BT195" s="127"/>
      <c r="BU195" s="127"/>
      <c r="BV195" s="127"/>
      <c r="BW195" s="127"/>
      <c r="BX195" s="127"/>
      <c r="BY195" s="127"/>
      <c r="BZ195" s="127"/>
      <c r="CA195" s="127"/>
      <c r="CB195" s="127"/>
      <c r="CC195" s="127"/>
      <c r="CD195" s="127"/>
      <c r="CE195" s="127"/>
      <c r="CF195" s="127"/>
      <c r="CG195" s="127"/>
      <c r="CH195" s="127"/>
      <c r="CI195" s="127"/>
    </row>
    <row r="196" spans="1:87" x14ac:dyDescent="0.25">
      <c r="A196" s="1"/>
      <c r="B196" s="1"/>
      <c r="F196" s="1"/>
      <c r="G196" s="1"/>
      <c r="AJ196" s="127"/>
      <c r="AK196" s="127"/>
      <c r="AL196" s="127"/>
      <c r="AM196" s="127"/>
      <c r="AN196" s="127"/>
      <c r="AO196" s="127"/>
      <c r="AP196" s="127"/>
      <c r="AQ196" s="127"/>
      <c r="AR196" s="127"/>
      <c r="AS196" s="127"/>
      <c r="AT196" s="127"/>
      <c r="AU196" s="127"/>
      <c r="AV196" s="127"/>
      <c r="AW196" s="127"/>
      <c r="AX196" s="127"/>
      <c r="AY196" s="127"/>
      <c r="AZ196" s="127"/>
      <c r="BA196" s="127"/>
      <c r="BB196" s="127"/>
      <c r="BC196" s="127"/>
      <c r="BD196" s="127"/>
      <c r="BE196" s="127"/>
      <c r="BF196" s="127"/>
      <c r="BG196" s="127"/>
      <c r="BH196" s="127"/>
      <c r="BI196" s="127"/>
      <c r="BJ196" s="127"/>
      <c r="BK196" s="127"/>
      <c r="BL196" s="127"/>
      <c r="BM196" s="127"/>
      <c r="BN196" s="127"/>
      <c r="BO196" s="127"/>
      <c r="BP196" s="127"/>
      <c r="BQ196" s="127"/>
      <c r="BR196" s="127"/>
      <c r="BS196" s="127"/>
      <c r="BT196" s="127"/>
      <c r="BU196" s="127"/>
      <c r="BV196" s="127"/>
      <c r="BW196" s="127"/>
      <c r="BX196" s="127"/>
      <c r="BY196" s="127"/>
      <c r="BZ196" s="127"/>
      <c r="CA196" s="127"/>
      <c r="CB196" s="127"/>
      <c r="CC196" s="127"/>
      <c r="CD196" s="127"/>
      <c r="CE196" s="127"/>
      <c r="CF196" s="127"/>
      <c r="CG196" s="127"/>
      <c r="CH196" s="127"/>
      <c r="CI196" s="127"/>
    </row>
    <row r="197" spans="1:87" x14ac:dyDescent="0.25">
      <c r="A197" s="1"/>
      <c r="B197" s="1"/>
      <c r="F197" s="1"/>
      <c r="G197" s="1"/>
      <c r="AJ197" s="127"/>
      <c r="AK197" s="127"/>
      <c r="AL197" s="127"/>
      <c r="AM197" s="127"/>
      <c r="AN197" s="127"/>
      <c r="AO197" s="127"/>
      <c r="AP197" s="127"/>
      <c r="AQ197" s="127"/>
      <c r="AR197" s="127"/>
      <c r="AS197" s="127"/>
      <c r="AT197" s="127"/>
      <c r="AU197" s="127"/>
      <c r="AV197" s="127"/>
      <c r="AW197" s="127"/>
      <c r="AX197" s="127"/>
      <c r="AY197" s="127"/>
      <c r="AZ197" s="127"/>
      <c r="BA197" s="127"/>
      <c r="BB197" s="127"/>
      <c r="BC197" s="127"/>
      <c r="BD197" s="127"/>
      <c r="BE197" s="127"/>
      <c r="BF197" s="127"/>
      <c r="BG197" s="127"/>
      <c r="BH197" s="127"/>
      <c r="BI197" s="127"/>
      <c r="BJ197" s="127"/>
      <c r="BK197" s="127"/>
      <c r="BL197" s="127"/>
      <c r="BM197" s="127"/>
      <c r="BN197" s="127"/>
      <c r="BO197" s="127"/>
      <c r="BP197" s="127"/>
      <c r="BQ197" s="127"/>
      <c r="BR197" s="127"/>
      <c r="BS197" s="127"/>
      <c r="BT197" s="127"/>
      <c r="BU197" s="127"/>
      <c r="BV197" s="127"/>
      <c r="BW197" s="127"/>
      <c r="BX197" s="127"/>
      <c r="BY197" s="127"/>
      <c r="BZ197" s="127"/>
      <c r="CA197" s="127"/>
      <c r="CB197" s="127"/>
      <c r="CC197" s="127"/>
      <c r="CD197" s="127"/>
      <c r="CE197" s="127"/>
      <c r="CF197" s="127"/>
      <c r="CG197" s="127"/>
      <c r="CH197" s="127"/>
      <c r="CI197" s="127"/>
    </row>
    <row r="198" spans="1:87" x14ac:dyDescent="0.25">
      <c r="A198" s="1"/>
      <c r="B198" s="1"/>
      <c r="F198" s="1"/>
      <c r="G198" s="1"/>
      <c r="AJ198" s="127"/>
      <c r="AK198" s="127"/>
      <c r="AL198" s="127"/>
      <c r="AM198" s="127"/>
      <c r="AN198" s="127"/>
      <c r="AO198" s="127"/>
      <c r="AP198" s="127"/>
      <c r="AQ198" s="127"/>
      <c r="AR198" s="127"/>
      <c r="AS198" s="127"/>
      <c r="AT198" s="127"/>
      <c r="AU198" s="127"/>
      <c r="AV198" s="127"/>
      <c r="AW198" s="127"/>
      <c r="AX198" s="127"/>
      <c r="AY198" s="127"/>
      <c r="AZ198" s="127"/>
      <c r="BA198" s="127"/>
      <c r="BB198" s="127"/>
      <c r="BC198" s="127"/>
      <c r="BD198" s="127"/>
      <c r="BE198" s="127"/>
      <c r="BF198" s="127"/>
      <c r="BG198" s="127"/>
      <c r="BH198" s="127"/>
      <c r="BI198" s="127"/>
      <c r="BJ198" s="127"/>
      <c r="BK198" s="127"/>
      <c r="BL198" s="127"/>
      <c r="BM198" s="127"/>
      <c r="BN198" s="127"/>
      <c r="BO198" s="127"/>
      <c r="BP198" s="127"/>
      <c r="BQ198" s="127"/>
      <c r="BR198" s="127"/>
      <c r="BS198" s="127"/>
      <c r="BT198" s="127"/>
      <c r="BU198" s="127"/>
      <c r="BV198" s="127"/>
      <c r="BW198" s="127"/>
      <c r="BX198" s="127"/>
      <c r="BY198" s="127"/>
      <c r="BZ198" s="127"/>
      <c r="CA198" s="127"/>
      <c r="CB198" s="127"/>
      <c r="CC198" s="127"/>
      <c r="CD198" s="127"/>
      <c r="CE198" s="127"/>
      <c r="CF198" s="127"/>
      <c r="CG198" s="127"/>
      <c r="CH198" s="127"/>
      <c r="CI198" s="127"/>
    </row>
    <row r="199" spans="1:87" x14ac:dyDescent="0.25">
      <c r="A199" s="1"/>
      <c r="B199" s="1"/>
      <c r="F199" s="1"/>
      <c r="G199" s="1"/>
      <c r="AJ199" s="127"/>
      <c r="AK199" s="127"/>
      <c r="AL199" s="127"/>
      <c r="AM199" s="127"/>
      <c r="AN199" s="127"/>
      <c r="AO199" s="127"/>
      <c r="AP199" s="127"/>
      <c r="AQ199" s="127"/>
      <c r="AR199" s="127"/>
      <c r="AS199" s="127"/>
      <c r="AT199" s="127"/>
      <c r="AU199" s="127"/>
      <c r="AV199" s="127"/>
      <c r="AW199" s="127"/>
      <c r="AX199" s="127"/>
      <c r="AY199" s="127"/>
      <c r="AZ199" s="127"/>
      <c r="BA199" s="127"/>
      <c r="BB199" s="127"/>
      <c r="BC199" s="127"/>
      <c r="BD199" s="127"/>
      <c r="BE199" s="127"/>
      <c r="BF199" s="127"/>
      <c r="BG199" s="127"/>
      <c r="BH199" s="127"/>
      <c r="BI199" s="127"/>
      <c r="BJ199" s="127"/>
      <c r="BK199" s="127"/>
      <c r="BL199" s="127"/>
      <c r="BM199" s="127"/>
      <c r="BN199" s="127"/>
      <c r="BO199" s="127"/>
      <c r="BP199" s="127"/>
      <c r="BQ199" s="127"/>
      <c r="BR199" s="127"/>
      <c r="BS199" s="127"/>
      <c r="BT199" s="127"/>
      <c r="BU199" s="127"/>
      <c r="BV199" s="127"/>
      <c r="BW199" s="127"/>
      <c r="BX199" s="127"/>
      <c r="BY199" s="127"/>
      <c r="BZ199" s="127"/>
      <c r="CA199" s="127"/>
      <c r="CB199" s="127"/>
      <c r="CC199" s="127"/>
      <c r="CD199" s="127"/>
      <c r="CE199" s="127"/>
      <c r="CF199" s="127"/>
      <c r="CG199" s="127"/>
      <c r="CH199" s="127"/>
      <c r="CI199" s="127"/>
    </row>
    <row r="200" spans="1:87" x14ac:dyDescent="0.25">
      <c r="A200" s="1"/>
      <c r="B200" s="1"/>
      <c r="F200" s="1"/>
      <c r="G200" s="1"/>
      <c r="AJ200" s="127"/>
      <c r="AK200" s="127"/>
      <c r="AL200" s="127"/>
      <c r="AM200" s="127"/>
      <c r="AN200" s="127"/>
      <c r="AO200" s="127"/>
      <c r="AP200" s="127"/>
      <c r="AQ200" s="127"/>
      <c r="AR200" s="127"/>
      <c r="AS200" s="127"/>
      <c r="AT200" s="127"/>
      <c r="AU200" s="127"/>
      <c r="AV200" s="127"/>
      <c r="AW200" s="127"/>
      <c r="AX200" s="127"/>
      <c r="AY200" s="127"/>
      <c r="AZ200" s="127"/>
      <c r="BA200" s="127"/>
      <c r="BB200" s="127"/>
      <c r="BC200" s="127"/>
      <c r="BD200" s="127"/>
      <c r="BE200" s="127"/>
      <c r="BF200" s="127"/>
      <c r="BG200" s="127"/>
      <c r="BH200" s="127"/>
      <c r="BI200" s="127"/>
      <c r="BJ200" s="127"/>
      <c r="BK200" s="127"/>
      <c r="BL200" s="127"/>
      <c r="BM200" s="127"/>
      <c r="BN200" s="127"/>
      <c r="BO200" s="127"/>
      <c r="BP200" s="127"/>
      <c r="BQ200" s="127"/>
      <c r="BR200" s="127"/>
      <c r="BS200" s="127"/>
      <c r="BT200" s="127"/>
      <c r="BU200" s="127"/>
      <c r="BV200" s="127"/>
      <c r="BW200" s="127"/>
      <c r="BX200" s="127"/>
      <c r="BY200" s="127"/>
      <c r="BZ200" s="127"/>
      <c r="CA200" s="127"/>
      <c r="CB200" s="127"/>
      <c r="CC200" s="127"/>
      <c r="CD200" s="127"/>
      <c r="CE200" s="127"/>
      <c r="CF200" s="127"/>
      <c r="CG200" s="127"/>
      <c r="CH200" s="127"/>
      <c r="CI200" s="127"/>
    </row>
    <row r="201" spans="1:87" x14ac:dyDescent="0.25">
      <c r="A201" s="1"/>
      <c r="B201" s="1"/>
      <c r="F201" s="1"/>
      <c r="G201" s="1"/>
      <c r="AJ201" s="127"/>
      <c r="AK201" s="127"/>
      <c r="AL201" s="127"/>
      <c r="AM201" s="127"/>
      <c r="AN201" s="127"/>
      <c r="AO201" s="127"/>
      <c r="AP201" s="127"/>
      <c r="AQ201" s="127"/>
      <c r="AR201" s="127"/>
      <c r="AS201" s="127"/>
      <c r="AT201" s="127"/>
      <c r="AU201" s="127"/>
      <c r="AV201" s="127"/>
      <c r="AW201" s="127"/>
      <c r="AX201" s="127"/>
      <c r="AY201" s="127"/>
      <c r="AZ201" s="127"/>
      <c r="BA201" s="127"/>
      <c r="BB201" s="127"/>
      <c r="BC201" s="127"/>
      <c r="BD201" s="127"/>
      <c r="BE201" s="127"/>
      <c r="BF201" s="127"/>
      <c r="BG201" s="127"/>
      <c r="BH201" s="127"/>
      <c r="BI201" s="127"/>
      <c r="BJ201" s="127"/>
      <c r="BK201" s="127"/>
      <c r="BL201" s="127"/>
      <c r="BM201" s="127"/>
      <c r="BN201" s="127"/>
      <c r="BO201" s="127"/>
      <c r="BP201" s="127"/>
      <c r="BQ201" s="127"/>
      <c r="BR201" s="127"/>
      <c r="BS201" s="127"/>
      <c r="BT201" s="127"/>
      <c r="BU201" s="127"/>
      <c r="BV201" s="127"/>
      <c r="BW201" s="127"/>
      <c r="BX201" s="127"/>
      <c r="BY201" s="127"/>
      <c r="BZ201" s="127"/>
      <c r="CA201" s="127"/>
      <c r="CB201" s="127"/>
      <c r="CC201" s="127"/>
      <c r="CD201" s="127"/>
      <c r="CE201" s="127"/>
      <c r="CF201" s="127"/>
      <c r="CG201" s="127"/>
      <c r="CH201" s="127"/>
      <c r="CI201" s="127"/>
    </row>
    <row r="202" spans="1:87" x14ac:dyDescent="0.25">
      <c r="A202" s="1"/>
      <c r="B202" s="1"/>
      <c r="F202" s="1"/>
      <c r="G202" s="1"/>
      <c r="AJ202" s="127"/>
      <c r="AK202" s="127"/>
      <c r="AL202" s="127"/>
      <c r="AM202" s="127"/>
      <c r="AN202" s="127"/>
      <c r="AO202" s="127"/>
      <c r="AP202" s="127"/>
      <c r="AQ202" s="127"/>
      <c r="AR202" s="127"/>
      <c r="AS202" s="127"/>
      <c r="AT202" s="127"/>
      <c r="AU202" s="127"/>
      <c r="AV202" s="127"/>
      <c r="AW202" s="127"/>
      <c r="AX202" s="127"/>
      <c r="AY202" s="127"/>
      <c r="AZ202" s="127"/>
      <c r="BA202" s="127"/>
      <c r="BB202" s="127"/>
      <c r="BC202" s="127"/>
      <c r="BD202" s="127"/>
      <c r="BE202" s="127"/>
      <c r="BF202" s="127"/>
      <c r="BG202" s="127"/>
      <c r="BH202" s="127"/>
      <c r="BI202" s="127"/>
      <c r="BJ202" s="127"/>
      <c r="BK202" s="127"/>
      <c r="BL202" s="127"/>
      <c r="BM202" s="127"/>
      <c r="BN202" s="127"/>
      <c r="BO202" s="127"/>
      <c r="BP202" s="127"/>
      <c r="BQ202" s="127"/>
      <c r="BR202" s="127"/>
      <c r="BS202" s="127"/>
      <c r="BT202" s="127"/>
      <c r="BU202" s="127"/>
      <c r="BV202" s="127"/>
      <c r="BW202" s="127"/>
      <c r="BX202" s="127"/>
      <c r="BY202" s="127"/>
      <c r="BZ202" s="127"/>
      <c r="CA202" s="127"/>
      <c r="CB202" s="127"/>
      <c r="CC202" s="127"/>
      <c r="CD202" s="127"/>
      <c r="CE202" s="127"/>
      <c r="CF202" s="127"/>
      <c r="CG202" s="127"/>
      <c r="CH202" s="127"/>
      <c r="CI202" s="127"/>
    </row>
    <row r="203" spans="1:87" x14ac:dyDescent="0.25">
      <c r="A203" s="1"/>
      <c r="B203" s="1"/>
      <c r="F203" s="1"/>
      <c r="G203" s="1"/>
      <c r="AJ203" s="127"/>
      <c r="AK203" s="127"/>
      <c r="AL203" s="127"/>
      <c r="AM203" s="127"/>
      <c r="AN203" s="127"/>
      <c r="AO203" s="127"/>
      <c r="AP203" s="127"/>
      <c r="AQ203" s="127"/>
      <c r="AR203" s="127"/>
      <c r="AS203" s="127"/>
      <c r="AT203" s="127"/>
      <c r="AU203" s="127"/>
      <c r="AV203" s="127"/>
      <c r="AW203" s="127"/>
      <c r="AX203" s="127"/>
      <c r="AY203" s="127"/>
      <c r="AZ203" s="127"/>
      <c r="BA203" s="127"/>
      <c r="BB203" s="127"/>
      <c r="BC203" s="127"/>
      <c r="BD203" s="127"/>
      <c r="BE203" s="127"/>
      <c r="BF203" s="127"/>
      <c r="BG203" s="127"/>
      <c r="BH203" s="127"/>
      <c r="BI203" s="127"/>
      <c r="BJ203" s="127"/>
      <c r="BK203" s="127"/>
      <c r="BL203" s="127"/>
      <c r="BM203" s="127"/>
      <c r="BN203" s="127"/>
      <c r="BO203" s="127"/>
      <c r="BP203" s="127"/>
      <c r="BQ203" s="127"/>
      <c r="BR203" s="127"/>
      <c r="BS203" s="127"/>
      <c r="BT203" s="127"/>
      <c r="BU203" s="127"/>
      <c r="BV203" s="127"/>
      <c r="BW203" s="127"/>
      <c r="BX203" s="127"/>
      <c r="BY203" s="127"/>
      <c r="BZ203" s="127"/>
      <c r="CA203" s="127"/>
      <c r="CB203" s="127"/>
      <c r="CC203" s="127"/>
      <c r="CD203" s="127"/>
      <c r="CE203" s="127"/>
      <c r="CF203" s="127"/>
      <c r="CG203" s="127"/>
      <c r="CH203" s="127"/>
      <c r="CI203" s="127"/>
    </row>
    <row r="204" spans="1:87" x14ac:dyDescent="0.25">
      <c r="A204" s="1"/>
      <c r="B204" s="1"/>
      <c r="F204" s="1"/>
      <c r="G204" s="1"/>
      <c r="AJ204" s="127"/>
      <c r="AK204" s="127"/>
      <c r="AL204" s="127"/>
      <c r="AM204" s="127"/>
      <c r="AN204" s="127"/>
      <c r="AO204" s="127"/>
      <c r="AP204" s="127"/>
      <c r="AQ204" s="127"/>
      <c r="AR204" s="127"/>
      <c r="AS204" s="127"/>
      <c r="AT204" s="127"/>
      <c r="AU204" s="127"/>
      <c r="AV204" s="127"/>
      <c r="AW204" s="127"/>
      <c r="AX204" s="127"/>
      <c r="AY204" s="127"/>
      <c r="AZ204" s="127"/>
      <c r="BA204" s="127"/>
      <c r="BB204" s="127"/>
      <c r="BC204" s="127"/>
      <c r="BD204" s="127"/>
      <c r="BE204" s="127"/>
      <c r="BF204" s="127"/>
      <c r="BG204" s="127"/>
      <c r="BH204" s="127"/>
      <c r="BI204" s="127"/>
      <c r="BJ204" s="127"/>
      <c r="BK204" s="127"/>
      <c r="BL204" s="127"/>
      <c r="BM204" s="127"/>
      <c r="BN204" s="127"/>
      <c r="BO204" s="127"/>
      <c r="BP204" s="127"/>
      <c r="BQ204" s="127"/>
      <c r="BR204" s="127"/>
      <c r="BS204" s="127"/>
      <c r="BT204" s="127"/>
      <c r="BU204" s="127"/>
      <c r="BV204" s="127"/>
      <c r="BW204" s="127"/>
      <c r="BX204" s="127"/>
      <c r="BY204" s="127"/>
      <c r="BZ204" s="127"/>
      <c r="CA204" s="127"/>
      <c r="CB204" s="127"/>
      <c r="CC204" s="127"/>
      <c r="CD204" s="127"/>
      <c r="CE204" s="127"/>
      <c r="CF204" s="127"/>
      <c r="CG204" s="127"/>
      <c r="CH204" s="127"/>
      <c r="CI204" s="127"/>
    </row>
    <row r="205" spans="1:87" x14ac:dyDescent="0.25">
      <c r="A205" s="1"/>
      <c r="B205" s="1"/>
      <c r="F205" s="1"/>
      <c r="G205" s="1"/>
      <c r="AJ205" s="127"/>
      <c r="AK205" s="127"/>
      <c r="AL205" s="127"/>
      <c r="AM205" s="127"/>
      <c r="AN205" s="127"/>
      <c r="AO205" s="127"/>
      <c r="AP205" s="127"/>
      <c r="AQ205" s="127"/>
      <c r="AR205" s="127"/>
      <c r="AS205" s="127"/>
      <c r="AT205" s="127"/>
      <c r="AU205" s="127"/>
      <c r="AV205" s="127"/>
      <c r="AW205" s="127"/>
      <c r="AX205" s="127"/>
      <c r="AY205" s="127"/>
      <c r="AZ205" s="127"/>
      <c r="BA205" s="127"/>
      <c r="BB205" s="127"/>
      <c r="BC205" s="127"/>
      <c r="BD205" s="127"/>
      <c r="BE205" s="127"/>
      <c r="BF205" s="127"/>
      <c r="BG205" s="127"/>
      <c r="BH205" s="127"/>
      <c r="BI205" s="127"/>
      <c r="BJ205" s="127"/>
      <c r="BK205" s="127"/>
      <c r="BL205" s="127"/>
      <c r="BM205" s="127"/>
      <c r="BN205" s="127"/>
      <c r="BO205" s="127"/>
      <c r="BP205" s="127"/>
      <c r="BQ205" s="127"/>
      <c r="BR205" s="127"/>
      <c r="BS205" s="127"/>
      <c r="BT205" s="127"/>
      <c r="BU205" s="127"/>
      <c r="BV205" s="127"/>
      <c r="BW205" s="127"/>
      <c r="BX205" s="127"/>
      <c r="BY205" s="127"/>
      <c r="BZ205" s="127"/>
      <c r="CA205" s="127"/>
      <c r="CB205" s="127"/>
      <c r="CC205" s="127"/>
      <c r="CD205" s="127"/>
      <c r="CE205" s="127"/>
      <c r="CF205" s="127"/>
      <c r="CG205" s="127"/>
      <c r="CH205" s="127"/>
      <c r="CI205" s="127"/>
    </row>
    <row r="206" spans="1:87" x14ac:dyDescent="0.25">
      <c r="A206" s="1"/>
      <c r="B206" s="1"/>
      <c r="F206" s="1"/>
      <c r="G206" s="1"/>
      <c r="AJ206" s="127"/>
      <c r="AK206" s="127"/>
      <c r="AL206" s="127"/>
      <c r="AM206" s="127"/>
      <c r="AN206" s="127"/>
      <c r="AO206" s="127"/>
      <c r="AP206" s="127"/>
      <c r="AQ206" s="127"/>
      <c r="AR206" s="127"/>
      <c r="AS206" s="127"/>
      <c r="AT206" s="127"/>
      <c r="AU206" s="127"/>
      <c r="AV206" s="127"/>
      <c r="AW206" s="127"/>
      <c r="AX206" s="127"/>
      <c r="AY206" s="127"/>
      <c r="AZ206" s="127"/>
      <c r="BA206" s="127"/>
      <c r="BB206" s="127"/>
      <c r="BC206" s="127"/>
      <c r="BD206" s="127"/>
      <c r="BE206" s="127"/>
      <c r="BF206" s="127"/>
      <c r="BG206" s="127"/>
      <c r="BH206" s="127"/>
      <c r="BI206" s="127"/>
      <c r="BJ206" s="127"/>
      <c r="BK206" s="127"/>
      <c r="BL206" s="127"/>
      <c r="BM206" s="127"/>
      <c r="BN206" s="127"/>
      <c r="BO206" s="127"/>
      <c r="BP206" s="127"/>
      <c r="BQ206" s="127"/>
      <c r="BR206" s="127"/>
      <c r="BS206" s="127"/>
      <c r="BT206" s="127"/>
      <c r="BU206" s="127"/>
      <c r="BV206" s="127"/>
      <c r="BW206" s="127"/>
      <c r="BX206" s="127"/>
      <c r="BY206" s="127"/>
      <c r="BZ206" s="127"/>
      <c r="CA206" s="127"/>
      <c r="CB206" s="127"/>
      <c r="CC206" s="127"/>
      <c r="CD206" s="127"/>
      <c r="CE206" s="127"/>
      <c r="CF206" s="127"/>
      <c r="CG206" s="127"/>
      <c r="CH206" s="127"/>
      <c r="CI206" s="127"/>
    </row>
    <row r="207" spans="1:87" x14ac:dyDescent="0.25">
      <c r="A207" s="1"/>
      <c r="B207" s="1"/>
      <c r="F207" s="1"/>
      <c r="G207" s="1"/>
      <c r="AJ207" s="127"/>
      <c r="AK207" s="127"/>
      <c r="AL207" s="127"/>
      <c r="AM207" s="127"/>
      <c r="AN207" s="127"/>
      <c r="AO207" s="127"/>
      <c r="AP207" s="127"/>
      <c r="AQ207" s="127"/>
      <c r="AR207" s="127"/>
      <c r="AS207" s="127"/>
      <c r="AT207" s="127"/>
      <c r="AU207" s="127"/>
      <c r="AV207" s="127"/>
      <c r="AW207" s="127"/>
      <c r="AX207" s="127"/>
      <c r="AY207" s="127"/>
      <c r="AZ207" s="127"/>
      <c r="BA207" s="127"/>
      <c r="BB207" s="127"/>
      <c r="BC207" s="127"/>
      <c r="BD207" s="127"/>
      <c r="BE207" s="127"/>
      <c r="BF207" s="127"/>
      <c r="BG207" s="127"/>
      <c r="BH207" s="127"/>
      <c r="BI207" s="127"/>
      <c r="BJ207" s="127"/>
      <c r="BK207" s="127"/>
      <c r="BL207" s="127"/>
      <c r="BM207" s="127"/>
      <c r="BN207" s="127"/>
      <c r="BO207" s="127"/>
      <c r="BP207" s="127"/>
      <c r="BQ207" s="127"/>
      <c r="BR207" s="127"/>
      <c r="BS207" s="127"/>
      <c r="BT207" s="127"/>
      <c r="BU207" s="127"/>
      <c r="BV207" s="127"/>
      <c r="BW207" s="127"/>
      <c r="BX207" s="127"/>
      <c r="BY207" s="127"/>
      <c r="BZ207" s="127"/>
      <c r="CA207" s="127"/>
      <c r="CB207" s="127"/>
      <c r="CC207" s="127"/>
      <c r="CD207" s="127"/>
      <c r="CE207" s="127"/>
      <c r="CF207" s="127"/>
      <c r="CG207" s="127"/>
      <c r="CH207" s="127"/>
      <c r="CI207" s="127"/>
    </row>
    <row r="208" spans="1:87" x14ac:dyDescent="0.25">
      <c r="A208" s="1"/>
      <c r="B208" s="1"/>
      <c r="F208" s="1"/>
      <c r="G208" s="1"/>
      <c r="AJ208" s="127"/>
      <c r="AK208" s="127"/>
      <c r="AL208" s="127"/>
      <c r="AM208" s="127"/>
      <c r="AN208" s="127"/>
      <c r="AO208" s="127"/>
      <c r="AP208" s="127"/>
      <c r="AQ208" s="127"/>
      <c r="AR208" s="127"/>
      <c r="AS208" s="127"/>
      <c r="AT208" s="127"/>
      <c r="AU208" s="127"/>
      <c r="AV208" s="127"/>
      <c r="AW208" s="127"/>
      <c r="AX208" s="127"/>
      <c r="AY208" s="127"/>
      <c r="AZ208" s="127"/>
      <c r="BA208" s="127"/>
      <c r="BB208" s="127"/>
      <c r="BC208" s="127"/>
      <c r="BD208" s="127"/>
      <c r="BE208" s="127"/>
      <c r="BF208" s="127"/>
      <c r="BG208" s="127"/>
      <c r="BH208" s="127"/>
      <c r="BI208" s="127"/>
      <c r="BJ208" s="127"/>
      <c r="BK208" s="127"/>
      <c r="BL208" s="127"/>
      <c r="BM208" s="127"/>
      <c r="BN208" s="127"/>
      <c r="BO208" s="127"/>
      <c r="BP208" s="127"/>
      <c r="BQ208" s="127"/>
      <c r="BR208" s="127"/>
      <c r="BS208" s="127"/>
      <c r="BT208" s="127"/>
      <c r="BU208" s="127"/>
      <c r="BV208" s="127"/>
      <c r="BW208" s="127"/>
      <c r="BX208" s="127"/>
      <c r="BY208" s="127"/>
      <c r="BZ208" s="127"/>
      <c r="CA208" s="127"/>
      <c r="CB208" s="127"/>
      <c r="CC208" s="127"/>
      <c r="CD208" s="127"/>
      <c r="CE208" s="127"/>
      <c r="CF208" s="127"/>
      <c r="CG208" s="127"/>
      <c r="CH208" s="127"/>
      <c r="CI208" s="127"/>
    </row>
    <row r="209" spans="1:87" x14ac:dyDescent="0.25">
      <c r="A209" s="1"/>
      <c r="B209" s="1"/>
      <c r="F209" s="1"/>
      <c r="G209" s="1"/>
      <c r="AJ209" s="127"/>
      <c r="AK209" s="127"/>
      <c r="AL209" s="127"/>
      <c r="AM209" s="127"/>
      <c r="AN209" s="127"/>
      <c r="AO209" s="127"/>
      <c r="AP209" s="127"/>
      <c r="AQ209" s="127"/>
      <c r="AR209" s="127"/>
      <c r="AS209" s="127"/>
      <c r="AT209" s="127"/>
      <c r="AU209" s="127"/>
      <c r="AV209" s="127"/>
      <c r="AW209" s="127"/>
      <c r="AX209" s="127"/>
      <c r="AY209" s="127"/>
      <c r="AZ209" s="127"/>
      <c r="BA209" s="127"/>
      <c r="BB209" s="127"/>
      <c r="BC209" s="127"/>
      <c r="BD209" s="127"/>
      <c r="BE209" s="127"/>
      <c r="BF209" s="127"/>
      <c r="BG209" s="127"/>
      <c r="BH209" s="127"/>
      <c r="BI209" s="127"/>
      <c r="BJ209" s="127"/>
      <c r="BK209" s="127"/>
      <c r="BL209" s="127"/>
      <c r="BM209" s="127"/>
      <c r="BN209" s="127"/>
      <c r="BO209" s="127"/>
      <c r="BP209" s="127"/>
      <c r="BQ209" s="127"/>
      <c r="BR209" s="127"/>
      <c r="BS209" s="127"/>
      <c r="BT209" s="127"/>
      <c r="BU209" s="127"/>
      <c r="BV209" s="127"/>
      <c r="BW209" s="127"/>
      <c r="BX209" s="127"/>
      <c r="BY209" s="127"/>
      <c r="BZ209" s="127"/>
      <c r="CA209" s="127"/>
      <c r="CB209" s="127"/>
      <c r="CC209" s="127"/>
      <c r="CD209" s="127"/>
      <c r="CE209" s="127"/>
      <c r="CF209" s="127"/>
      <c r="CG209" s="127"/>
      <c r="CH209" s="127"/>
      <c r="CI209" s="127"/>
    </row>
    <row r="210" spans="1:87" x14ac:dyDescent="0.25">
      <c r="A210" s="1"/>
      <c r="B210" s="1"/>
      <c r="F210" s="1"/>
      <c r="G210" s="1"/>
      <c r="AJ210" s="127"/>
      <c r="AK210" s="127"/>
      <c r="AL210" s="127"/>
      <c r="AM210" s="127"/>
      <c r="AN210" s="127"/>
      <c r="AO210" s="127"/>
      <c r="AP210" s="127"/>
      <c r="AQ210" s="127"/>
      <c r="AR210" s="127"/>
      <c r="AS210" s="127"/>
      <c r="AT210" s="127"/>
      <c r="AU210" s="127"/>
      <c r="AV210" s="127"/>
      <c r="AW210" s="127"/>
      <c r="AX210" s="127"/>
      <c r="AY210" s="127"/>
      <c r="AZ210" s="127"/>
      <c r="BA210" s="127"/>
      <c r="BB210" s="127"/>
      <c r="BC210" s="127"/>
      <c r="BD210" s="127"/>
      <c r="BE210" s="127"/>
      <c r="BF210" s="127"/>
      <c r="BG210" s="127"/>
      <c r="BH210" s="127"/>
      <c r="BI210" s="127"/>
      <c r="BJ210" s="127"/>
      <c r="BK210" s="127"/>
      <c r="BL210" s="127"/>
      <c r="BM210" s="127"/>
      <c r="BN210" s="127"/>
      <c r="BO210" s="127"/>
      <c r="BP210" s="127"/>
      <c r="BQ210" s="127"/>
      <c r="BR210" s="127"/>
      <c r="BS210" s="127"/>
      <c r="BT210" s="127"/>
      <c r="BU210" s="127"/>
      <c r="BV210" s="127"/>
      <c r="BW210" s="127"/>
      <c r="BX210" s="127"/>
      <c r="BY210" s="127"/>
      <c r="BZ210" s="127"/>
      <c r="CA210" s="127"/>
      <c r="CB210" s="127"/>
      <c r="CC210" s="127"/>
      <c r="CD210" s="127"/>
      <c r="CE210" s="127"/>
      <c r="CF210" s="127"/>
      <c r="CG210" s="127"/>
      <c r="CH210" s="127"/>
      <c r="CI210" s="127"/>
    </row>
    <row r="211" spans="1:87" x14ac:dyDescent="0.25">
      <c r="A211" s="1"/>
      <c r="B211" s="1"/>
      <c r="F211" s="1"/>
      <c r="G211" s="1"/>
      <c r="AJ211" s="127"/>
      <c r="AK211" s="127"/>
      <c r="AL211" s="127"/>
      <c r="AM211" s="127"/>
      <c r="AN211" s="127"/>
      <c r="AO211" s="127"/>
      <c r="AP211" s="127"/>
      <c r="AQ211" s="127"/>
      <c r="AR211" s="127"/>
      <c r="AS211" s="127"/>
      <c r="AT211" s="127"/>
      <c r="AU211" s="127"/>
      <c r="AV211" s="127"/>
      <c r="AW211" s="127"/>
      <c r="AX211" s="127"/>
      <c r="AY211" s="127"/>
      <c r="AZ211" s="127"/>
      <c r="BA211" s="127"/>
      <c r="BB211" s="127"/>
      <c r="BC211" s="127"/>
      <c r="BD211" s="127"/>
      <c r="BE211" s="127"/>
      <c r="BF211" s="127"/>
      <c r="BG211" s="127"/>
      <c r="BH211" s="127"/>
      <c r="BI211" s="127"/>
      <c r="BJ211" s="127"/>
      <c r="BK211" s="127"/>
      <c r="BL211" s="127"/>
      <c r="BM211" s="127"/>
      <c r="BN211" s="127"/>
      <c r="BO211" s="127"/>
      <c r="BP211" s="127"/>
      <c r="BQ211" s="127"/>
      <c r="BR211" s="127"/>
      <c r="BS211" s="127"/>
      <c r="BT211" s="127"/>
      <c r="BU211" s="127"/>
      <c r="BV211" s="127"/>
      <c r="BW211" s="127"/>
      <c r="BX211" s="127"/>
      <c r="BY211" s="127"/>
      <c r="BZ211" s="127"/>
      <c r="CA211" s="127"/>
      <c r="CB211" s="127"/>
      <c r="CC211" s="127"/>
      <c r="CD211" s="127"/>
      <c r="CE211" s="127"/>
      <c r="CF211" s="127"/>
      <c r="CG211" s="127"/>
      <c r="CH211" s="127"/>
      <c r="CI211" s="127"/>
    </row>
    <row r="212" spans="1:87" x14ac:dyDescent="0.25">
      <c r="A212" s="1"/>
      <c r="B212" s="1"/>
      <c r="F212" s="1"/>
      <c r="G212" s="1"/>
      <c r="AJ212" s="127"/>
      <c r="AK212" s="127"/>
      <c r="AL212" s="127"/>
      <c r="AM212" s="127"/>
      <c r="AN212" s="127"/>
      <c r="AO212" s="127"/>
      <c r="AP212" s="127"/>
      <c r="AQ212" s="127"/>
      <c r="AR212" s="127"/>
      <c r="AS212" s="127"/>
      <c r="AT212" s="127"/>
      <c r="AU212" s="127"/>
      <c r="AV212" s="127"/>
      <c r="AW212" s="127"/>
      <c r="AX212" s="127"/>
      <c r="AY212" s="127"/>
      <c r="AZ212" s="127"/>
      <c r="BA212" s="127"/>
      <c r="BB212" s="127"/>
      <c r="BC212" s="127"/>
      <c r="BD212" s="127"/>
      <c r="BE212" s="127"/>
      <c r="BF212" s="127"/>
      <c r="BG212" s="127"/>
      <c r="BH212" s="127"/>
      <c r="BI212" s="127"/>
      <c r="BJ212" s="127"/>
      <c r="BK212" s="127"/>
      <c r="BL212" s="127"/>
      <c r="BM212" s="127"/>
      <c r="BN212" s="127"/>
      <c r="BO212" s="127"/>
      <c r="BP212" s="127"/>
      <c r="BQ212" s="127"/>
      <c r="BR212" s="127"/>
      <c r="BS212" s="127"/>
      <c r="BT212" s="127"/>
      <c r="BU212" s="127"/>
      <c r="BV212" s="127"/>
      <c r="BW212" s="127"/>
      <c r="BX212" s="127"/>
      <c r="BY212" s="127"/>
      <c r="BZ212" s="127"/>
      <c r="CA212" s="127"/>
      <c r="CB212" s="127"/>
      <c r="CC212" s="127"/>
      <c r="CD212" s="127"/>
      <c r="CE212" s="127"/>
      <c r="CF212" s="127"/>
      <c r="CG212" s="127"/>
      <c r="CH212" s="127"/>
      <c r="CI212" s="127"/>
    </row>
    <row r="213" spans="1:87" x14ac:dyDescent="0.25">
      <c r="A213" s="1"/>
      <c r="B213" s="1"/>
      <c r="F213" s="1"/>
      <c r="G213" s="1"/>
      <c r="AJ213" s="127"/>
      <c r="AK213" s="127"/>
      <c r="AL213" s="127"/>
      <c r="AM213" s="127"/>
      <c r="AN213" s="127"/>
      <c r="AO213" s="127"/>
      <c r="AP213" s="127"/>
      <c r="AQ213" s="127"/>
      <c r="AR213" s="127"/>
      <c r="AS213" s="127"/>
      <c r="AT213" s="127"/>
      <c r="AU213" s="127"/>
      <c r="AV213" s="127"/>
      <c r="AW213" s="127"/>
      <c r="AX213" s="127"/>
      <c r="AY213" s="127"/>
      <c r="AZ213" s="127"/>
      <c r="BA213" s="127"/>
      <c r="BB213" s="127"/>
      <c r="BC213" s="127"/>
      <c r="BD213" s="127"/>
      <c r="BE213" s="127"/>
      <c r="BF213" s="127"/>
      <c r="BG213" s="127"/>
      <c r="BH213" s="127"/>
      <c r="BI213" s="127"/>
      <c r="BJ213" s="127"/>
      <c r="BK213" s="127"/>
      <c r="BL213" s="127"/>
      <c r="BM213" s="127"/>
      <c r="BN213" s="127"/>
      <c r="BO213" s="127"/>
      <c r="BP213" s="127"/>
      <c r="BQ213" s="127"/>
      <c r="BR213" s="127"/>
      <c r="BS213" s="127"/>
      <c r="BT213" s="127"/>
      <c r="BU213" s="127"/>
      <c r="BV213" s="127"/>
      <c r="BW213" s="127"/>
      <c r="BX213" s="127"/>
      <c r="BY213" s="127"/>
      <c r="BZ213" s="127"/>
      <c r="CA213" s="127"/>
      <c r="CB213" s="127"/>
      <c r="CC213" s="127"/>
      <c r="CD213" s="127"/>
      <c r="CE213" s="127"/>
      <c r="CF213" s="127"/>
      <c r="CG213" s="127"/>
      <c r="CH213" s="127"/>
      <c r="CI213" s="127"/>
    </row>
    <row r="214" spans="1:87" x14ac:dyDescent="0.25">
      <c r="A214" s="1"/>
      <c r="B214" s="1"/>
      <c r="F214" s="1"/>
      <c r="G214" s="1"/>
      <c r="AJ214" s="127"/>
      <c r="AK214" s="127"/>
      <c r="AL214" s="127"/>
      <c r="AM214" s="127"/>
      <c r="AN214" s="127"/>
      <c r="AO214" s="127"/>
      <c r="AP214" s="127"/>
      <c r="AQ214" s="127"/>
      <c r="AR214" s="127"/>
      <c r="AS214" s="127"/>
      <c r="AT214" s="127"/>
      <c r="AU214" s="127"/>
      <c r="AV214" s="127"/>
      <c r="AW214" s="127"/>
      <c r="AX214" s="127"/>
      <c r="AY214" s="127"/>
      <c r="AZ214" s="127"/>
      <c r="BA214" s="127"/>
      <c r="BB214" s="127"/>
      <c r="BC214" s="127"/>
      <c r="BD214" s="127"/>
      <c r="BE214" s="127"/>
      <c r="BF214" s="127"/>
      <c r="BG214" s="127"/>
      <c r="BH214" s="127"/>
      <c r="BI214" s="127"/>
      <c r="BJ214" s="127"/>
      <c r="BK214" s="127"/>
      <c r="BL214" s="127"/>
      <c r="BM214" s="127"/>
      <c r="BN214" s="127"/>
      <c r="BO214" s="127"/>
      <c r="BP214" s="127"/>
      <c r="BQ214" s="127"/>
      <c r="BR214" s="127"/>
      <c r="BS214" s="127"/>
      <c r="BT214" s="127"/>
      <c r="BU214" s="127"/>
      <c r="BV214" s="127"/>
      <c r="BW214" s="127"/>
      <c r="BX214" s="127"/>
      <c r="BY214" s="127"/>
      <c r="BZ214" s="127"/>
      <c r="CA214" s="127"/>
      <c r="CB214" s="127"/>
      <c r="CC214" s="127"/>
      <c r="CD214" s="127"/>
      <c r="CE214" s="127"/>
      <c r="CF214" s="127"/>
      <c r="CG214" s="127"/>
      <c r="CH214" s="127"/>
      <c r="CI214" s="127"/>
    </row>
    <row r="215" spans="1:87" x14ac:dyDescent="0.25">
      <c r="A215" s="1"/>
      <c r="B215" s="1"/>
      <c r="F215" s="1"/>
      <c r="G215" s="1"/>
      <c r="AJ215" s="127"/>
      <c r="AK215" s="127"/>
      <c r="AL215" s="127"/>
      <c r="AM215" s="127"/>
      <c r="AN215" s="127"/>
      <c r="AO215" s="127"/>
      <c r="AP215" s="127"/>
      <c r="AQ215" s="127"/>
      <c r="AR215" s="127"/>
      <c r="AS215" s="127"/>
      <c r="AT215" s="127"/>
      <c r="AU215" s="127"/>
      <c r="AV215" s="127"/>
      <c r="AW215" s="127"/>
      <c r="AX215" s="127"/>
      <c r="AY215" s="127"/>
      <c r="AZ215" s="127"/>
      <c r="BA215" s="127"/>
      <c r="BB215" s="127"/>
      <c r="BC215" s="127"/>
      <c r="BD215" s="127"/>
      <c r="BE215" s="127"/>
      <c r="BF215" s="127"/>
      <c r="BG215" s="127"/>
      <c r="BH215" s="127"/>
      <c r="BI215" s="127"/>
      <c r="BJ215" s="127"/>
      <c r="BK215" s="127"/>
      <c r="BL215" s="127"/>
      <c r="BM215" s="127"/>
      <c r="BN215" s="127"/>
      <c r="BO215" s="127"/>
      <c r="BP215" s="127"/>
      <c r="BQ215" s="127"/>
      <c r="BR215" s="127"/>
      <c r="BS215" s="127"/>
      <c r="BT215" s="127"/>
      <c r="BU215" s="127"/>
      <c r="BV215" s="127"/>
      <c r="BW215" s="127"/>
      <c r="BX215" s="127"/>
      <c r="BY215" s="127"/>
      <c r="BZ215" s="127"/>
      <c r="CA215" s="127"/>
      <c r="CB215" s="127"/>
      <c r="CC215" s="127"/>
      <c r="CD215" s="127"/>
      <c r="CE215" s="127"/>
      <c r="CF215" s="127"/>
      <c r="CG215" s="127"/>
      <c r="CH215" s="127"/>
      <c r="CI215" s="127"/>
    </row>
    <row r="216" spans="1:87" x14ac:dyDescent="0.25">
      <c r="A216" s="1"/>
      <c r="B216" s="1"/>
      <c r="F216" s="1"/>
      <c r="G216" s="1"/>
      <c r="AJ216" s="127"/>
      <c r="AK216" s="127"/>
      <c r="AL216" s="127"/>
      <c r="AM216" s="127"/>
      <c r="AN216" s="127"/>
      <c r="AO216" s="127"/>
      <c r="AP216" s="127"/>
      <c r="AQ216" s="127"/>
      <c r="AR216" s="127"/>
      <c r="AS216" s="127"/>
      <c r="AT216" s="127"/>
      <c r="AU216" s="127"/>
      <c r="AV216" s="127"/>
      <c r="AW216" s="127"/>
      <c r="AX216" s="127"/>
      <c r="AY216" s="127"/>
      <c r="AZ216" s="127"/>
      <c r="BA216" s="127"/>
      <c r="BB216" s="127"/>
      <c r="BC216" s="127"/>
      <c r="BD216" s="127"/>
      <c r="BE216" s="127"/>
      <c r="BF216" s="127"/>
      <c r="BG216" s="127"/>
      <c r="BH216" s="127"/>
      <c r="BI216" s="127"/>
      <c r="BJ216" s="127"/>
      <c r="BK216" s="127"/>
      <c r="BL216" s="127"/>
      <c r="BM216" s="127"/>
      <c r="BN216" s="127"/>
      <c r="BO216" s="127"/>
      <c r="BP216" s="127"/>
      <c r="BQ216" s="127"/>
      <c r="BR216" s="127"/>
      <c r="BS216" s="127"/>
      <c r="BT216" s="127"/>
      <c r="BU216" s="127"/>
      <c r="BV216" s="127"/>
      <c r="BW216" s="127"/>
      <c r="BX216" s="127"/>
      <c r="BY216" s="127"/>
      <c r="BZ216" s="127"/>
      <c r="CA216" s="127"/>
      <c r="CB216" s="127"/>
      <c r="CC216" s="127"/>
      <c r="CD216" s="127"/>
      <c r="CE216" s="127"/>
      <c r="CF216" s="127"/>
      <c r="CG216" s="127"/>
      <c r="CH216" s="127"/>
      <c r="CI216" s="127"/>
    </row>
    <row r="217" spans="1:87" x14ac:dyDescent="0.25">
      <c r="A217" s="1"/>
      <c r="B217" s="1"/>
      <c r="F217" s="1"/>
      <c r="G217" s="1"/>
      <c r="AJ217" s="127"/>
      <c r="AK217" s="127"/>
      <c r="AL217" s="127"/>
      <c r="AM217" s="127"/>
      <c r="AN217" s="127"/>
      <c r="AO217" s="127"/>
      <c r="AP217" s="127"/>
      <c r="AQ217" s="127"/>
      <c r="AR217" s="127"/>
      <c r="AS217" s="127"/>
      <c r="AT217" s="127"/>
      <c r="AU217" s="127"/>
      <c r="AV217" s="127"/>
      <c r="AW217" s="127"/>
      <c r="AX217" s="127"/>
      <c r="AY217" s="127"/>
      <c r="AZ217" s="127"/>
      <c r="BA217" s="127"/>
      <c r="BB217" s="127"/>
      <c r="BC217" s="127"/>
      <c r="BD217" s="127"/>
      <c r="BE217" s="127"/>
      <c r="BF217" s="127"/>
      <c r="BG217" s="127"/>
      <c r="BH217" s="127"/>
      <c r="BI217" s="127"/>
      <c r="BJ217" s="127"/>
      <c r="BK217" s="127"/>
      <c r="BL217" s="127"/>
      <c r="BM217" s="127"/>
      <c r="BN217" s="127"/>
      <c r="BO217" s="127"/>
      <c r="BP217" s="127"/>
      <c r="BQ217" s="127"/>
      <c r="BR217" s="127"/>
      <c r="BS217" s="127"/>
      <c r="BT217" s="127"/>
      <c r="BU217" s="127"/>
      <c r="BV217" s="127"/>
      <c r="BW217" s="127"/>
      <c r="BX217" s="127"/>
      <c r="BY217" s="127"/>
      <c r="BZ217" s="127"/>
      <c r="CA217" s="127"/>
      <c r="CB217" s="127"/>
      <c r="CC217" s="127"/>
      <c r="CD217" s="127"/>
      <c r="CE217" s="127"/>
      <c r="CF217" s="127"/>
      <c r="CG217" s="127"/>
      <c r="CH217" s="127"/>
      <c r="CI217" s="127"/>
    </row>
    <row r="218" spans="1:87" x14ac:dyDescent="0.25">
      <c r="A218" s="1"/>
      <c r="B218" s="1"/>
      <c r="F218" s="1"/>
      <c r="G218" s="1"/>
      <c r="AJ218" s="127"/>
      <c r="AK218" s="127"/>
      <c r="AL218" s="127"/>
      <c r="AM218" s="127"/>
      <c r="AN218" s="127"/>
      <c r="AO218" s="127"/>
      <c r="AP218" s="127"/>
      <c r="AQ218" s="127"/>
      <c r="AR218" s="127"/>
      <c r="AS218" s="127"/>
      <c r="AT218" s="127"/>
      <c r="AU218" s="127"/>
      <c r="AV218" s="127"/>
      <c r="AW218" s="127"/>
      <c r="AX218" s="127"/>
      <c r="AY218" s="127"/>
      <c r="AZ218" s="127"/>
      <c r="BA218" s="127"/>
      <c r="BB218" s="127"/>
      <c r="BC218" s="127"/>
      <c r="BD218" s="127"/>
      <c r="BE218" s="127"/>
      <c r="BF218" s="127"/>
      <c r="BG218" s="127"/>
      <c r="BH218" s="127"/>
      <c r="BI218" s="127"/>
      <c r="BJ218" s="127"/>
      <c r="BK218" s="127"/>
      <c r="BL218" s="127"/>
      <c r="BM218" s="127"/>
      <c r="BN218" s="127"/>
      <c r="BO218" s="127"/>
      <c r="BP218" s="127"/>
      <c r="BQ218" s="127"/>
      <c r="BR218" s="127"/>
      <c r="BS218" s="127"/>
      <c r="BT218" s="127"/>
      <c r="BU218" s="127"/>
      <c r="BV218" s="127"/>
      <c r="BW218" s="127"/>
      <c r="BX218" s="127"/>
      <c r="BY218" s="127"/>
      <c r="BZ218" s="127"/>
      <c r="CA218" s="127"/>
      <c r="CB218" s="127"/>
      <c r="CC218" s="127"/>
      <c r="CD218" s="127"/>
      <c r="CE218" s="127"/>
      <c r="CF218" s="127"/>
      <c r="CG218" s="127"/>
      <c r="CH218" s="127"/>
      <c r="CI218" s="127"/>
    </row>
    <row r="219" spans="1:87" x14ac:dyDescent="0.25">
      <c r="A219" s="1"/>
      <c r="B219" s="1"/>
      <c r="F219" s="1"/>
      <c r="G219" s="1"/>
      <c r="AJ219" s="127"/>
      <c r="AK219" s="127"/>
      <c r="AL219" s="127"/>
      <c r="AM219" s="127"/>
      <c r="AN219" s="127"/>
      <c r="AO219" s="127"/>
      <c r="AP219" s="127"/>
      <c r="AQ219" s="127"/>
      <c r="AR219" s="127"/>
      <c r="AS219" s="127"/>
      <c r="AT219" s="127"/>
      <c r="AU219" s="127"/>
      <c r="AV219" s="127"/>
      <c r="AW219" s="127"/>
      <c r="AX219" s="127"/>
      <c r="AY219" s="127"/>
      <c r="AZ219" s="127"/>
      <c r="BA219" s="127"/>
      <c r="BB219" s="127"/>
      <c r="BC219" s="127"/>
      <c r="BD219" s="127"/>
      <c r="BE219" s="127"/>
      <c r="BF219" s="127"/>
      <c r="BG219" s="127"/>
      <c r="BH219" s="127"/>
      <c r="BI219" s="127"/>
      <c r="BJ219" s="127"/>
      <c r="BK219" s="127"/>
      <c r="BL219" s="127"/>
      <c r="BM219" s="127"/>
      <c r="BN219" s="127"/>
      <c r="BO219" s="127"/>
      <c r="BP219" s="127"/>
      <c r="BQ219" s="127"/>
      <c r="BR219" s="127"/>
      <c r="BS219" s="127"/>
      <c r="BT219" s="127"/>
      <c r="BU219" s="127"/>
      <c r="BV219" s="127"/>
      <c r="BW219" s="127"/>
      <c r="BX219" s="127"/>
      <c r="BY219" s="127"/>
      <c r="BZ219" s="127"/>
      <c r="CA219" s="127"/>
      <c r="CB219" s="127"/>
      <c r="CC219" s="127"/>
      <c r="CD219" s="127"/>
      <c r="CE219" s="127"/>
      <c r="CF219" s="127"/>
      <c r="CG219" s="127"/>
      <c r="CH219" s="127"/>
      <c r="CI219" s="127"/>
    </row>
    <row r="220" spans="1:87" x14ac:dyDescent="0.25">
      <c r="A220" s="1"/>
      <c r="B220" s="1"/>
      <c r="F220" s="1"/>
      <c r="G220" s="1"/>
      <c r="AJ220" s="127"/>
      <c r="AK220" s="127"/>
      <c r="AL220" s="127"/>
      <c r="AM220" s="127"/>
      <c r="AN220" s="127"/>
      <c r="AO220" s="127"/>
      <c r="AP220" s="127"/>
      <c r="AQ220" s="127"/>
      <c r="AR220" s="127"/>
      <c r="AS220" s="127"/>
      <c r="AT220" s="127"/>
      <c r="AU220" s="127"/>
      <c r="AV220" s="127"/>
      <c r="AW220" s="127"/>
      <c r="AX220" s="127"/>
      <c r="AY220" s="127"/>
      <c r="AZ220" s="127"/>
      <c r="BA220" s="127"/>
      <c r="BB220" s="127"/>
      <c r="BC220" s="127"/>
      <c r="BD220" s="127"/>
      <c r="BE220" s="127"/>
      <c r="BF220" s="127"/>
      <c r="BG220" s="127"/>
      <c r="BH220" s="127"/>
      <c r="BI220" s="127"/>
      <c r="BJ220" s="127"/>
      <c r="BK220" s="127"/>
      <c r="BL220" s="127"/>
      <c r="BM220" s="127"/>
      <c r="BN220" s="127"/>
      <c r="BO220" s="127"/>
      <c r="BP220" s="127"/>
      <c r="BQ220" s="127"/>
      <c r="BR220" s="127"/>
      <c r="BS220" s="127"/>
      <c r="BT220" s="127"/>
      <c r="BU220" s="127"/>
      <c r="BV220" s="127"/>
      <c r="BW220" s="127"/>
      <c r="BX220" s="127"/>
      <c r="BY220" s="127"/>
      <c r="BZ220" s="127"/>
      <c r="CA220" s="127"/>
      <c r="CB220" s="127"/>
      <c r="CC220" s="127"/>
      <c r="CD220" s="127"/>
      <c r="CE220" s="127"/>
      <c r="CF220" s="127"/>
      <c r="CG220" s="127"/>
      <c r="CH220" s="127"/>
      <c r="CI220" s="127"/>
    </row>
    <row r="221" spans="1:87" x14ac:dyDescent="0.25">
      <c r="A221" s="1"/>
      <c r="B221" s="1"/>
      <c r="F221" s="1"/>
      <c r="G221" s="1"/>
      <c r="AJ221" s="127"/>
      <c r="AK221" s="127"/>
      <c r="AL221" s="127"/>
      <c r="AM221" s="127"/>
      <c r="AN221" s="127"/>
      <c r="AO221" s="127"/>
      <c r="AP221" s="127"/>
      <c r="AQ221" s="127"/>
      <c r="AR221" s="127"/>
      <c r="AS221" s="127"/>
      <c r="AT221" s="127"/>
      <c r="AU221" s="127"/>
      <c r="AV221" s="127"/>
      <c r="AW221" s="127"/>
      <c r="AX221" s="127"/>
      <c r="AY221" s="127"/>
      <c r="AZ221" s="127"/>
      <c r="BA221" s="127"/>
      <c r="BB221" s="127"/>
      <c r="BC221" s="127"/>
      <c r="BD221" s="127"/>
      <c r="BE221" s="127"/>
      <c r="BF221" s="127"/>
      <c r="BG221" s="127"/>
      <c r="BH221" s="127"/>
      <c r="BI221" s="127"/>
      <c r="BJ221" s="127"/>
      <c r="BK221" s="127"/>
      <c r="BL221" s="127"/>
      <c r="BM221" s="127"/>
      <c r="BN221" s="127"/>
      <c r="BO221" s="127"/>
      <c r="BP221" s="127"/>
      <c r="BQ221" s="127"/>
      <c r="BR221" s="127"/>
      <c r="BS221" s="127"/>
      <c r="BT221" s="127"/>
      <c r="BU221" s="127"/>
      <c r="BV221" s="127"/>
      <c r="BW221" s="127"/>
      <c r="BX221" s="127"/>
      <c r="BY221" s="127"/>
      <c r="BZ221" s="127"/>
      <c r="CA221" s="127"/>
      <c r="CB221" s="127"/>
      <c r="CC221" s="127"/>
      <c r="CD221" s="127"/>
      <c r="CE221" s="127"/>
      <c r="CF221" s="127"/>
      <c r="CG221" s="127"/>
      <c r="CH221" s="127"/>
      <c r="CI221" s="127"/>
    </row>
    <row r="222" spans="1:87" x14ac:dyDescent="0.25">
      <c r="A222" s="1"/>
      <c r="B222" s="1"/>
      <c r="F222" s="1"/>
      <c r="G222" s="1"/>
      <c r="AJ222" s="127"/>
      <c r="AK222" s="127"/>
      <c r="AL222" s="127"/>
      <c r="AM222" s="127"/>
      <c r="AN222" s="127"/>
      <c r="AO222" s="127"/>
      <c r="AP222" s="127"/>
      <c r="AQ222" s="127"/>
      <c r="AR222" s="127"/>
      <c r="AS222" s="127"/>
      <c r="AT222" s="127"/>
      <c r="AU222" s="127"/>
      <c r="AV222" s="127"/>
      <c r="AW222" s="127"/>
      <c r="AX222" s="127"/>
      <c r="AY222" s="127"/>
      <c r="AZ222" s="127"/>
      <c r="BA222" s="127"/>
      <c r="BB222" s="127"/>
      <c r="BC222" s="127"/>
      <c r="BD222" s="127"/>
      <c r="BE222" s="127"/>
      <c r="BF222" s="127"/>
      <c r="BG222" s="127"/>
      <c r="BH222" s="127"/>
      <c r="BI222" s="127"/>
      <c r="BJ222" s="127"/>
      <c r="BK222" s="127"/>
      <c r="BL222" s="127"/>
      <c r="BM222" s="127"/>
      <c r="BN222" s="127"/>
      <c r="BO222" s="127"/>
      <c r="BP222" s="127"/>
      <c r="BQ222" s="127"/>
      <c r="BR222" s="127"/>
      <c r="BS222" s="127"/>
      <c r="BT222" s="127"/>
      <c r="BU222" s="127"/>
      <c r="BV222" s="127"/>
      <c r="BW222" s="127"/>
      <c r="BX222" s="127"/>
      <c r="BY222" s="127"/>
      <c r="BZ222" s="127"/>
      <c r="CA222" s="127"/>
      <c r="CB222" s="127"/>
      <c r="CC222" s="127"/>
      <c r="CD222" s="127"/>
      <c r="CE222" s="127"/>
      <c r="CF222" s="127"/>
      <c r="CG222" s="127"/>
      <c r="CH222" s="127"/>
      <c r="CI222" s="127"/>
    </row>
    <row r="223" spans="1:87" x14ac:dyDescent="0.25">
      <c r="A223" s="1"/>
      <c r="B223" s="1"/>
      <c r="F223" s="1"/>
      <c r="G223" s="1"/>
      <c r="AJ223" s="127"/>
      <c r="AK223" s="127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  <c r="AX223" s="127"/>
      <c r="AY223" s="127"/>
      <c r="AZ223" s="127"/>
      <c r="BA223" s="127"/>
      <c r="BB223" s="127"/>
      <c r="BC223" s="127"/>
      <c r="BD223" s="127"/>
      <c r="BE223" s="127"/>
      <c r="BF223" s="127"/>
      <c r="BG223" s="127"/>
      <c r="BH223" s="127"/>
      <c r="BI223" s="127"/>
      <c r="BJ223" s="127"/>
      <c r="BK223" s="127"/>
      <c r="BL223" s="127"/>
      <c r="BM223" s="127"/>
      <c r="BN223" s="127"/>
      <c r="BO223" s="127"/>
      <c r="BP223" s="127"/>
      <c r="BQ223" s="127"/>
      <c r="BR223" s="127"/>
      <c r="BS223" s="127"/>
      <c r="BT223" s="127"/>
      <c r="BU223" s="127"/>
      <c r="BV223" s="127"/>
      <c r="BW223" s="127"/>
      <c r="BX223" s="127"/>
      <c r="BY223" s="127"/>
      <c r="BZ223" s="127"/>
      <c r="CA223" s="127"/>
      <c r="CB223" s="127"/>
      <c r="CC223" s="127"/>
      <c r="CD223" s="127"/>
      <c r="CE223" s="127"/>
      <c r="CF223" s="127"/>
      <c r="CG223" s="127"/>
      <c r="CH223" s="127"/>
      <c r="CI223" s="127"/>
    </row>
    <row r="224" spans="1:87" x14ac:dyDescent="0.25">
      <c r="A224" s="1"/>
      <c r="B224" s="1"/>
      <c r="F224" s="1"/>
      <c r="G224" s="1"/>
      <c r="AJ224" s="127"/>
      <c r="AK224" s="127"/>
      <c r="AL224" s="127"/>
      <c r="AM224" s="127"/>
      <c r="AN224" s="127"/>
      <c r="AO224" s="127"/>
      <c r="AP224" s="127"/>
      <c r="AQ224" s="127"/>
      <c r="AR224" s="127"/>
      <c r="AS224" s="127"/>
      <c r="AT224" s="127"/>
      <c r="AU224" s="127"/>
      <c r="AV224" s="127"/>
      <c r="AW224" s="127"/>
      <c r="AX224" s="127"/>
      <c r="AY224" s="127"/>
      <c r="AZ224" s="127"/>
      <c r="BA224" s="127"/>
      <c r="BB224" s="127"/>
      <c r="BC224" s="127"/>
      <c r="BD224" s="127"/>
      <c r="BE224" s="127"/>
      <c r="BF224" s="127"/>
      <c r="BG224" s="127"/>
      <c r="BH224" s="127"/>
      <c r="BI224" s="127"/>
      <c r="BJ224" s="127"/>
      <c r="BK224" s="127"/>
      <c r="BL224" s="127"/>
      <c r="BM224" s="127"/>
      <c r="BN224" s="127"/>
      <c r="BO224" s="127"/>
      <c r="BP224" s="127"/>
      <c r="BQ224" s="127"/>
      <c r="BR224" s="127"/>
      <c r="BS224" s="127"/>
      <c r="BT224" s="127"/>
      <c r="BU224" s="127"/>
      <c r="BV224" s="127"/>
      <c r="BW224" s="127"/>
      <c r="BX224" s="127"/>
      <c r="BY224" s="127"/>
      <c r="BZ224" s="127"/>
      <c r="CA224" s="127"/>
      <c r="CB224" s="127"/>
      <c r="CC224" s="127"/>
      <c r="CD224" s="127"/>
      <c r="CE224" s="127"/>
      <c r="CF224" s="127"/>
      <c r="CG224" s="127"/>
      <c r="CH224" s="127"/>
      <c r="CI224" s="127"/>
    </row>
    <row r="225" spans="1:87" x14ac:dyDescent="0.25">
      <c r="A225" s="1"/>
      <c r="B225" s="1"/>
      <c r="F225" s="1"/>
      <c r="G225" s="1"/>
      <c r="AJ225" s="127"/>
      <c r="AK225" s="127"/>
      <c r="AL225" s="127"/>
      <c r="AM225" s="127"/>
      <c r="AN225" s="127"/>
      <c r="AO225" s="127"/>
      <c r="AP225" s="127"/>
      <c r="AQ225" s="127"/>
      <c r="AR225" s="127"/>
      <c r="AS225" s="127"/>
      <c r="AT225" s="127"/>
      <c r="AU225" s="127"/>
      <c r="AV225" s="127"/>
      <c r="AW225" s="127"/>
      <c r="AX225" s="127"/>
      <c r="AY225" s="127"/>
      <c r="AZ225" s="127"/>
      <c r="BA225" s="127"/>
      <c r="BB225" s="127"/>
      <c r="BC225" s="127"/>
      <c r="BD225" s="127"/>
      <c r="BE225" s="127"/>
      <c r="BF225" s="127"/>
      <c r="BG225" s="127"/>
      <c r="BH225" s="127"/>
      <c r="BI225" s="127"/>
      <c r="BJ225" s="127"/>
      <c r="BK225" s="127"/>
      <c r="BL225" s="127"/>
      <c r="BM225" s="127"/>
      <c r="BN225" s="127"/>
      <c r="BO225" s="127"/>
      <c r="BP225" s="127"/>
      <c r="BQ225" s="127"/>
      <c r="BR225" s="127"/>
      <c r="BS225" s="127"/>
      <c r="BT225" s="127"/>
      <c r="BU225" s="127"/>
      <c r="BV225" s="127"/>
      <c r="BW225" s="127"/>
      <c r="BX225" s="127"/>
      <c r="BY225" s="127"/>
      <c r="BZ225" s="127"/>
      <c r="CA225" s="127"/>
      <c r="CB225" s="127"/>
      <c r="CC225" s="127"/>
      <c r="CD225" s="127"/>
      <c r="CE225" s="127"/>
      <c r="CF225" s="127"/>
      <c r="CG225" s="127"/>
      <c r="CH225" s="127"/>
      <c r="CI225" s="127"/>
    </row>
    <row r="226" spans="1:87" x14ac:dyDescent="0.25">
      <c r="A226" s="1"/>
      <c r="B226" s="1"/>
      <c r="F226" s="1"/>
      <c r="G226" s="1"/>
      <c r="AJ226" s="127"/>
      <c r="AK226" s="127"/>
      <c r="AL226" s="127"/>
      <c r="AM226" s="127"/>
      <c r="AN226" s="127"/>
      <c r="AO226" s="127"/>
      <c r="AP226" s="127"/>
      <c r="AQ226" s="127"/>
      <c r="AR226" s="127"/>
      <c r="AS226" s="127"/>
      <c r="AT226" s="127"/>
      <c r="AU226" s="127"/>
      <c r="AV226" s="127"/>
      <c r="AW226" s="127"/>
      <c r="AX226" s="127"/>
      <c r="AY226" s="127"/>
      <c r="AZ226" s="127"/>
      <c r="BA226" s="127"/>
      <c r="BB226" s="127"/>
      <c r="BC226" s="127"/>
      <c r="BD226" s="127"/>
      <c r="BE226" s="127"/>
      <c r="BF226" s="127"/>
      <c r="BG226" s="127"/>
      <c r="BH226" s="127"/>
      <c r="BI226" s="127"/>
      <c r="BJ226" s="127"/>
      <c r="BK226" s="127"/>
      <c r="BL226" s="127"/>
      <c r="BM226" s="127"/>
      <c r="BN226" s="127"/>
      <c r="BO226" s="127"/>
      <c r="BP226" s="127"/>
      <c r="BQ226" s="127"/>
      <c r="BR226" s="127"/>
      <c r="BS226" s="127"/>
      <c r="BT226" s="127"/>
      <c r="BU226" s="127"/>
      <c r="BV226" s="127"/>
      <c r="BW226" s="127"/>
      <c r="BX226" s="127"/>
      <c r="BY226" s="127"/>
      <c r="BZ226" s="127"/>
      <c r="CA226" s="127"/>
      <c r="CB226" s="127"/>
      <c r="CC226" s="127"/>
      <c r="CD226" s="127"/>
      <c r="CE226" s="127"/>
      <c r="CF226" s="127"/>
      <c r="CG226" s="127"/>
      <c r="CH226" s="127"/>
      <c r="CI226" s="127"/>
    </row>
    <row r="227" spans="1:87" x14ac:dyDescent="0.25">
      <c r="A227" s="1"/>
      <c r="B227" s="1"/>
      <c r="F227" s="1"/>
      <c r="G227" s="1"/>
      <c r="AJ227" s="127"/>
      <c r="AK227" s="127"/>
      <c r="AL227" s="127"/>
      <c r="AM227" s="127"/>
      <c r="AN227" s="127"/>
      <c r="AO227" s="127"/>
      <c r="AP227" s="127"/>
      <c r="AQ227" s="127"/>
      <c r="AR227" s="127"/>
      <c r="AS227" s="127"/>
      <c r="AT227" s="127"/>
      <c r="AU227" s="127"/>
      <c r="AV227" s="127"/>
      <c r="AW227" s="127"/>
      <c r="AX227" s="127"/>
      <c r="AY227" s="127"/>
      <c r="AZ227" s="127"/>
      <c r="BA227" s="127"/>
      <c r="BB227" s="127"/>
      <c r="BC227" s="127"/>
      <c r="BD227" s="127"/>
      <c r="BE227" s="127"/>
      <c r="BF227" s="127"/>
      <c r="BG227" s="127"/>
      <c r="BH227" s="127"/>
      <c r="BI227" s="127"/>
      <c r="BJ227" s="127"/>
      <c r="BK227" s="127"/>
      <c r="BL227" s="127"/>
      <c r="BM227" s="127"/>
      <c r="BN227" s="127"/>
      <c r="BO227" s="127"/>
      <c r="BP227" s="127"/>
      <c r="BQ227" s="127"/>
      <c r="BR227" s="127"/>
      <c r="BS227" s="127"/>
      <c r="BT227" s="127"/>
      <c r="BU227" s="127"/>
      <c r="BV227" s="127"/>
      <c r="BW227" s="127"/>
      <c r="BX227" s="127"/>
      <c r="BY227" s="127"/>
      <c r="BZ227" s="127"/>
      <c r="CA227" s="127"/>
      <c r="CB227" s="127"/>
      <c r="CC227" s="127"/>
      <c r="CD227" s="127"/>
      <c r="CE227" s="127"/>
      <c r="CF227" s="127"/>
      <c r="CG227" s="127"/>
      <c r="CH227" s="127"/>
      <c r="CI227" s="127"/>
    </row>
    <row r="228" spans="1:87" x14ac:dyDescent="0.25">
      <c r="A228" s="1"/>
      <c r="B228" s="1"/>
      <c r="F228" s="1"/>
      <c r="G228" s="1"/>
      <c r="AJ228" s="127"/>
      <c r="AK228" s="127"/>
      <c r="AL228" s="127"/>
      <c r="AM228" s="127"/>
      <c r="AN228" s="127"/>
      <c r="AO228" s="127"/>
      <c r="AP228" s="127"/>
      <c r="AQ228" s="127"/>
      <c r="AR228" s="127"/>
      <c r="AS228" s="127"/>
      <c r="AT228" s="127"/>
      <c r="AU228" s="127"/>
      <c r="AV228" s="127"/>
      <c r="AW228" s="127"/>
      <c r="AX228" s="127"/>
      <c r="AY228" s="127"/>
      <c r="AZ228" s="127"/>
      <c r="BA228" s="127"/>
      <c r="BB228" s="127"/>
      <c r="BC228" s="127"/>
      <c r="BD228" s="127"/>
      <c r="BE228" s="127"/>
      <c r="BF228" s="127"/>
      <c r="BG228" s="127"/>
      <c r="BH228" s="127"/>
      <c r="BI228" s="127"/>
      <c r="BJ228" s="127"/>
      <c r="BK228" s="127"/>
      <c r="BL228" s="127"/>
      <c r="BM228" s="127"/>
      <c r="BN228" s="127"/>
      <c r="BO228" s="127"/>
      <c r="BP228" s="127"/>
      <c r="BQ228" s="127"/>
      <c r="BR228" s="127"/>
      <c r="BS228" s="127"/>
      <c r="BT228" s="127"/>
      <c r="BU228" s="127"/>
      <c r="BV228" s="127"/>
      <c r="BW228" s="127"/>
      <c r="BX228" s="127"/>
      <c r="BY228" s="127"/>
      <c r="BZ228" s="127"/>
      <c r="CA228" s="127"/>
      <c r="CB228" s="127"/>
      <c r="CC228" s="127"/>
      <c r="CD228" s="127"/>
      <c r="CE228" s="127"/>
      <c r="CF228" s="127"/>
      <c r="CG228" s="127"/>
      <c r="CH228" s="127"/>
      <c r="CI228" s="127"/>
    </row>
    <row r="229" spans="1:87" x14ac:dyDescent="0.25">
      <c r="A229" s="1"/>
      <c r="B229" s="1"/>
      <c r="F229" s="1"/>
      <c r="G229" s="1"/>
      <c r="AJ229" s="127"/>
      <c r="AK229" s="127"/>
      <c r="AL229" s="127"/>
      <c r="AM229" s="127"/>
      <c r="AN229" s="127"/>
      <c r="AO229" s="127"/>
      <c r="AP229" s="127"/>
      <c r="AQ229" s="127"/>
      <c r="AR229" s="127"/>
      <c r="AS229" s="127"/>
      <c r="AT229" s="127"/>
      <c r="AU229" s="127"/>
      <c r="AV229" s="127"/>
      <c r="AW229" s="127"/>
      <c r="AX229" s="127"/>
      <c r="AY229" s="127"/>
      <c r="AZ229" s="127"/>
      <c r="BA229" s="127"/>
      <c r="BB229" s="127"/>
      <c r="BC229" s="127"/>
      <c r="BD229" s="127"/>
      <c r="BE229" s="127"/>
      <c r="BF229" s="127"/>
      <c r="BG229" s="127"/>
      <c r="BH229" s="127"/>
      <c r="BI229" s="127"/>
      <c r="BJ229" s="127"/>
      <c r="BK229" s="127"/>
      <c r="BL229" s="127"/>
      <c r="BM229" s="127"/>
      <c r="BN229" s="127"/>
      <c r="BO229" s="127"/>
      <c r="BP229" s="127"/>
      <c r="BQ229" s="127"/>
      <c r="BR229" s="127"/>
      <c r="BS229" s="127"/>
      <c r="BT229" s="127"/>
      <c r="BU229" s="127"/>
      <c r="BV229" s="127"/>
      <c r="BW229" s="127"/>
      <c r="BX229" s="127"/>
      <c r="BY229" s="127"/>
      <c r="BZ229" s="127"/>
      <c r="CA229" s="127"/>
      <c r="CB229" s="127"/>
      <c r="CC229" s="127"/>
      <c r="CD229" s="127"/>
      <c r="CE229" s="127"/>
      <c r="CF229" s="127"/>
      <c r="CG229" s="127"/>
      <c r="CH229" s="127"/>
      <c r="CI229" s="127"/>
    </row>
    <row r="230" spans="1:87" x14ac:dyDescent="0.25">
      <c r="A230" s="1"/>
      <c r="B230" s="1"/>
      <c r="F230" s="1"/>
      <c r="G230" s="1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27"/>
      <c r="BA230" s="127"/>
      <c r="BB230" s="127"/>
      <c r="BC230" s="127"/>
      <c r="BD230" s="127"/>
      <c r="BE230" s="127"/>
      <c r="BF230" s="127"/>
      <c r="BG230" s="127"/>
      <c r="BH230" s="127"/>
      <c r="BI230" s="127"/>
      <c r="BJ230" s="127"/>
      <c r="BK230" s="127"/>
      <c r="BL230" s="127"/>
      <c r="BM230" s="127"/>
      <c r="BN230" s="127"/>
      <c r="BO230" s="127"/>
      <c r="BP230" s="127"/>
      <c r="BQ230" s="127"/>
      <c r="BR230" s="127"/>
      <c r="BS230" s="127"/>
      <c r="BT230" s="127"/>
      <c r="BU230" s="127"/>
      <c r="BV230" s="127"/>
      <c r="BW230" s="127"/>
      <c r="BX230" s="127"/>
      <c r="BY230" s="127"/>
      <c r="BZ230" s="127"/>
      <c r="CA230" s="127"/>
      <c r="CB230" s="127"/>
      <c r="CC230" s="127"/>
      <c r="CD230" s="127"/>
      <c r="CE230" s="127"/>
      <c r="CF230" s="127"/>
      <c r="CG230" s="127"/>
      <c r="CH230" s="127"/>
      <c r="CI230" s="127"/>
    </row>
    <row r="231" spans="1:87" x14ac:dyDescent="0.25">
      <c r="A231" s="1"/>
      <c r="B231" s="1"/>
      <c r="F231" s="1"/>
      <c r="G231" s="1"/>
      <c r="AJ231" s="127"/>
      <c r="AK231" s="127"/>
      <c r="AL231" s="127"/>
      <c r="AM231" s="127"/>
      <c r="AN231" s="127"/>
      <c r="AO231" s="127"/>
      <c r="AP231" s="127"/>
      <c r="AQ231" s="127"/>
      <c r="AR231" s="127"/>
      <c r="AS231" s="127"/>
      <c r="AT231" s="127"/>
      <c r="AU231" s="127"/>
      <c r="AV231" s="127"/>
      <c r="AW231" s="127"/>
      <c r="AX231" s="127"/>
      <c r="AY231" s="127"/>
      <c r="AZ231" s="127"/>
      <c r="BA231" s="127"/>
      <c r="BB231" s="127"/>
      <c r="BC231" s="127"/>
      <c r="BD231" s="127"/>
      <c r="BE231" s="127"/>
      <c r="BF231" s="127"/>
      <c r="BG231" s="127"/>
      <c r="BH231" s="127"/>
      <c r="BI231" s="127"/>
      <c r="BJ231" s="127"/>
      <c r="BK231" s="127"/>
      <c r="BL231" s="127"/>
      <c r="BM231" s="127"/>
      <c r="BN231" s="127"/>
      <c r="BO231" s="127"/>
      <c r="BP231" s="127"/>
      <c r="BQ231" s="127"/>
      <c r="BR231" s="127"/>
      <c r="BS231" s="127"/>
      <c r="BT231" s="127"/>
      <c r="BU231" s="127"/>
      <c r="BV231" s="127"/>
      <c r="BW231" s="127"/>
      <c r="BX231" s="127"/>
      <c r="BY231" s="127"/>
      <c r="BZ231" s="127"/>
      <c r="CA231" s="127"/>
      <c r="CB231" s="127"/>
      <c r="CC231" s="127"/>
      <c r="CD231" s="127"/>
      <c r="CE231" s="127"/>
      <c r="CF231" s="127"/>
      <c r="CG231" s="127"/>
      <c r="CH231" s="127"/>
      <c r="CI231" s="127"/>
    </row>
    <row r="232" spans="1:87" x14ac:dyDescent="0.25">
      <c r="A232" s="1"/>
      <c r="B232" s="1"/>
      <c r="F232" s="1"/>
      <c r="G232" s="1"/>
      <c r="AJ232" s="127"/>
      <c r="AK232" s="127"/>
      <c r="AL232" s="127"/>
      <c r="AM232" s="127"/>
      <c r="AN232" s="127"/>
      <c r="AO232" s="127"/>
      <c r="AP232" s="127"/>
      <c r="AQ232" s="127"/>
      <c r="AR232" s="127"/>
      <c r="AS232" s="127"/>
      <c r="AT232" s="127"/>
      <c r="AU232" s="127"/>
      <c r="AV232" s="127"/>
      <c r="AW232" s="127"/>
      <c r="AX232" s="127"/>
      <c r="AY232" s="127"/>
      <c r="AZ232" s="127"/>
      <c r="BA232" s="127"/>
      <c r="BB232" s="127"/>
      <c r="BC232" s="127"/>
      <c r="BD232" s="127"/>
      <c r="BE232" s="127"/>
      <c r="BF232" s="127"/>
      <c r="BG232" s="127"/>
      <c r="BH232" s="127"/>
      <c r="BI232" s="127"/>
      <c r="BJ232" s="127"/>
      <c r="BK232" s="127"/>
      <c r="BL232" s="127"/>
      <c r="BM232" s="127"/>
      <c r="BN232" s="127"/>
      <c r="BO232" s="127"/>
      <c r="BP232" s="127"/>
      <c r="BQ232" s="127"/>
      <c r="BR232" s="127"/>
      <c r="BS232" s="127"/>
      <c r="BT232" s="127"/>
      <c r="BU232" s="127"/>
      <c r="BV232" s="127"/>
      <c r="BW232" s="127"/>
      <c r="BX232" s="127"/>
      <c r="BY232" s="127"/>
      <c r="BZ232" s="127"/>
      <c r="CA232" s="127"/>
      <c r="CB232" s="127"/>
      <c r="CC232" s="127"/>
      <c r="CD232" s="127"/>
      <c r="CE232" s="127"/>
      <c r="CF232" s="127"/>
      <c r="CG232" s="127"/>
      <c r="CH232" s="127"/>
      <c r="CI232" s="127"/>
    </row>
    <row r="233" spans="1:87" x14ac:dyDescent="0.25">
      <c r="A233" s="1"/>
      <c r="B233" s="1"/>
      <c r="F233" s="1"/>
      <c r="G233" s="1"/>
      <c r="AJ233" s="127"/>
      <c r="AK233" s="127"/>
      <c r="AL233" s="127"/>
      <c r="AM233" s="127"/>
      <c r="AN233" s="127"/>
      <c r="AO233" s="127"/>
      <c r="AP233" s="127"/>
      <c r="AQ233" s="127"/>
      <c r="AR233" s="127"/>
      <c r="AS233" s="127"/>
      <c r="AT233" s="127"/>
      <c r="AU233" s="127"/>
      <c r="AV233" s="127"/>
      <c r="AW233" s="127"/>
      <c r="AX233" s="127"/>
      <c r="AY233" s="127"/>
      <c r="AZ233" s="127"/>
      <c r="BA233" s="127"/>
      <c r="BB233" s="127"/>
      <c r="BC233" s="127"/>
      <c r="BD233" s="127"/>
      <c r="BE233" s="127"/>
      <c r="BF233" s="127"/>
      <c r="BG233" s="127"/>
      <c r="BH233" s="127"/>
      <c r="BI233" s="127"/>
      <c r="BJ233" s="127"/>
      <c r="BK233" s="127"/>
      <c r="BL233" s="127"/>
      <c r="BM233" s="127"/>
      <c r="BN233" s="127"/>
      <c r="BO233" s="127"/>
      <c r="BP233" s="127"/>
      <c r="BQ233" s="127"/>
      <c r="BR233" s="127"/>
      <c r="BS233" s="127"/>
      <c r="BT233" s="127"/>
      <c r="BU233" s="127"/>
      <c r="BV233" s="127"/>
      <c r="BW233" s="127"/>
      <c r="BX233" s="127"/>
      <c r="BY233" s="127"/>
      <c r="BZ233" s="127"/>
      <c r="CA233" s="127"/>
      <c r="CB233" s="127"/>
      <c r="CC233" s="127"/>
      <c r="CD233" s="127"/>
      <c r="CE233" s="127"/>
      <c r="CF233" s="127"/>
      <c r="CG233" s="127"/>
      <c r="CH233" s="127"/>
      <c r="CI233" s="127"/>
    </row>
    <row r="234" spans="1:87" x14ac:dyDescent="0.25">
      <c r="A234" s="1"/>
      <c r="B234" s="1"/>
      <c r="F234" s="1"/>
      <c r="G234" s="1"/>
      <c r="AJ234" s="127"/>
      <c r="AK234" s="127"/>
      <c r="AL234" s="127"/>
      <c r="AM234" s="127"/>
      <c r="AN234" s="127"/>
      <c r="AO234" s="127"/>
      <c r="AP234" s="127"/>
      <c r="AQ234" s="127"/>
      <c r="AR234" s="127"/>
      <c r="AS234" s="127"/>
      <c r="AT234" s="127"/>
      <c r="AU234" s="127"/>
      <c r="AV234" s="127"/>
      <c r="AW234" s="127"/>
      <c r="AX234" s="127"/>
      <c r="AY234" s="127"/>
      <c r="AZ234" s="127"/>
      <c r="BA234" s="127"/>
      <c r="BB234" s="127"/>
      <c r="BC234" s="127"/>
      <c r="BD234" s="127"/>
      <c r="BE234" s="127"/>
      <c r="BF234" s="127"/>
      <c r="BG234" s="127"/>
      <c r="BH234" s="127"/>
      <c r="BI234" s="127"/>
      <c r="BJ234" s="127"/>
      <c r="BK234" s="127"/>
      <c r="BL234" s="127"/>
      <c r="BM234" s="127"/>
      <c r="BN234" s="127"/>
      <c r="BO234" s="127"/>
      <c r="BP234" s="127"/>
      <c r="BQ234" s="127"/>
      <c r="BR234" s="127"/>
      <c r="BS234" s="127"/>
      <c r="BT234" s="127"/>
      <c r="BU234" s="127"/>
      <c r="BV234" s="127"/>
      <c r="BW234" s="127"/>
      <c r="BX234" s="127"/>
      <c r="BY234" s="127"/>
      <c r="BZ234" s="127"/>
      <c r="CA234" s="127"/>
      <c r="CB234" s="127"/>
      <c r="CC234" s="127"/>
      <c r="CD234" s="127"/>
      <c r="CE234" s="127"/>
      <c r="CF234" s="127"/>
      <c r="CG234" s="127"/>
      <c r="CH234" s="127"/>
      <c r="CI234" s="127"/>
    </row>
    <row r="235" spans="1:87" x14ac:dyDescent="0.25">
      <c r="A235" s="1"/>
      <c r="B235" s="1"/>
      <c r="F235" s="1"/>
      <c r="G235" s="1"/>
      <c r="AJ235" s="127"/>
      <c r="AK235" s="127"/>
      <c r="AL235" s="127"/>
      <c r="AM235" s="127"/>
      <c r="AN235" s="127"/>
      <c r="AO235" s="127"/>
      <c r="AP235" s="127"/>
      <c r="AQ235" s="127"/>
      <c r="AR235" s="127"/>
      <c r="AS235" s="127"/>
      <c r="AT235" s="127"/>
      <c r="AU235" s="127"/>
      <c r="AV235" s="127"/>
      <c r="AW235" s="127"/>
      <c r="AX235" s="127"/>
      <c r="AY235" s="127"/>
      <c r="AZ235" s="127"/>
      <c r="BA235" s="127"/>
      <c r="BB235" s="127"/>
      <c r="BC235" s="127"/>
      <c r="BD235" s="127"/>
      <c r="BE235" s="127"/>
      <c r="BF235" s="127"/>
      <c r="BG235" s="127"/>
      <c r="BH235" s="127"/>
      <c r="BI235" s="127"/>
      <c r="BJ235" s="127"/>
      <c r="BK235" s="127"/>
      <c r="BL235" s="127"/>
      <c r="BM235" s="127"/>
      <c r="BN235" s="127"/>
      <c r="BO235" s="127"/>
      <c r="BP235" s="127"/>
      <c r="BQ235" s="127"/>
      <c r="BR235" s="127"/>
      <c r="BS235" s="127"/>
      <c r="BT235" s="127"/>
      <c r="BU235" s="127"/>
      <c r="BV235" s="127"/>
      <c r="BW235" s="127"/>
      <c r="BX235" s="127"/>
      <c r="BY235" s="127"/>
      <c r="BZ235" s="127"/>
      <c r="CA235" s="127"/>
      <c r="CB235" s="127"/>
      <c r="CC235" s="127"/>
      <c r="CD235" s="127"/>
      <c r="CE235" s="127"/>
      <c r="CF235" s="127"/>
      <c r="CG235" s="127"/>
      <c r="CH235" s="127"/>
      <c r="CI235" s="127"/>
    </row>
    <row r="236" spans="1:87" x14ac:dyDescent="0.25">
      <c r="A236" s="1"/>
      <c r="B236" s="1"/>
      <c r="F236" s="1"/>
      <c r="G236" s="1"/>
      <c r="AJ236" s="127"/>
      <c r="AK236" s="127"/>
      <c r="AL236" s="127"/>
      <c r="AM236" s="127"/>
      <c r="AN236" s="127"/>
      <c r="AO236" s="127"/>
      <c r="AP236" s="127"/>
      <c r="AQ236" s="127"/>
      <c r="AR236" s="127"/>
      <c r="AS236" s="127"/>
      <c r="AT236" s="127"/>
      <c r="AU236" s="127"/>
      <c r="AV236" s="127"/>
      <c r="AW236" s="127"/>
      <c r="AX236" s="127"/>
      <c r="AY236" s="127"/>
      <c r="AZ236" s="127"/>
      <c r="BA236" s="127"/>
      <c r="BB236" s="127"/>
      <c r="BC236" s="127"/>
      <c r="BD236" s="127"/>
      <c r="BE236" s="127"/>
      <c r="BF236" s="127"/>
      <c r="BG236" s="127"/>
      <c r="BH236" s="127"/>
      <c r="BI236" s="127"/>
      <c r="BJ236" s="127"/>
      <c r="BK236" s="127"/>
      <c r="BL236" s="127"/>
      <c r="BM236" s="127"/>
      <c r="BN236" s="127"/>
      <c r="BO236" s="127"/>
      <c r="BP236" s="127"/>
      <c r="BQ236" s="127"/>
      <c r="BR236" s="127"/>
      <c r="BS236" s="127"/>
      <c r="BT236" s="127"/>
      <c r="BU236" s="127"/>
      <c r="BV236" s="127"/>
      <c r="BW236" s="127"/>
      <c r="BX236" s="127"/>
      <c r="BY236" s="127"/>
      <c r="BZ236" s="127"/>
      <c r="CA236" s="127"/>
      <c r="CB236" s="127"/>
      <c r="CC236" s="127"/>
      <c r="CD236" s="127"/>
      <c r="CE236" s="127"/>
      <c r="CF236" s="127"/>
      <c r="CG236" s="127"/>
      <c r="CH236" s="127"/>
      <c r="CI236" s="127"/>
    </row>
    <row r="237" spans="1:87" x14ac:dyDescent="0.25">
      <c r="A237" s="1"/>
      <c r="B237" s="1"/>
      <c r="F237" s="1"/>
      <c r="G237" s="1"/>
      <c r="AJ237" s="127"/>
      <c r="AK237" s="127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  <c r="AX237" s="127"/>
      <c r="AY237" s="127"/>
      <c r="AZ237" s="127"/>
      <c r="BA237" s="127"/>
      <c r="BB237" s="127"/>
      <c r="BC237" s="127"/>
      <c r="BD237" s="127"/>
      <c r="BE237" s="127"/>
      <c r="BF237" s="127"/>
      <c r="BG237" s="127"/>
      <c r="BH237" s="127"/>
      <c r="BI237" s="127"/>
      <c r="BJ237" s="127"/>
      <c r="BK237" s="127"/>
      <c r="BL237" s="127"/>
      <c r="BM237" s="127"/>
      <c r="BN237" s="127"/>
      <c r="BO237" s="127"/>
      <c r="BP237" s="127"/>
      <c r="BQ237" s="127"/>
      <c r="BR237" s="127"/>
      <c r="BS237" s="127"/>
      <c r="BT237" s="127"/>
      <c r="BU237" s="127"/>
      <c r="BV237" s="127"/>
      <c r="BW237" s="127"/>
      <c r="BX237" s="127"/>
      <c r="BY237" s="127"/>
      <c r="BZ237" s="127"/>
      <c r="CA237" s="127"/>
      <c r="CB237" s="127"/>
      <c r="CC237" s="127"/>
      <c r="CD237" s="127"/>
      <c r="CE237" s="127"/>
      <c r="CF237" s="127"/>
      <c r="CG237" s="127"/>
      <c r="CH237" s="127"/>
      <c r="CI237" s="127"/>
    </row>
    <row r="238" spans="1:87" x14ac:dyDescent="0.25">
      <c r="A238" s="1"/>
      <c r="B238" s="1"/>
      <c r="F238" s="1"/>
      <c r="G238" s="1"/>
      <c r="AJ238" s="127"/>
      <c r="AK238" s="127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  <c r="AX238" s="127"/>
      <c r="AY238" s="127"/>
      <c r="AZ238" s="127"/>
      <c r="BA238" s="127"/>
      <c r="BB238" s="127"/>
      <c r="BC238" s="127"/>
      <c r="BD238" s="127"/>
      <c r="BE238" s="127"/>
      <c r="BF238" s="127"/>
      <c r="BG238" s="127"/>
      <c r="BH238" s="127"/>
      <c r="BI238" s="127"/>
      <c r="BJ238" s="127"/>
      <c r="BK238" s="127"/>
      <c r="BL238" s="127"/>
      <c r="BM238" s="127"/>
      <c r="BN238" s="127"/>
      <c r="BO238" s="127"/>
      <c r="BP238" s="127"/>
      <c r="BQ238" s="127"/>
      <c r="BR238" s="127"/>
      <c r="BS238" s="127"/>
      <c r="BT238" s="127"/>
      <c r="BU238" s="127"/>
      <c r="BV238" s="127"/>
      <c r="BW238" s="127"/>
      <c r="BX238" s="127"/>
      <c r="BY238" s="127"/>
      <c r="BZ238" s="127"/>
      <c r="CA238" s="127"/>
      <c r="CB238" s="127"/>
      <c r="CC238" s="127"/>
      <c r="CD238" s="127"/>
      <c r="CE238" s="127"/>
      <c r="CF238" s="127"/>
      <c r="CG238" s="127"/>
      <c r="CH238" s="127"/>
      <c r="CI238" s="127"/>
    </row>
    <row r="239" spans="1:87" x14ac:dyDescent="0.25">
      <c r="A239" s="1"/>
      <c r="B239" s="1"/>
      <c r="F239" s="1"/>
      <c r="G239" s="1"/>
      <c r="AJ239" s="127"/>
      <c r="AK239" s="127"/>
      <c r="AL239" s="127"/>
      <c r="AM239" s="127"/>
      <c r="AN239" s="127"/>
      <c r="AO239" s="127"/>
      <c r="AP239" s="127"/>
      <c r="AQ239" s="127"/>
      <c r="AR239" s="127"/>
      <c r="AS239" s="127"/>
      <c r="AT239" s="127"/>
      <c r="AU239" s="127"/>
      <c r="AV239" s="127"/>
      <c r="AW239" s="127"/>
      <c r="AX239" s="127"/>
      <c r="AY239" s="127"/>
      <c r="AZ239" s="127"/>
      <c r="BA239" s="127"/>
      <c r="BB239" s="127"/>
      <c r="BC239" s="127"/>
      <c r="BD239" s="127"/>
      <c r="BE239" s="127"/>
      <c r="BF239" s="127"/>
      <c r="BG239" s="127"/>
      <c r="BH239" s="127"/>
      <c r="BI239" s="127"/>
      <c r="BJ239" s="127"/>
      <c r="BK239" s="127"/>
      <c r="BL239" s="127"/>
      <c r="BM239" s="127"/>
      <c r="BN239" s="127"/>
      <c r="BO239" s="127"/>
      <c r="BP239" s="127"/>
      <c r="BQ239" s="127"/>
      <c r="BR239" s="127"/>
      <c r="BS239" s="127"/>
      <c r="BT239" s="127"/>
      <c r="BU239" s="127"/>
      <c r="BV239" s="127"/>
      <c r="BW239" s="127"/>
      <c r="BX239" s="127"/>
      <c r="BY239" s="127"/>
      <c r="BZ239" s="127"/>
      <c r="CA239" s="127"/>
      <c r="CB239" s="127"/>
      <c r="CC239" s="127"/>
      <c r="CD239" s="127"/>
      <c r="CE239" s="127"/>
      <c r="CF239" s="127"/>
      <c r="CG239" s="127"/>
      <c r="CH239" s="127"/>
      <c r="CI239" s="127"/>
    </row>
    <row r="240" spans="1:87" x14ac:dyDescent="0.25">
      <c r="A240" s="1"/>
      <c r="B240" s="1"/>
      <c r="F240" s="1"/>
      <c r="G240" s="1"/>
      <c r="AJ240" s="127"/>
      <c r="AK240" s="127"/>
      <c r="AL240" s="127"/>
      <c r="AM240" s="127"/>
      <c r="AN240" s="127"/>
      <c r="AO240" s="127"/>
      <c r="AP240" s="127"/>
      <c r="AQ240" s="127"/>
      <c r="AR240" s="127"/>
      <c r="AS240" s="127"/>
      <c r="AT240" s="127"/>
      <c r="AU240" s="127"/>
      <c r="AV240" s="127"/>
      <c r="AW240" s="127"/>
      <c r="AX240" s="127"/>
      <c r="AY240" s="127"/>
      <c r="AZ240" s="127"/>
      <c r="BA240" s="127"/>
      <c r="BB240" s="127"/>
      <c r="BC240" s="127"/>
      <c r="BD240" s="127"/>
      <c r="BE240" s="127"/>
      <c r="BF240" s="127"/>
      <c r="BG240" s="127"/>
      <c r="BH240" s="127"/>
      <c r="BI240" s="127"/>
      <c r="BJ240" s="127"/>
      <c r="BK240" s="127"/>
      <c r="BL240" s="127"/>
      <c r="BM240" s="127"/>
      <c r="BN240" s="127"/>
      <c r="BO240" s="127"/>
      <c r="BP240" s="127"/>
      <c r="BQ240" s="127"/>
      <c r="BR240" s="127"/>
      <c r="BS240" s="127"/>
      <c r="BT240" s="127"/>
      <c r="BU240" s="127"/>
      <c r="BV240" s="127"/>
      <c r="BW240" s="127"/>
      <c r="BX240" s="127"/>
      <c r="BY240" s="127"/>
      <c r="BZ240" s="127"/>
      <c r="CA240" s="127"/>
      <c r="CB240" s="127"/>
      <c r="CC240" s="127"/>
      <c r="CD240" s="127"/>
      <c r="CE240" s="127"/>
      <c r="CF240" s="127"/>
      <c r="CG240" s="127"/>
      <c r="CH240" s="127"/>
      <c r="CI240" s="127"/>
    </row>
    <row r="241" spans="1:87" x14ac:dyDescent="0.25">
      <c r="A241" s="1"/>
      <c r="B241" s="1"/>
      <c r="F241" s="1"/>
      <c r="G241" s="1"/>
      <c r="AJ241" s="127"/>
      <c r="AK241" s="127"/>
      <c r="AL241" s="127"/>
      <c r="AM241" s="127"/>
      <c r="AN241" s="127"/>
      <c r="AO241" s="127"/>
      <c r="AP241" s="127"/>
      <c r="AQ241" s="127"/>
      <c r="AR241" s="127"/>
      <c r="AS241" s="127"/>
      <c r="AT241" s="127"/>
      <c r="AU241" s="127"/>
      <c r="AV241" s="127"/>
      <c r="AW241" s="127"/>
      <c r="AX241" s="127"/>
      <c r="AY241" s="127"/>
      <c r="AZ241" s="127"/>
      <c r="BA241" s="127"/>
      <c r="BB241" s="127"/>
      <c r="BC241" s="127"/>
      <c r="BD241" s="127"/>
      <c r="BE241" s="127"/>
      <c r="BF241" s="127"/>
      <c r="BG241" s="127"/>
      <c r="BH241" s="127"/>
      <c r="BI241" s="127"/>
      <c r="BJ241" s="127"/>
      <c r="BK241" s="127"/>
      <c r="BL241" s="127"/>
      <c r="BM241" s="127"/>
      <c r="BN241" s="127"/>
      <c r="BO241" s="127"/>
      <c r="BP241" s="127"/>
      <c r="BQ241" s="127"/>
      <c r="BR241" s="127"/>
      <c r="BS241" s="127"/>
      <c r="BT241" s="127"/>
      <c r="BU241" s="127"/>
      <c r="BV241" s="127"/>
      <c r="BW241" s="127"/>
      <c r="BX241" s="127"/>
      <c r="BY241" s="127"/>
      <c r="BZ241" s="127"/>
      <c r="CA241" s="127"/>
      <c r="CB241" s="127"/>
      <c r="CC241" s="127"/>
      <c r="CD241" s="127"/>
      <c r="CE241" s="127"/>
      <c r="CF241" s="127"/>
      <c r="CG241" s="127"/>
      <c r="CH241" s="127"/>
      <c r="CI241" s="127"/>
    </row>
    <row r="242" spans="1:87" x14ac:dyDescent="0.25">
      <c r="A242" s="1"/>
      <c r="B242" s="1"/>
      <c r="F242" s="1"/>
      <c r="G242" s="1"/>
      <c r="AJ242" s="127"/>
      <c r="AK242" s="127"/>
      <c r="AL242" s="127"/>
      <c r="AM242" s="127"/>
      <c r="AN242" s="127"/>
      <c r="AO242" s="127"/>
      <c r="AP242" s="127"/>
      <c r="AQ242" s="127"/>
      <c r="AR242" s="127"/>
      <c r="AS242" s="127"/>
      <c r="AT242" s="127"/>
      <c r="AU242" s="127"/>
      <c r="AV242" s="127"/>
      <c r="AW242" s="127"/>
      <c r="AX242" s="127"/>
      <c r="AY242" s="127"/>
      <c r="AZ242" s="127"/>
      <c r="BA242" s="127"/>
      <c r="BB242" s="127"/>
      <c r="BC242" s="127"/>
      <c r="BD242" s="127"/>
      <c r="BE242" s="127"/>
      <c r="BF242" s="127"/>
      <c r="BG242" s="127"/>
      <c r="BH242" s="127"/>
      <c r="BI242" s="127"/>
      <c r="BJ242" s="127"/>
      <c r="BK242" s="127"/>
      <c r="BL242" s="127"/>
      <c r="BM242" s="127"/>
      <c r="BN242" s="127"/>
      <c r="BO242" s="127"/>
      <c r="BP242" s="127"/>
      <c r="BQ242" s="127"/>
      <c r="BR242" s="127"/>
      <c r="BS242" s="127"/>
      <c r="BT242" s="127"/>
      <c r="BU242" s="127"/>
      <c r="BV242" s="127"/>
      <c r="BW242" s="127"/>
      <c r="BX242" s="127"/>
      <c r="BY242" s="127"/>
      <c r="BZ242" s="127"/>
      <c r="CA242" s="127"/>
      <c r="CB242" s="127"/>
      <c r="CC242" s="127"/>
      <c r="CD242" s="127"/>
      <c r="CE242" s="127"/>
      <c r="CF242" s="127"/>
      <c r="CG242" s="127"/>
      <c r="CH242" s="127"/>
      <c r="CI242" s="127"/>
    </row>
    <row r="243" spans="1:87" x14ac:dyDescent="0.25">
      <c r="A243" s="1"/>
      <c r="B243" s="1"/>
      <c r="F243" s="1"/>
      <c r="G243" s="1"/>
      <c r="AJ243" s="127"/>
      <c r="AK243" s="127"/>
      <c r="AL243" s="127"/>
      <c r="AM243" s="127"/>
      <c r="AN243" s="127"/>
      <c r="AO243" s="127"/>
      <c r="AP243" s="127"/>
      <c r="AQ243" s="127"/>
      <c r="AR243" s="127"/>
      <c r="AS243" s="127"/>
      <c r="AT243" s="127"/>
      <c r="AU243" s="127"/>
      <c r="AV243" s="127"/>
      <c r="AW243" s="127"/>
      <c r="AX243" s="127"/>
      <c r="AY243" s="127"/>
      <c r="AZ243" s="127"/>
      <c r="BA243" s="127"/>
      <c r="BB243" s="127"/>
      <c r="BC243" s="127"/>
      <c r="BD243" s="127"/>
      <c r="BE243" s="127"/>
      <c r="BF243" s="127"/>
      <c r="BG243" s="127"/>
      <c r="BH243" s="127"/>
      <c r="BI243" s="127"/>
      <c r="BJ243" s="127"/>
      <c r="BK243" s="127"/>
      <c r="BL243" s="127"/>
      <c r="BM243" s="127"/>
      <c r="BN243" s="127"/>
      <c r="BO243" s="127"/>
      <c r="BP243" s="127"/>
      <c r="BQ243" s="127"/>
      <c r="BR243" s="127"/>
      <c r="BS243" s="127"/>
      <c r="BT243" s="127"/>
      <c r="BU243" s="127"/>
      <c r="BV243" s="127"/>
      <c r="BW243" s="127"/>
      <c r="BX243" s="127"/>
      <c r="BY243" s="127"/>
      <c r="BZ243" s="127"/>
      <c r="CA243" s="127"/>
      <c r="CB243" s="127"/>
      <c r="CC243" s="127"/>
      <c r="CD243" s="127"/>
      <c r="CE243" s="127"/>
      <c r="CF243" s="127"/>
      <c r="CG243" s="127"/>
      <c r="CH243" s="127"/>
      <c r="CI243" s="127"/>
    </row>
    <row r="244" spans="1:87" x14ac:dyDescent="0.25">
      <c r="A244" s="1"/>
      <c r="B244" s="1"/>
      <c r="F244" s="1"/>
      <c r="G244" s="1"/>
      <c r="AJ244" s="127"/>
      <c r="AK244" s="127"/>
      <c r="AL244" s="127"/>
      <c r="AM244" s="127"/>
      <c r="AN244" s="127"/>
      <c r="AO244" s="127"/>
      <c r="AP244" s="127"/>
      <c r="AQ244" s="127"/>
      <c r="AR244" s="127"/>
      <c r="AS244" s="127"/>
      <c r="AT244" s="127"/>
      <c r="AU244" s="127"/>
      <c r="AV244" s="127"/>
      <c r="AW244" s="127"/>
      <c r="AX244" s="127"/>
      <c r="AY244" s="127"/>
      <c r="AZ244" s="127"/>
      <c r="BA244" s="127"/>
      <c r="BB244" s="127"/>
      <c r="BC244" s="127"/>
      <c r="BD244" s="127"/>
      <c r="BE244" s="127"/>
      <c r="BF244" s="127"/>
      <c r="BG244" s="127"/>
      <c r="BH244" s="127"/>
      <c r="BI244" s="127"/>
      <c r="BJ244" s="127"/>
      <c r="BK244" s="127"/>
      <c r="BL244" s="127"/>
      <c r="BM244" s="127"/>
      <c r="BN244" s="127"/>
      <c r="BO244" s="127"/>
      <c r="BP244" s="127"/>
      <c r="BQ244" s="127"/>
      <c r="BR244" s="127"/>
      <c r="BS244" s="127"/>
      <c r="BT244" s="127"/>
      <c r="BU244" s="127"/>
      <c r="BV244" s="127"/>
      <c r="BW244" s="127"/>
      <c r="BX244" s="127"/>
      <c r="BY244" s="127"/>
      <c r="BZ244" s="127"/>
      <c r="CA244" s="127"/>
      <c r="CB244" s="127"/>
      <c r="CC244" s="127"/>
      <c r="CD244" s="127"/>
      <c r="CE244" s="127"/>
      <c r="CF244" s="127"/>
      <c r="CG244" s="127"/>
      <c r="CH244" s="127"/>
      <c r="CI244" s="127"/>
    </row>
    <row r="245" spans="1:87" x14ac:dyDescent="0.25">
      <c r="A245" s="1"/>
      <c r="B245" s="1"/>
      <c r="F245" s="1"/>
      <c r="G245" s="1"/>
      <c r="AJ245" s="127"/>
      <c r="AK245" s="127"/>
      <c r="AL245" s="127"/>
      <c r="AM245" s="127"/>
      <c r="AN245" s="127"/>
      <c r="AO245" s="127"/>
      <c r="AP245" s="127"/>
      <c r="AQ245" s="127"/>
      <c r="AR245" s="127"/>
      <c r="AS245" s="127"/>
      <c r="AT245" s="127"/>
      <c r="AU245" s="127"/>
      <c r="AV245" s="127"/>
      <c r="AW245" s="127"/>
      <c r="AX245" s="127"/>
      <c r="AY245" s="127"/>
      <c r="AZ245" s="127"/>
      <c r="BA245" s="127"/>
      <c r="BB245" s="127"/>
      <c r="BC245" s="127"/>
      <c r="BD245" s="127"/>
      <c r="BE245" s="127"/>
      <c r="BF245" s="127"/>
      <c r="BG245" s="127"/>
      <c r="BH245" s="127"/>
      <c r="BI245" s="127"/>
      <c r="BJ245" s="127"/>
      <c r="BK245" s="127"/>
      <c r="BL245" s="127"/>
      <c r="BM245" s="127"/>
      <c r="BN245" s="127"/>
      <c r="BO245" s="127"/>
      <c r="BP245" s="127"/>
      <c r="BQ245" s="127"/>
      <c r="BR245" s="127"/>
      <c r="BS245" s="127"/>
      <c r="BT245" s="127"/>
      <c r="BU245" s="127"/>
      <c r="BV245" s="127"/>
      <c r="BW245" s="127"/>
      <c r="BX245" s="127"/>
      <c r="BY245" s="127"/>
      <c r="BZ245" s="127"/>
      <c r="CA245" s="127"/>
      <c r="CB245" s="127"/>
      <c r="CC245" s="127"/>
      <c r="CD245" s="127"/>
      <c r="CE245" s="127"/>
      <c r="CF245" s="127"/>
      <c r="CG245" s="127"/>
      <c r="CH245" s="127"/>
      <c r="CI245" s="127"/>
    </row>
    <row r="246" spans="1:87" x14ac:dyDescent="0.25">
      <c r="A246" s="1"/>
      <c r="B246" s="1"/>
      <c r="F246" s="1"/>
      <c r="G246" s="1"/>
      <c r="AJ246" s="127"/>
      <c r="AK246" s="127"/>
      <c r="AL246" s="127"/>
      <c r="AM246" s="127"/>
      <c r="AN246" s="127"/>
      <c r="AO246" s="127"/>
      <c r="AP246" s="127"/>
      <c r="AQ246" s="127"/>
      <c r="AR246" s="127"/>
      <c r="AS246" s="127"/>
      <c r="AT246" s="127"/>
      <c r="AU246" s="127"/>
      <c r="AV246" s="127"/>
      <c r="AW246" s="127"/>
      <c r="AX246" s="127"/>
      <c r="AY246" s="127"/>
      <c r="AZ246" s="127"/>
      <c r="BA246" s="127"/>
      <c r="BB246" s="127"/>
      <c r="BC246" s="127"/>
      <c r="BD246" s="127"/>
      <c r="BE246" s="127"/>
      <c r="BF246" s="127"/>
      <c r="BG246" s="127"/>
      <c r="BH246" s="127"/>
      <c r="BI246" s="127"/>
      <c r="BJ246" s="127"/>
      <c r="BK246" s="127"/>
      <c r="BL246" s="127"/>
      <c r="BM246" s="127"/>
      <c r="BN246" s="127"/>
      <c r="BO246" s="127"/>
      <c r="BP246" s="127"/>
      <c r="BQ246" s="127"/>
      <c r="BR246" s="127"/>
      <c r="BS246" s="127"/>
      <c r="BT246" s="127"/>
      <c r="BU246" s="127"/>
      <c r="BV246" s="127"/>
      <c r="BW246" s="127"/>
      <c r="BX246" s="127"/>
      <c r="BY246" s="127"/>
      <c r="BZ246" s="127"/>
      <c r="CA246" s="127"/>
      <c r="CB246" s="127"/>
      <c r="CC246" s="127"/>
      <c r="CD246" s="127"/>
      <c r="CE246" s="127"/>
      <c r="CF246" s="127"/>
      <c r="CG246" s="127"/>
      <c r="CH246" s="127"/>
      <c r="CI246" s="127"/>
    </row>
    <row r="247" spans="1:87" x14ac:dyDescent="0.25">
      <c r="A247" s="1"/>
      <c r="B247" s="1"/>
      <c r="F247" s="1"/>
      <c r="G247" s="1"/>
      <c r="AJ247" s="127"/>
      <c r="AK247" s="127"/>
      <c r="AL247" s="127"/>
      <c r="AM247" s="127"/>
      <c r="AN247" s="127"/>
      <c r="AO247" s="127"/>
      <c r="AP247" s="127"/>
      <c r="AQ247" s="127"/>
      <c r="AR247" s="127"/>
      <c r="AS247" s="127"/>
      <c r="AT247" s="127"/>
      <c r="AU247" s="127"/>
      <c r="AV247" s="127"/>
      <c r="AW247" s="127"/>
      <c r="AX247" s="127"/>
      <c r="AY247" s="127"/>
      <c r="AZ247" s="127"/>
      <c r="BA247" s="127"/>
      <c r="BB247" s="127"/>
      <c r="BC247" s="127"/>
      <c r="BD247" s="127"/>
      <c r="BE247" s="127"/>
      <c r="BF247" s="127"/>
      <c r="BG247" s="127"/>
      <c r="BH247" s="127"/>
      <c r="BI247" s="127"/>
      <c r="BJ247" s="127"/>
      <c r="BK247" s="127"/>
      <c r="BL247" s="127"/>
      <c r="BM247" s="127"/>
      <c r="BN247" s="127"/>
      <c r="BO247" s="127"/>
      <c r="BP247" s="127"/>
      <c r="BQ247" s="127"/>
      <c r="BR247" s="127"/>
      <c r="BS247" s="127"/>
      <c r="BT247" s="127"/>
      <c r="BU247" s="127"/>
      <c r="BV247" s="127"/>
      <c r="BW247" s="127"/>
      <c r="BX247" s="127"/>
      <c r="BY247" s="127"/>
      <c r="BZ247" s="127"/>
      <c r="CA247" s="127"/>
      <c r="CB247" s="127"/>
      <c r="CC247" s="127"/>
      <c r="CD247" s="127"/>
      <c r="CE247" s="127"/>
      <c r="CF247" s="127"/>
      <c r="CG247" s="127"/>
      <c r="CH247" s="127"/>
      <c r="CI247" s="127"/>
    </row>
    <row r="248" spans="1:87" x14ac:dyDescent="0.25">
      <c r="A248" s="1"/>
      <c r="B248" s="1"/>
      <c r="F248" s="1"/>
      <c r="G248" s="1"/>
      <c r="AJ248" s="127"/>
      <c r="AK248" s="127"/>
      <c r="AL248" s="127"/>
      <c r="AM248" s="127"/>
      <c r="AN248" s="127"/>
      <c r="AO248" s="127"/>
      <c r="AP248" s="127"/>
      <c r="AQ248" s="127"/>
      <c r="AR248" s="127"/>
      <c r="AS248" s="127"/>
      <c r="AT248" s="127"/>
      <c r="AU248" s="127"/>
      <c r="AV248" s="127"/>
      <c r="AW248" s="127"/>
      <c r="AX248" s="127"/>
      <c r="AY248" s="127"/>
      <c r="AZ248" s="127"/>
      <c r="BA248" s="127"/>
      <c r="BB248" s="127"/>
      <c r="BC248" s="127"/>
      <c r="BD248" s="127"/>
      <c r="BE248" s="127"/>
      <c r="BF248" s="127"/>
      <c r="BG248" s="127"/>
      <c r="BH248" s="127"/>
      <c r="BI248" s="127"/>
      <c r="BJ248" s="127"/>
      <c r="BK248" s="127"/>
      <c r="BL248" s="127"/>
      <c r="BM248" s="127"/>
      <c r="BN248" s="127"/>
      <c r="BO248" s="127"/>
      <c r="BP248" s="127"/>
      <c r="BQ248" s="127"/>
      <c r="BR248" s="127"/>
      <c r="BS248" s="127"/>
      <c r="BT248" s="127"/>
      <c r="BU248" s="127"/>
      <c r="BV248" s="127"/>
      <c r="BW248" s="127"/>
      <c r="BX248" s="127"/>
      <c r="BY248" s="127"/>
      <c r="BZ248" s="127"/>
      <c r="CA248" s="127"/>
      <c r="CB248" s="127"/>
      <c r="CC248" s="127"/>
      <c r="CD248" s="127"/>
      <c r="CE248" s="127"/>
      <c r="CF248" s="127"/>
      <c r="CG248" s="127"/>
      <c r="CH248" s="127"/>
      <c r="CI248" s="127"/>
    </row>
    <row r="249" spans="1:87" x14ac:dyDescent="0.25">
      <c r="A249" s="1"/>
      <c r="B249" s="1"/>
      <c r="F249" s="1"/>
      <c r="G249" s="1"/>
      <c r="AJ249" s="127"/>
      <c r="AK249" s="127"/>
      <c r="AL249" s="127"/>
      <c r="AM249" s="127"/>
      <c r="AN249" s="127"/>
      <c r="AO249" s="127"/>
      <c r="AP249" s="127"/>
      <c r="AQ249" s="127"/>
      <c r="AR249" s="127"/>
      <c r="AS249" s="127"/>
      <c r="AT249" s="127"/>
      <c r="AU249" s="127"/>
      <c r="AV249" s="127"/>
      <c r="AW249" s="127"/>
      <c r="AX249" s="127"/>
      <c r="AY249" s="127"/>
      <c r="AZ249" s="127"/>
      <c r="BA249" s="127"/>
      <c r="BB249" s="127"/>
      <c r="BC249" s="127"/>
      <c r="BD249" s="127"/>
      <c r="BE249" s="127"/>
      <c r="BF249" s="127"/>
      <c r="BG249" s="127"/>
      <c r="BH249" s="127"/>
      <c r="BI249" s="127"/>
      <c r="BJ249" s="127"/>
      <c r="BK249" s="127"/>
      <c r="BL249" s="127"/>
      <c r="BM249" s="127"/>
      <c r="BN249" s="127"/>
      <c r="BO249" s="127"/>
      <c r="BP249" s="127"/>
      <c r="BQ249" s="127"/>
      <c r="BR249" s="127"/>
      <c r="BS249" s="127"/>
      <c r="BT249" s="127"/>
      <c r="BU249" s="127"/>
      <c r="BV249" s="127"/>
      <c r="BW249" s="127"/>
      <c r="BX249" s="127"/>
      <c r="BY249" s="127"/>
      <c r="BZ249" s="127"/>
      <c r="CA249" s="127"/>
      <c r="CB249" s="127"/>
      <c r="CC249" s="127"/>
      <c r="CD249" s="127"/>
      <c r="CE249" s="127"/>
      <c r="CF249" s="127"/>
      <c r="CG249" s="127"/>
      <c r="CH249" s="127"/>
      <c r="CI249" s="127"/>
    </row>
    <row r="250" spans="1:87" x14ac:dyDescent="0.25">
      <c r="A250" s="1"/>
      <c r="B250" s="1"/>
      <c r="F250" s="1"/>
      <c r="G250" s="1"/>
      <c r="AJ250" s="127"/>
      <c r="AK250" s="127"/>
      <c r="AL250" s="127"/>
      <c r="AM250" s="127"/>
      <c r="AN250" s="127"/>
      <c r="AO250" s="127"/>
      <c r="AP250" s="127"/>
      <c r="AQ250" s="127"/>
      <c r="AR250" s="127"/>
      <c r="AS250" s="127"/>
      <c r="AT250" s="127"/>
      <c r="AU250" s="127"/>
      <c r="AV250" s="127"/>
      <c r="AW250" s="127"/>
      <c r="AX250" s="127"/>
      <c r="AY250" s="127"/>
      <c r="AZ250" s="127"/>
      <c r="BA250" s="127"/>
      <c r="BB250" s="127"/>
      <c r="BC250" s="127"/>
      <c r="BD250" s="127"/>
      <c r="BE250" s="127"/>
      <c r="BF250" s="127"/>
      <c r="BG250" s="127"/>
      <c r="BH250" s="127"/>
      <c r="BI250" s="127"/>
      <c r="BJ250" s="127"/>
      <c r="BK250" s="127"/>
      <c r="BL250" s="127"/>
      <c r="BM250" s="127"/>
      <c r="BN250" s="127"/>
      <c r="BO250" s="127"/>
      <c r="BP250" s="127"/>
      <c r="BQ250" s="127"/>
      <c r="BR250" s="127"/>
      <c r="BS250" s="127"/>
      <c r="BT250" s="127"/>
      <c r="BU250" s="127"/>
      <c r="BV250" s="127"/>
      <c r="BW250" s="127"/>
      <c r="BX250" s="127"/>
      <c r="BY250" s="127"/>
      <c r="BZ250" s="127"/>
      <c r="CA250" s="127"/>
      <c r="CB250" s="127"/>
      <c r="CC250" s="127"/>
      <c r="CD250" s="127"/>
      <c r="CE250" s="127"/>
      <c r="CF250" s="127"/>
      <c r="CG250" s="127"/>
      <c r="CH250" s="127"/>
      <c r="CI250" s="127"/>
    </row>
    <row r="251" spans="1:87" x14ac:dyDescent="0.25">
      <c r="A251" s="1"/>
      <c r="B251" s="1"/>
      <c r="F251" s="1"/>
      <c r="G251" s="1"/>
      <c r="AJ251" s="127"/>
      <c r="AK251" s="127"/>
      <c r="AL251" s="127"/>
      <c r="AM251" s="127"/>
      <c r="AN251" s="127"/>
      <c r="AO251" s="127"/>
      <c r="AP251" s="127"/>
      <c r="AQ251" s="127"/>
      <c r="AR251" s="127"/>
      <c r="AS251" s="127"/>
      <c r="AT251" s="127"/>
      <c r="AU251" s="127"/>
      <c r="AV251" s="127"/>
      <c r="AW251" s="127"/>
      <c r="AX251" s="127"/>
      <c r="AY251" s="127"/>
      <c r="AZ251" s="127"/>
      <c r="BA251" s="127"/>
      <c r="BB251" s="127"/>
      <c r="BC251" s="127"/>
      <c r="BD251" s="127"/>
      <c r="BE251" s="127"/>
      <c r="BF251" s="127"/>
      <c r="BG251" s="127"/>
      <c r="BH251" s="127"/>
      <c r="BI251" s="127"/>
      <c r="BJ251" s="127"/>
      <c r="BK251" s="127"/>
      <c r="BL251" s="127"/>
      <c r="BM251" s="127"/>
      <c r="BN251" s="127"/>
      <c r="BO251" s="127"/>
      <c r="BP251" s="127"/>
      <c r="BQ251" s="127"/>
      <c r="BR251" s="127"/>
      <c r="BS251" s="127"/>
      <c r="BT251" s="127"/>
      <c r="BU251" s="127"/>
      <c r="BV251" s="127"/>
      <c r="BW251" s="127"/>
      <c r="BX251" s="127"/>
      <c r="BY251" s="127"/>
      <c r="BZ251" s="127"/>
      <c r="CA251" s="127"/>
      <c r="CB251" s="127"/>
      <c r="CC251" s="127"/>
      <c r="CD251" s="127"/>
      <c r="CE251" s="127"/>
      <c r="CF251" s="127"/>
      <c r="CG251" s="127"/>
      <c r="CH251" s="127"/>
      <c r="CI251" s="127"/>
    </row>
    <row r="252" spans="1:87" x14ac:dyDescent="0.25">
      <c r="A252" s="1"/>
      <c r="B252" s="1"/>
      <c r="F252" s="1"/>
      <c r="G252" s="1"/>
      <c r="AJ252" s="127"/>
      <c r="AK252" s="127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  <c r="AX252" s="127"/>
      <c r="AY252" s="127"/>
      <c r="AZ252" s="127"/>
      <c r="BA252" s="127"/>
      <c r="BB252" s="127"/>
      <c r="BC252" s="127"/>
      <c r="BD252" s="127"/>
      <c r="BE252" s="127"/>
      <c r="BF252" s="127"/>
      <c r="BG252" s="127"/>
      <c r="BH252" s="127"/>
      <c r="BI252" s="127"/>
      <c r="BJ252" s="127"/>
      <c r="BK252" s="127"/>
      <c r="BL252" s="127"/>
      <c r="BM252" s="127"/>
      <c r="BN252" s="127"/>
      <c r="BO252" s="127"/>
      <c r="BP252" s="127"/>
      <c r="BQ252" s="127"/>
      <c r="BR252" s="127"/>
      <c r="BS252" s="127"/>
      <c r="BT252" s="127"/>
      <c r="BU252" s="127"/>
      <c r="BV252" s="127"/>
      <c r="BW252" s="127"/>
      <c r="BX252" s="127"/>
      <c r="BY252" s="127"/>
      <c r="BZ252" s="127"/>
      <c r="CA252" s="127"/>
      <c r="CB252" s="127"/>
      <c r="CC252" s="127"/>
      <c r="CD252" s="127"/>
      <c r="CE252" s="127"/>
      <c r="CF252" s="127"/>
      <c r="CG252" s="127"/>
      <c r="CH252" s="127"/>
      <c r="CI252" s="127"/>
    </row>
    <row r="253" spans="1:87" x14ac:dyDescent="0.25">
      <c r="A253" s="1"/>
      <c r="B253" s="1"/>
      <c r="F253" s="1"/>
      <c r="G253" s="1"/>
      <c r="AJ253" s="127"/>
      <c r="AK253" s="127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  <c r="AX253" s="127"/>
      <c r="AY253" s="127"/>
      <c r="AZ253" s="127"/>
      <c r="BA253" s="127"/>
      <c r="BB253" s="127"/>
      <c r="BC253" s="127"/>
      <c r="BD253" s="127"/>
      <c r="BE253" s="127"/>
      <c r="BF253" s="127"/>
      <c r="BG253" s="127"/>
      <c r="BH253" s="127"/>
      <c r="BI253" s="127"/>
      <c r="BJ253" s="127"/>
      <c r="BK253" s="127"/>
      <c r="BL253" s="127"/>
      <c r="BM253" s="127"/>
      <c r="BN253" s="127"/>
      <c r="BO253" s="127"/>
      <c r="BP253" s="127"/>
      <c r="BQ253" s="127"/>
      <c r="BR253" s="127"/>
      <c r="BS253" s="127"/>
      <c r="BT253" s="127"/>
      <c r="BU253" s="127"/>
      <c r="BV253" s="127"/>
      <c r="BW253" s="127"/>
      <c r="BX253" s="127"/>
      <c r="BY253" s="127"/>
      <c r="BZ253" s="127"/>
      <c r="CA253" s="127"/>
      <c r="CB253" s="127"/>
      <c r="CC253" s="127"/>
      <c r="CD253" s="127"/>
      <c r="CE253" s="127"/>
      <c r="CF253" s="127"/>
      <c r="CG253" s="127"/>
      <c r="CH253" s="127"/>
      <c r="CI253" s="127"/>
    </row>
    <row r="254" spans="1:87" x14ac:dyDescent="0.25">
      <c r="A254" s="1"/>
      <c r="B254" s="1"/>
      <c r="F254" s="1"/>
      <c r="G254" s="1"/>
      <c r="AJ254" s="127"/>
      <c r="AK254" s="127"/>
      <c r="AL254" s="127"/>
      <c r="AM254" s="127"/>
      <c r="AN254" s="127"/>
      <c r="AO254" s="127"/>
      <c r="AP254" s="127"/>
      <c r="AQ254" s="127"/>
      <c r="AR254" s="127"/>
      <c r="AS254" s="127"/>
      <c r="AT254" s="127"/>
      <c r="AU254" s="127"/>
      <c r="AV254" s="127"/>
      <c r="AW254" s="127"/>
      <c r="AX254" s="127"/>
      <c r="AY254" s="127"/>
      <c r="AZ254" s="127"/>
      <c r="BA254" s="127"/>
      <c r="BB254" s="127"/>
      <c r="BC254" s="127"/>
      <c r="BD254" s="127"/>
      <c r="BE254" s="127"/>
      <c r="BF254" s="127"/>
      <c r="BG254" s="127"/>
      <c r="BH254" s="127"/>
      <c r="BI254" s="127"/>
      <c r="BJ254" s="127"/>
      <c r="BK254" s="127"/>
      <c r="BL254" s="127"/>
      <c r="BM254" s="127"/>
      <c r="BN254" s="127"/>
      <c r="BO254" s="127"/>
      <c r="BP254" s="127"/>
      <c r="BQ254" s="127"/>
      <c r="BR254" s="127"/>
      <c r="BS254" s="127"/>
      <c r="BT254" s="127"/>
      <c r="BU254" s="127"/>
      <c r="BV254" s="127"/>
      <c r="BW254" s="127"/>
      <c r="BX254" s="127"/>
      <c r="BY254" s="127"/>
      <c r="BZ254" s="127"/>
      <c r="CA254" s="127"/>
      <c r="CB254" s="127"/>
      <c r="CC254" s="127"/>
      <c r="CD254" s="127"/>
      <c r="CE254" s="127"/>
      <c r="CF254" s="127"/>
      <c r="CG254" s="127"/>
      <c r="CH254" s="127"/>
      <c r="CI254" s="127"/>
    </row>
    <row r="255" spans="1:87" x14ac:dyDescent="0.25">
      <c r="A255" s="1"/>
      <c r="B255" s="1"/>
      <c r="F255" s="1"/>
      <c r="G255" s="1"/>
      <c r="AJ255" s="127"/>
      <c r="AK255" s="127"/>
      <c r="AL255" s="127"/>
      <c r="AM255" s="127"/>
      <c r="AN255" s="127"/>
      <c r="AO255" s="127"/>
      <c r="AP255" s="127"/>
      <c r="AQ255" s="127"/>
      <c r="AR255" s="127"/>
      <c r="AS255" s="127"/>
      <c r="AT255" s="127"/>
      <c r="AU255" s="127"/>
      <c r="AV255" s="127"/>
      <c r="AW255" s="127"/>
      <c r="AX255" s="127"/>
      <c r="AY255" s="127"/>
      <c r="AZ255" s="127"/>
      <c r="BA255" s="127"/>
      <c r="BB255" s="127"/>
      <c r="BC255" s="127"/>
      <c r="BD255" s="127"/>
      <c r="BE255" s="127"/>
      <c r="BF255" s="127"/>
      <c r="BG255" s="127"/>
      <c r="BH255" s="127"/>
      <c r="BI255" s="127"/>
      <c r="BJ255" s="127"/>
      <c r="BK255" s="127"/>
      <c r="BL255" s="127"/>
      <c r="BM255" s="127"/>
      <c r="BN255" s="127"/>
      <c r="BO255" s="127"/>
      <c r="BP255" s="127"/>
      <c r="BQ255" s="127"/>
      <c r="BR255" s="127"/>
      <c r="BS255" s="127"/>
      <c r="BT255" s="127"/>
      <c r="BU255" s="127"/>
      <c r="BV255" s="127"/>
      <c r="BW255" s="127"/>
      <c r="BX255" s="127"/>
      <c r="BY255" s="127"/>
      <c r="BZ255" s="127"/>
      <c r="CA255" s="127"/>
      <c r="CB255" s="127"/>
      <c r="CC255" s="127"/>
      <c r="CD255" s="127"/>
      <c r="CE255" s="127"/>
      <c r="CF255" s="127"/>
      <c r="CG255" s="127"/>
      <c r="CH255" s="127"/>
      <c r="CI255" s="127"/>
    </row>
    <row r="256" spans="1:87" x14ac:dyDescent="0.25">
      <c r="A256" s="1"/>
      <c r="B256" s="1"/>
      <c r="F256" s="1"/>
      <c r="G256" s="1"/>
      <c r="AJ256" s="127"/>
      <c r="AK256" s="127"/>
      <c r="AL256" s="127"/>
      <c r="AM256" s="127"/>
      <c r="AN256" s="127"/>
      <c r="AO256" s="127"/>
      <c r="AP256" s="127"/>
      <c r="AQ256" s="127"/>
      <c r="AR256" s="127"/>
      <c r="AS256" s="127"/>
      <c r="AT256" s="127"/>
      <c r="AU256" s="127"/>
      <c r="AV256" s="127"/>
      <c r="AW256" s="127"/>
      <c r="AX256" s="127"/>
      <c r="AY256" s="127"/>
      <c r="AZ256" s="127"/>
      <c r="BA256" s="127"/>
      <c r="BB256" s="127"/>
      <c r="BC256" s="127"/>
      <c r="BD256" s="127"/>
      <c r="BE256" s="127"/>
      <c r="BF256" s="127"/>
      <c r="BG256" s="127"/>
      <c r="BH256" s="127"/>
      <c r="BI256" s="127"/>
      <c r="BJ256" s="127"/>
      <c r="BK256" s="127"/>
      <c r="BL256" s="127"/>
      <c r="BM256" s="127"/>
      <c r="BN256" s="127"/>
      <c r="BO256" s="127"/>
      <c r="BP256" s="127"/>
      <c r="BQ256" s="127"/>
      <c r="BR256" s="127"/>
      <c r="BS256" s="127"/>
      <c r="BT256" s="127"/>
      <c r="BU256" s="127"/>
      <c r="BV256" s="127"/>
      <c r="BW256" s="127"/>
      <c r="BX256" s="127"/>
      <c r="BY256" s="127"/>
      <c r="BZ256" s="127"/>
      <c r="CA256" s="127"/>
      <c r="CB256" s="127"/>
      <c r="CC256" s="127"/>
      <c r="CD256" s="127"/>
      <c r="CE256" s="127"/>
      <c r="CF256" s="127"/>
      <c r="CG256" s="127"/>
      <c r="CH256" s="127"/>
      <c r="CI256" s="127"/>
    </row>
    <row r="257" spans="1:87" x14ac:dyDescent="0.25">
      <c r="A257" s="1"/>
      <c r="B257" s="1"/>
      <c r="F257" s="1"/>
      <c r="G257" s="1"/>
      <c r="AJ257" s="127"/>
      <c r="AK257" s="127"/>
      <c r="AL257" s="127"/>
      <c r="AM257" s="127"/>
      <c r="AN257" s="127"/>
      <c r="AO257" s="127"/>
      <c r="AP257" s="127"/>
      <c r="AQ257" s="127"/>
      <c r="AR257" s="127"/>
      <c r="AS257" s="127"/>
      <c r="AT257" s="127"/>
      <c r="AU257" s="127"/>
      <c r="AV257" s="127"/>
      <c r="AW257" s="127"/>
      <c r="AX257" s="127"/>
      <c r="AY257" s="127"/>
      <c r="AZ257" s="127"/>
      <c r="BA257" s="127"/>
      <c r="BB257" s="127"/>
      <c r="BC257" s="127"/>
      <c r="BD257" s="127"/>
      <c r="BE257" s="127"/>
      <c r="BF257" s="127"/>
      <c r="BG257" s="127"/>
      <c r="BH257" s="127"/>
      <c r="BI257" s="127"/>
      <c r="BJ257" s="127"/>
      <c r="BK257" s="127"/>
      <c r="BL257" s="127"/>
      <c r="BM257" s="127"/>
      <c r="BN257" s="127"/>
      <c r="BO257" s="127"/>
      <c r="BP257" s="127"/>
      <c r="BQ257" s="127"/>
      <c r="BR257" s="127"/>
      <c r="BS257" s="127"/>
      <c r="BT257" s="127"/>
      <c r="BU257" s="127"/>
      <c r="BV257" s="127"/>
      <c r="BW257" s="127"/>
      <c r="BX257" s="127"/>
      <c r="BY257" s="127"/>
      <c r="BZ257" s="127"/>
      <c r="CA257" s="127"/>
      <c r="CB257" s="127"/>
      <c r="CC257" s="127"/>
      <c r="CD257" s="127"/>
      <c r="CE257" s="127"/>
      <c r="CF257" s="127"/>
      <c r="CG257" s="127"/>
      <c r="CH257" s="127"/>
      <c r="CI257" s="127"/>
    </row>
    <row r="258" spans="1:87" x14ac:dyDescent="0.25">
      <c r="A258" s="1"/>
      <c r="B258" s="1"/>
      <c r="F258" s="1"/>
      <c r="G258" s="1"/>
      <c r="AJ258" s="127"/>
      <c r="AK258" s="127"/>
      <c r="AL258" s="127"/>
      <c r="AM258" s="127"/>
      <c r="AN258" s="127"/>
      <c r="AO258" s="127"/>
      <c r="AP258" s="127"/>
      <c r="AQ258" s="127"/>
      <c r="AR258" s="127"/>
      <c r="AS258" s="127"/>
      <c r="AT258" s="127"/>
      <c r="AU258" s="127"/>
      <c r="AV258" s="127"/>
      <c r="AW258" s="127"/>
      <c r="AX258" s="127"/>
      <c r="AY258" s="127"/>
      <c r="AZ258" s="127"/>
      <c r="BA258" s="127"/>
      <c r="BB258" s="127"/>
      <c r="BC258" s="127"/>
      <c r="BD258" s="127"/>
      <c r="BE258" s="127"/>
      <c r="BF258" s="127"/>
      <c r="BG258" s="127"/>
      <c r="BH258" s="127"/>
      <c r="BI258" s="127"/>
      <c r="BJ258" s="127"/>
      <c r="BK258" s="127"/>
      <c r="BL258" s="127"/>
      <c r="BM258" s="127"/>
      <c r="BN258" s="127"/>
      <c r="BO258" s="127"/>
      <c r="BP258" s="127"/>
      <c r="BQ258" s="127"/>
      <c r="BR258" s="127"/>
      <c r="BS258" s="127"/>
      <c r="BT258" s="127"/>
      <c r="BU258" s="127"/>
      <c r="BV258" s="127"/>
      <c r="BW258" s="127"/>
      <c r="BX258" s="127"/>
      <c r="BY258" s="127"/>
      <c r="BZ258" s="127"/>
      <c r="CA258" s="127"/>
      <c r="CB258" s="127"/>
      <c r="CC258" s="127"/>
      <c r="CD258" s="127"/>
      <c r="CE258" s="127"/>
      <c r="CF258" s="127"/>
      <c r="CG258" s="127"/>
      <c r="CH258" s="127"/>
      <c r="CI258" s="127"/>
    </row>
    <row r="259" spans="1:87" x14ac:dyDescent="0.25">
      <c r="A259" s="1"/>
      <c r="B259" s="1"/>
      <c r="F259" s="1"/>
      <c r="G259" s="1"/>
      <c r="AJ259" s="127"/>
      <c r="AK259" s="127"/>
      <c r="AL259" s="127"/>
      <c r="AM259" s="127"/>
      <c r="AN259" s="127"/>
      <c r="AO259" s="127"/>
      <c r="AP259" s="127"/>
      <c r="AQ259" s="127"/>
      <c r="AR259" s="127"/>
      <c r="AS259" s="127"/>
      <c r="AT259" s="127"/>
      <c r="AU259" s="127"/>
      <c r="AV259" s="127"/>
      <c r="AW259" s="127"/>
      <c r="AX259" s="127"/>
      <c r="AY259" s="127"/>
      <c r="AZ259" s="127"/>
      <c r="BA259" s="127"/>
      <c r="BB259" s="127"/>
      <c r="BC259" s="127"/>
      <c r="BD259" s="127"/>
      <c r="BE259" s="127"/>
      <c r="BF259" s="127"/>
      <c r="BG259" s="127"/>
      <c r="BH259" s="127"/>
      <c r="BI259" s="127"/>
      <c r="BJ259" s="127"/>
      <c r="BK259" s="127"/>
      <c r="BL259" s="127"/>
      <c r="BM259" s="127"/>
      <c r="BN259" s="127"/>
      <c r="BO259" s="127"/>
      <c r="BP259" s="127"/>
      <c r="BQ259" s="127"/>
      <c r="BR259" s="127"/>
      <c r="BS259" s="127"/>
      <c r="BT259" s="127"/>
      <c r="BU259" s="127"/>
      <c r="BV259" s="127"/>
      <c r="BW259" s="127"/>
      <c r="BX259" s="127"/>
      <c r="BY259" s="127"/>
      <c r="BZ259" s="127"/>
      <c r="CA259" s="127"/>
      <c r="CB259" s="127"/>
      <c r="CC259" s="127"/>
      <c r="CD259" s="127"/>
      <c r="CE259" s="127"/>
      <c r="CF259" s="127"/>
      <c r="CG259" s="127"/>
      <c r="CH259" s="127"/>
      <c r="CI259" s="127"/>
    </row>
    <row r="260" spans="1:87" x14ac:dyDescent="0.25">
      <c r="A260" s="1"/>
      <c r="B260" s="1"/>
      <c r="F260" s="1"/>
      <c r="G260" s="1"/>
      <c r="AJ260" s="127"/>
      <c r="AK260" s="127"/>
      <c r="AL260" s="127"/>
      <c r="AM260" s="127"/>
      <c r="AN260" s="127"/>
      <c r="AO260" s="127"/>
      <c r="AP260" s="127"/>
      <c r="AQ260" s="127"/>
      <c r="AR260" s="127"/>
      <c r="AS260" s="127"/>
      <c r="AT260" s="127"/>
      <c r="AU260" s="127"/>
      <c r="AV260" s="127"/>
      <c r="AW260" s="127"/>
      <c r="AX260" s="127"/>
      <c r="AY260" s="127"/>
      <c r="AZ260" s="127"/>
      <c r="BA260" s="127"/>
      <c r="BB260" s="127"/>
      <c r="BC260" s="127"/>
      <c r="BD260" s="127"/>
      <c r="BE260" s="127"/>
      <c r="BF260" s="127"/>
      <c r="BG260" s="127"/>
      <c r="BH260" s="127"/>
      <c r="BI260" s="127"/>
      <c r="BJ260" s="127"/>
      <c r="BK260" s="127"/>
      <c r="BL260" s="127"/>
      <c r="BM260" s="127"/>
      <c r="BN260" s="127"/>
      <c r="BO260" s="127"/>
      <c r="BP260" s="127"/>
      <c r="BQ260" s="127"/>
      <c r="BR260" s="127"/>
      <c r="BS260" s="127"/>
      <c r="BT260" s="127"/>
      <c r="BU260" s="127"/>
      <c r="BV260" s="127"/>
      <c r="BW260" s="127"/>
      <c r="BX260" s="127"/>
      <c r="BY260" s="127"/>
      <c r="BZ260" s="127"/>
      <c r="CA260" s="127"/>
      <c r="CB260" s="127"/>
      <c r="CC260" s="127"/>
      <c r="CD260" s="127"/>
      <c r="CE260" s="127"/>
      <c r="CF260" s="127"/>
      <c r="CG260" s="127"/>
      <c r="CH260" s="127"/>
      <c r="CI260" s="127"/>
    </row>
    <row r="261" spans="1:87" x14ac:dyDescent="0.25">
      <c r="A261" s="1"/>
      <c r="B261" s="1"/>
      <c r="F261" s="1"/>
      <c r="G261" s="1"/>
      <c r="AJ261" s="127"/>
      <c r="AK261" s="127"/>
      <c r="AL261" s="127"/>
      <c r="AM261" s="127"/>
      <c r="AN261" s="127"/>
      <c r="AO261" s="127"/>
      <c r="AP261" s="127"/>
      <c r="AQ261" s="127"/>
      <c r="AR261" s="127"/>
      <c r="AS261" s="127"/>
      <c r="AT261" s="127"/>
      <c r="AU261" s="127"/>
      <c r="AV261" s="127"/>
      <c r="AW261" s="127"/>
      <c r="AX261" s="127"/>
      <c r="AY261" s="127"/>
      <c r="AZ261" s="127"/>
      <c r="BA261" s="127"/>
      <c r="BB261" s="127"/>
      <c r="BC261" s="127"/>
      <c r="BD261" s="127"/>
      <c r="BE261" s="127"/>
      <c r="BF261" s="127"/>
      <c r="BG261" s="127"/>
      <c r="BH261" s="127"/>
      <c r="BI261" s="127"/>
      <c r="BJ261" s="127"/>
      <c r="BK261" s="127"/>
      <c r="BL261" s="127"/>
      <c r="BM261" s="127"/>
      <c r="BN261" s="127"/>
      <c r="BO261" s="127"/>
      <c r="BP261" s="127"/>
      <c r="BQ261" s="127"/>
      <c r="BR261" s="127"/>
      <c r="BS261" s="127"/>
      <c r="BT261" s="127"/>
      <c r="BU261" s="127"/>
      <c r="BV261" s="127"/>
      <c r="BW261" s="127"/>
      <c r="BX261" s="127"/>
      <c r="BY261" s="127"/>
      <c r="BZ261" s="127"/>
      <c r="CA261" s="127"/>
      <c r="CB261" s="127"/>
      <c r="CC261" s="127"/>
      <c r="CD261" s="127"/>
      <c r="CE261" s="127"/>
      <c r="CF261" s="127"/>
      <c r="CG261" s="127"/>
      <c r="CH261" s="127"/>
      <c r="CI261" s="127"/>
    </row>
    <row r="262" spans="1:87" x14ac:dyDescent="0.25">
      <c r="A262" s="1"/>
      <c r="B262" s="1"/>
      <c r="F262" s="1"/>
      <c r="G262" s="1"/>
      <c r="AJ262" s="127"/>
      <c r="AK262" s="127"/>
      <c r="AL262" s="127"/>
      <c r="AM262" s="127"/>
      <c r="AN262" s="127"/>
      <c r="AO262" s="127"/>
      <c r="AP262" s="127"/>
      <c r="AQ262" s="127"/>
      <c r="AR262" s="127"/>
      <c r="AS262" s="127"/>
      <c r="AT262" s="127"/>
      <c r="AU262" s="127"/>
      <c r="AV262" s="127"/>
      <c r="AW262" s="127"/>
      <c r="AX262" s="127"/>
      <c r="AY262" s="127"/>
      <c r="AZ262" s="127"/>
      <c r="BA262" s="127"/>
      <c r="BB262" s="127"/>
      <c r="BC262" s="127"/>
      <c r="BD262" s="127"/>
      <c r="BE262" s="127"/>
      <c r="BF262" s="127"/>
      <c r="BG262" s="127"/>
      <c r="BH262" s="127"/>
      <c r="BI262" s="127"/>
      <c r="BJ262" s="127"/>
      <c r="BK262" s="127"/>
      <c r="BL262" s="127"/>
      <c r="BM262" s="127"/>
      <c r="BN262" s="127"/>
      <c r="BO262" s="127"/>
      <c r="BP262" s="127"/>
      <c r="BQ262" s="127"/>
      <c r="BR262" s="127"/>
      <c r="BS262" s="127"/>
      <c r="BT262" s="127"/>
      <c r="BU262" s="127"/>
      <c r="BV262" s="127"/>
      <c r="BW262" s="127"/>
      <c r="BX262" s="127"/>
      <c r="BY262" s="127"/>
      <c r="BZ262" s="127"/>
      <c r="CA262" s="127"/>
      <c r="CB262" s="127"/>
      <c r="CC262" s="127"/>
      <c r="CD262" s="127"/>
      <c r="CE262" s="127"/>
      <c r="CF262" s="127"/>
      <c r="CG262" s="127"/>
      <c r="CH262" s="127"/>
      <c r="CI262" s="127"/>
    </row>
    <row r="263" spans="1:87" x14ac:dyDescent="0.25">
      <c r="A263" s="1"/>
      <c r="B263" s="1"/>
      <c r="F263" s="1"/>
      <c r="G263" s="1"/>
      <c r="AJ263" s="127"/>
      <c r="AK263" s="127"/>
      <c r="AL263" s="127"/>
      <c r="AM263" s="127"/>
      <c r="AN263" s="127"/>
      <c r="AO263" s="127"/>
      <c r="AP263" s="127"/>
      <c r="AQ263" s="127"/>
      <c r="AR263" s="127"/>
      <c r="AS263" s="127"/>
      <c r="AT263" s="127"/>
      <c r="AU263" s="127"/>
      <c r="AV263" s="127"/>
      <c r="AW263" s="127"/>
      <c r="AX263" s="127"/>
      <c r="AY263" s="127"/>
      <c r="AZ263" s="127"/>
      <c r="BA263" s="127"/>
      <c r="BB263" s="127"/>
      <c r="BC263" s="127"/>
      <c r="BD263" s="127"/>
      <c r="BE263" s="127"/>
      <c r="BF263" s="127"/>
      <c r="BG263" s="127"/>
      <c r="BH263" s="127"/>
      <c r="BI263" s="127"/>
      <c r="BJ263" s="127"/>
      <c r="BK263" s="127"/>
      <c r="BL263" s="127"/>
      <c r="BM263" s="127"/>
      <c r="BN263" s="127"/>
      <c r="BO263" s="127"/>
      <c r="BP263" s="127"/>
      <c r="BQ263" s="127"/>
      <c r="BR263" s="127"/>
      <c r="BS263" s="127"/>
      <c r="BT263" s="127"/>
      <c r="BU263" s="127"/>
      <c r="BV263" s="127"/>
      <c r="BW263" s="127"/>
      <c r="BX263" s="127"/>
      <c r="BY263" s="127"/>
      <c r="BZ263" s="127"/>
      <c r="CA263" s="127"/>
      <c r="CB263" s="127"/>
      <c r="CC263" s="127"/>
      <c r="CD263" s="127"/>
      <c r="CE263" s="127"/>
      <c r="CF263" s="127"/>
      <c r="CG263" s="127"/>
      <c r="CH263" s="127"/>
      <c r="CI263" s="127"/>
    </row>
    <row r="264" spans="1:87" x14ac:dyDescent="0.25">
      <c r="A264" s="1"/>
      <c r="B264" s="1"/>
      <c r="F264" s="1"/>
      <c r="G264" s="1"/>
      <c r="AJ264" s="127"/>
      <c r="AK264" s="127"/>
      <c r="AL264" s="127"/>
      <c r="AM264" s="127"/>
      <c r="AN264" s="127"/>
      <c r="AO264" s="127"/>
      <c r="AP264" s="127"/>
      <c r="AQ264" s="127"/>
      <c r="AR264" s="127"/>
      <c r="AS264" s="127"/>
      <c r="AT264" s="127"/>
      <c r="AU264" s="127"/>
      <c r="AV264" s="127"/>
      <c r="AW264" s="127"/>
      <c r="AX264" s="127"/>
      <c r="AY264" s="127"/>
      <c r="AZ264" s="127"/>
      <c r="BA264" s="127"/>
      <c r="BB264" s="127"/>
      <c r="BC264" s="127"/>
      <c r="BD264" s="127"/>
      <c r="BE264" s="127"/>
      <c r="BF264" s="127"/>
      <c r="BG264" s="127"/>
      <c r="BH264" s="127"/>
      <c r="BI264" s="127"/>
      <c r="BJ264" s="127"/>
      <c r="BK264" s="127"/>
      <c r="BL264" s="127"/>
      <c r="BM264" s="127"/>
      <c r="BN264" s="127"/>
      <c r="BO264" s="127"/>
      <c r="BP264" s="127"/>
      <c r="BQ264" s="127"/>
      <c r="BR264" s="127"/>
      <c r="BS264" s="127"/>
      <c r="BT264" s="127"/>
      <c r="BU264" s="127"/>
      <c r="BV264" s="127"/>
      <c r="BW264" s="127"/>
      <c r="BX264" s="127"/>
      <c r="BY264" s="127"/>
      <c r="BZ264" s="127"/>
      <c r="CA264" s="127"/>
      <c r="CB264" s="127"/>
      <c r="CC264" s="127"/>
      <c r="CD264" s="127"/>
      <c r="CE264" s="127"/>
      <c r="CF264" s="127"/>
      <c r="CG264" s="127"/>
      <c r="CH264" s="127"/>
      <c r="CI264" s="127"/>
    </row>
    <row r="265" spans="1:87" x14ac:dyDescent="0.25">
      <c r="A265" s="1"/>
      <c r="B265" s="1"/>
      <c r="F265" s="1"/>
      <c r="G265" s="1"/>
      <c r="AJ265" s="127"/>
      <c r="AK265" s="127"/>
      <c r="AL265" s="127"/>
      <c r="AM265" s="127"/>
      <c r="AN265" s="127"/>
      <c r="AO265" s="127"/>
      <c r="AP265" s="127"/>
      <c r="AQ265" s="127"/>
      <c r="AR265" s="127"/>
      <c r="AS265" s="127"/>
      <c r="AT265" s="127"/>
      <c r="AU265" s="127"/>
      <c r="AV265" s="127"/>
      <c r="AW265" s="127"/>
      <c r="AX265" s="127"/>
      <c r="AY265" s="127"/>
      <c r="AZ265" s="127"/>
      <c r="BA265" s="127"/>
      <c r="BB265" s="127"/>
      <c r="BC265" s="127"/>
      <c r="BD265" s="127"/>
      <c r="BE265" s="127"/>
      <c r="BF265" s="127"/>
      <c r="BG265" s="127"/>
      <c r="BH265" s="127"/>
      <c r="BI265" s="127"/>
      <c r="BJ265" s="127"/>
      <c r="BK265" s="127"/>
      <c r="BL265" s="127"/>
      <c r="BM265" s="127"/>
      <c r="BN265" s="127"/>
      <c r="BO265" s="127"/>
      <c r="BP265" s="127"/>
      <c r="BQ265" s="127"/>
      <c r="BR265" s="127"/>
      <c r="BS265" s="127"/>
      <c r="BT265" s="127"/>
      <c r="BU265" s="127"/>
      <c r="BV265" s="127"/>
      <c r="BW265" s="127"/>
      <c r="BX265" s="127"/>
      <c r="BY265" s="127"/>
      <c r="BZ265" s="127"/>
      <c r="CA265" s="127"/>
      <c r="CB265" s="127"/>
      <c r="CC265" s="127"/>
      <c r="CD265" s="127"/>
      <c r="CE265" s="127"/>
      <c r="CF265" s="127"/>
      <c r="CG265" s="127"/>
      <c r="CH265" s="127"/>
      <c r="CI265" s="127"/>
    </row>
    <row r="266" spans="1:87" x14ac:dyDescent="0.25">
      <c r="A266" s="1"/>
      <c r="B266" s="1"/>
      <c r="F266" s="1"/>
      <c r="G266" s="1"/>
      <c r="AJ266" s="127"/>
      <c r="AK266" s="127"/>
      <c r="AL266" s="127"/>
      <c r="AM266" s="127"/>
      <c r="AN266" s="127"/>
      <c r="AO266" s="127"/>
      <c r="AP266" s="127"/>
      <c r="AQ266" s="127"/>
      <c r="AR266" s="127"/>
      <c r="AS266" s="127"/>
      <c r="AT266" s="127"/>
      <c r="AU266" s="127"/>
      <c r="AV266" s="127"/>
      <c r="AW266" s="127"/>
      <c r="AX266" s="127"/>
      <c r="AY266" s="127"/>
      <c r="AZ266" s="127"/>
      <c r="BA266" s="127"/>
      <c r="BB266" s="127"/>
      <c r="BC266" s="127"/>
      <c r="BD266" s="127"/>
      <c r="BE266" s="127"/>
      <c r="BF266" s="127"/>
      <c r="BG266" s="127"/>
      <c r="BH266" s="127"/>
      <c r="BI266" s="127"/>
      <c r="BJ266" s="127"/>
      <c r="BK266" s="127"/>
      <c r="BL266" s="127"/>
      <c r="BM266" s="127"/>
      <c r="BN266" s="127"/>
      <c r="BO266" s="127"/>
      <c r="BP266" s="127"/>
      <c r="BQ266" s="127"/>
      <c r="BR266" s="127"/>
      <c r="BS266" s="127"/>
      <c r="BT266" s="127"/>
      <c r="BU266" s="127"/>
      <c r="BV266" s="127"/>
      <c r="BW266" s="127"/>
      <c r="BX266" s="127"/>
      <c r="BY266" s="127"/>
      <c r="BZ266" s="127"/>
      <c r="CA266" s="127"/>
      <c r="CB266" s="127"/>
      <c r="CC266" s="127"/>
      <c r="CD266" s="127"/>
      <c r="CE266" s="127"/>
      <c r="CF266" s="127"/>
      <c r="CG266" s="127"/>
      <c r="CH266" s="127"/>
      <c r="CI266" s="127"/>
    </row>
    <row r="267" spans="1:87" x14ac:dyDescent="0.25">
      <c r="A267" s="1"/>
      <c r="B267" s="1"/>
      <c r="F267" s="1"/>
      <c r="G267" s="1"/>
      <c r="AJ267" s="127"/>
      <c r="AK267" s="127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  <c r="AX267" s="127"/>
      <c r="AY267" s="127"/>
      <c r="AZ267" s="127"/>
      <c r="BA267" s="127"/>
      <c r="BB267" s="127"/>
      <c r="BC267" s="127"/>
      <c r="BD267" s="127"/>
      <c r="BE267" s="127"/>
      <c r="BF267" s="127"/>
      <c r="BG267" s="127"/>
      <c r="BH267" s="127"/>
      <c r="BI267" s="127"/>
      <c r="BJ267" s="127"/>
      <c r="BK267" s="127"/>
      <c r="BL267" s="127"/>
      <c r="BM267" s="127"/>
      <c r="BN267" s="127"/>
      <c r="BO267" s="127"/>
      <c r="BP267" s="127"/>
      <c r="BQ267" s="127"/>
      <c r="BR267" s="127"/>
      <c r="BS267" s="127"/>
      <c r="BT267" s="127"/>
      <c r="BU267" s="127"/>
      <c r="BV267" s="127"/>
      <c r="BW267" s="127"/>
      <c r="BX267" s="127"/>
      <c r="BY267" s="127"/>
      <c r="BZ267" s="127"/>
      <c r="CA267" s="127"/>
      <c r="CB267" s="127"/>
      <c r="CC267" s="127"/>
      <c r="CD267" s="127"/>
      <c r="CE267" s="127"/>
      <c r="CF267" s="127"/>
      <c r="CG267" s="127"/>
      <c r="CH267" s="127"/>
      <c r="CI267" s="127"/>
    </row>
    <row r="268" spans="1:87" x14ac:dyDescent="0.25">
      <c r="A268" s="1"/>
      <c r="B268" s="1"/>
      <c r="F268" s="1"/>
      <c r="G268" s="1"/>
      <c r="AJ268" s="127"/>
      <c r="AK268" s="127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  <c r="AX268" s="127"/>
      <c r="AY268" s="127"/>
      <c r="AZ268" s="127"/>
      <c r="BA268" s="127"/>
      <c r="BB268" s="127"/>
      <c r="BC268" s="127"/>
      <c r="BD268" s="127"/>
      <c r="BE268" s="127"/>
      <c r="BF268" s="127"/>
      <c r="BG268" s="127"/>
      <c r="BH268" s="127"/>
      <c r="BI268" s="127"/>
      <c r="BJ268" s="127"/>
      <c r="BK268" s="127"/>
      <c r="BL268" s="127"/>
      <c r="BM268" s="127"/>
      <c r="BN268" s="127"/>
      <c r="BO268" s="127"/>
      <c r="BP268" s="127"/>
      <c r="BQ268" s="127"/>
      <c r="BR268" s="127"/>
      <c r="BS268" s="127"/>
      <c r="BT268" s="127"/>
      <c r="BU268" s="127"/>
      <c r="BV268" s="127"/>
      <c r="BW268" s="127"/>
      <c r="BX268" s="127"/>
      <c r="BY268" s="127"/>
      <c r="BZ268" s="127"/>
      <c r="CA268" s="127"/>
      <c r="CB268" s="127"/>
      <c r="CC268" s="127"/>
      <c r="CD268" s="127"/>
      <c r="CE268" s="127"/>
      <c r="CF268" s="127"/>
      <c r="CG268" s="127"/>
      <c r="CH268" s="127"/>
      <c r="CI268" s="127"/>
    </row>
    <row r="269" spans="1:87" x14ac:dyDescent="0.25">
      <c r="A269" s="1"/>
      <c r="B269" s="1"/>
      <c r="F269" s="1"/>
      <c r="G269" s="1"/>
      <c r="AJ269" s="127"/>
      <c r="AK269" s="127"/>
      <c r="AL269" s="127"/>
      <c r="AM269" s="127"/>
      <c r="AN269" s="127"/>
      <c r="AO269" s="127"/>
      <c r="AP269" s="127"/>
      <c r="AQ269" s="127"/>
      <c r="AR269" s="127"/>
      <c r="AS269" s="127"/>
      <c r="AT269" s="127"/>
      <c r="AU269" s="127"/>
      <c r="AV269" s="127"/>
      <c r="AW269" s="127"/>
      <c r="AX269" s="127"/>
      <c r="AY269" s="127"/>
      <c r="AZ269" s="127"/>
      <c r="BA269" s="127"/>
      <c r="BB269" s="127"/>
      <c r="BC269" s="127"/>
      <c r="BD269" s="127"/>
      <c r="BE269" s="127"/>
      <c r="BF269" s="127"/>
      <c r="BG269" s="127"/>
      <c r="BH269" s="127"/>
      <c r="BI269" s="127"/>
      <c r="BJ269" s="127"/>
      <c r="BK269" s="127"/>
      <c r="BL269" s="127"/>
      <c r="BM269" s="127"/>
      <c r="BN269" s="127"/>
      <c r="BO269" s="127"/>
      <c r="BP269" s="127"/>
      <c r="BQ269" s="127"/>
      <c r="BR269" s="127"/>
      <c r="BS269" s="127"/>
      <c r="BT269" s="127"/>
      <c r="BU269" s="127"/>
      <c r="BV269" s="127"/>
      <c r="BW269" s="127"/>
      <c r="BX269" s="127"/>
      <c r="BY269" s="127"/>
      <c r="BZ269" s="127"/>
      <c r="CA269" s="127"/>
      <c r="CB269" s="127"/>
      <c r="CC269" s="127"/>
      <c r="CD269" s="127"/>
      <c r="CE269" s="127"/>
      <c r="CF269" s="127"/>
      <c r="CG269" s="127"/>
      <c r="CH269" s="127"/>
      <c r="CI269" s="127"/>
    </row>
    <row r="270" spans="1:87" x14ac:dyDescent="0.25">
      <c r="A270" s="1"/>
      <c r="B270" s="1"/>
      <c r="F270" s="1"/>
      <c r="G270" s="1"/>
      <c r="AJ270" s="127"/>
      <c r="AK270" s="127"/>
      <c r="AL270" s="127"/>
      <c r="AM270" s="127"/>
      <c r="AN270" s="127"/>
      <c r="AO270" s="127"/>
      <c r="AP270" s="127"/>
      <c r="AQ270" s="127"/>
      <c r="AR270" s="127"/>
      <c r="AS270" s="127"/>
      <c r="AT270" s="127"/>
      <c r="AU270" s="127"/>
      <c r="AV270" s="127"/>
      <c r="AW270" s="127"/>
      <c r="AX270" s="127"/>
      <c r="AY270" s="127"/>
      <c r="AZ270" s="127"/>
      <c r="BA270" s="127"/>
      <c r="BB270" s="127"/>
      <c r="BC270" s="127"/>
      <c r="BD270" s="127"/>
      <c r="BE270" s="127"/>
      <c r="BF270" s="127"/>
      <c r="BG270" s="127"/>
      <c r="BH270" s="127"/>
      <c r="BI270" s="127"/>
      <c r="BJ270" s="127"/>
      <c r="BK270" s="127"/>
      <c r="BL270" s="127"/>
      <c r="BM270" s="127"/>
      <c r="BN270" s="127"/>
      <c r="BO270" s="127"/>
      <c r="BP270" s="127"/>
      <c r="BQ270" s="127"/>
      <c r="BR270" s="127"/>
      <c r="BS270" s="127"/>
      <c r="BT270" s="127"/>
      <c r="BU270" s="127"/>
      <c r="BV270" s="127"/>
      <c r="BW270" s="127"/>
      <c r="BX270" s="127"/>
      <c r="BY270" s="127"/>
      <c r="BZ270" s="127"/>
      <c r="CA270" s="127"/>
      <c r="CB270" s="127"/>
      <c r="CC270" s="127"/>
      <c r="CD270" s="127"/>
      <c r="CE270" s="127"/>
      <c r="CF270" s="127"/>
      <c r="CG270" s="127"/>
      <c r="CH270" s="127"/>
      <c r="CI270" s="127"/>
    </row>
    <row r="271" spans="1:87" x14ac:dyDescent="0.25">
      <c r="A271" s="1"/>
      <c r="B271" s="1"/>
      <c r="F271" s="1"/>
      <c r="G271" s="1"/>
      <c r="AJ271" s="127"/>
      <c r="AK271" s="127"/>
      <c r="AL271" s="127"/>
      <c r="AM271" s="127"/>
      <c r="AN271" s="127"/>
      <c r="AO271" s="127"/>
      <c r="AP271" s="127"/>
      <c r="AQ271" s="127"/>
      <c r="AR271" s="127"/>
      <c r="AS271" s="127"/>
      <c r="AT271" s="127"/>
      <c r="AU271" s="127"/>
      <c r="AV271" s="127"/>
      <c r="AW271" s="127"/>
      <c r="AX271" s="127"/>
      <c r="AY271" s="127"/>
      <c r="AZ271" s="127"/>
      <c r="BA271" s="127"/>
      <c r="BB271" s="127"/>
      <c r="BC271" s="127"/>
      <c r="BD271" s="127"/>
      <c r="BE271" s="127"/>
      <c r="BF271" s="127"/>
      <c r="BG271" s="127"/>
      <c r="BH271" s="127"/>
      <c r="BI271" s="127"/>
      <c r="BJ271" s="127"/>
      <c r="BK271" s="127"/>
      <c r="BL271" s="127"/>
      <c r="BM271" s="127"/>
      <c r="BN271" s="127"/>
      <c r="BO271" s="127"/>
      <c r="BP271" s="127"/>
      <c r="BQ271" s="127"/>
      <c r="BR271" s="127"/>
      <c r="BS271" s="127"/>
      <c r="BT271" s="127"/>
      <c r="BU271" s="127"/>
      <c r="BV271" s="127"/>
      <c r="BW271" s="127"/>
      <c r="BX271" s="127"/>
      <c r="BY271" s="127"/>
      <c r="BZ271" s="127"/>
      <c r="CA271" s="127"/>
      <c r="CB271" s="127"/>
      <c r="CC271" s="127"/>
      <c r="CD271" s="127"/>
      <c r="CE271" s="127"/>
      <c r="CF271" s="127"/>
      <c r="CG271" s="127"/>
      <c r="CH271" s="127"/>
      <c r="CI271" s="127"/>
    </row>
    <row r="272" spans="1:87" x14ac:dyDescent="0.25">
      <c r="A272" s="1"/>
      <c r="B272" s="1"/>
      <c r="F272" s="1"/>
      <c r="G272" s="1"/>
      <c r="AJ272" s="127"/>
      <c r="AK272" s="127"/>
      <c r="AL272" s="127"/>
      <c r="AM272" s="127"/>
      <c r="AN272" s="127"/>
      <c r="AO272" s="127"/>
      <c r="AP272" s="127"/>
      <c r="AQ272" s="127"/>
      <c r="AR272" s="127"/>
      <c r="AS272" s="127"/>
      <c r="AT272" s="127"/>
      <c r="AU272" s="127"/>
      <c r="AV272" s="127"/>
      <c r="AW272" s="127"/>
      <c r="AX272" s="127"/>
      <c r="AY272" s="127"/>
      <c r="AZ272" s="127"/>
      <c r="BA272" s="127"/>
      <c r="BB272" s="127"/>
      <c r="BC272" s="127"/>
      <c r="BD272" s="127"/>
      <c r="BE272" s="127"/>
      <c r="BF272" s="127"/>
      <c r="BG272" s="127"/>
      <c r="BH272" s="127"/>
      <c r="BI272" s="127"/>
      <c r="BJ272" s="127"/>
      <c r="BK272" s="127"/>
      <c r="BL272" s="127"/>
      <c r="BM272" s="127"/>
      <c r="BN272" s="127"/>
      <c r="BO272" s="127"/>
      <c r="BP272" s="127"/>
      <c r="BQ272" s="127"/>
      <c r="BR272" s="127"/>
      <c r="BS272" s="127"/>
      <c r="BT272" s="127"/>
      <c r="BU272" s="127"/>
      <c r="BV272" s="127"/>
      <c r="BW272" s="127"/>
      <c r="BX272" s="127"/>
      <c r="BY272" s="127"/>
      <c r="BZ272" s="127"/>
      <c r="CA272" s="127"/>
      <c r="CB272" s="127"/>
      <c r="CC272" s="127"/>
      <c r="CD272" s="127"/>
      <c r="CE272" s="127"/>
      <c r="CF272" s="127"/>
      <c r="CG272" s="127"/>
      <c r="CH272" s="127"/>
      <c r="CI272" s="127"/>
    </row>
    <row r="273" spans="1:87" x14ac:dyDescent="0.25">
      <c r="A273" s="1"/>
      <c r="B273" s="1"/>
      <c r="F273" s="1"/>
      <c r="G273" s="1"/>
      <c r="AJ273" s="127"/>
      <c r="AK273" s="127"/>
      <c r="AL273" s="127"/>
      <c r="AM273" s="127"/>
      <c r="AN273" s="127"/>
      <c r="AO273" s="127"/>
      <c r="AP273" s="127"/>
      <c r="AQ273" s="127"/>
      <c r="AR273" s="127"/>
      <c r="AS273" s="127"/>
      <c r="AT273" s="127"/>
      <c r="AU273" s="127"/>
      <c r="AV273" s="127"/>
      <c r="AW273" s="127"/>
      <c r="AX273" s="127"/>
      <c r="AY273" s="127"/>
      <c r="AZ273" s="127"/>
      <c r="BA273" s="127"/>
      <c r="BB273" s="127"/>
      <c r="BC273" s="127"/>
      <c r="BD273" s="127"/>
      <c r="BE273" s="127"/>
      <c r="BF273" s="127"/>
      <c r="BG273" s="127"/>
      <c r="BH273" s="127"/>
      <c r="BI273" s="127"/>
      <c r="BJ273" s="127"/>
      <c r="BK273" s="127"/>
      <c r="BL273" s="127"/>
      <c r="BM273" s="127"/>
      <c r="BN273" s="127"/>
      <c r="BO273" s="127"/>
      <c r="BP273" s="127"/>
      <c r="BQ273" s="127"/>
      <c r="BR273" s="127"/>
      <c r="BS273" s="127"/>
      <c r="BT273" s="127"/>
      <c r="BU273" s="127"/>
      <c r="BV273" s="127"/>
      <c r="BW273" s="127"/>
      <c r="BX273" s="127"/>
      <c r="BY273" s="127"/>
      <c r="BZ273" s="127"/>
      <c r="CA273" s="127"/>
      <c r="CB273" s="127"/>
      <c r="CC273" s="127"/>
      <c r="CD273" s="127"/>
      <c r="CE273" s="127"/>
      <c r="CF273" s="127"/>
      <c r="CG273" s="127"/>
      <c r="CH273" s="127"/>
      <c r="CI273" s="127"/>
    </row>
    <row r="274" spans="1:87" x14ac:dyDescent="0.25">
      <c r="A274" s="1"/>
      <c r="B274" s="1"/>
      <c r="F274" s="1"/>
      <c r="G274" s="1"/>
      <c r="AJ274" s="127"/>
      <c r="AK274" s="127"/>
      <c r="AL274" s="127"/>
      <c r="AM274" s="127"/>
      <c r="AN274" s="127"/>
      <c r="AO274" s="127"/>
      <c r="AP274" s="127"/>
      <c r="AQ274" s="127"/>
      <c r="AR274" s="127"/>
      <c r="AS274" s="127"/>
      <c r="AT274" s="127"/>
      <c r="AU274" s="127"/>
      <c r="AV274" s="127"/>
      <c r="AW274" s="127"/>
      <c r="AX274" s="127"/>
      <c r="AY274" s="127"/>
      <c r="AZ274" s="127"/>
      <c r="BA274" s="127"/>
      <c r="BB274" s="127"/>
      <c r="BC274" s="127"/>
      <c r="BD274" s="127"/>
      <c r="BE274" s="127"/>
      <c r="BF274" s="127"/>
      <c r="BG274" s="127"/>
      <c r="BH274" s="127"/>
      <c r="BI274" s="127"/>
      <c r="BJ274" s="127"/>
      <c r="BK274" s="127"/>
      <c r="BL274" s="127"/>
      <c r="BM274" s="127"/>
      <c r="BN274" s="127"/>
      <c r="BO274" s="127"/>
      <c r="BP274" s="127"/>
      <c r="BQ274" s="127"/>
      <c r="BR274" s="127"/>
      <c r="BS274" s="127"/>
      <c r="BT274" s="127"/>
      <c r="BU274" s="127"/>
      <c r="BV274" s="127"/>
      <c r="BW274" s="127"/>
      <c r="BX274" s="127"/>
      <c r="BY274" s="127"/>
      <c r="BZ274" s="127"/>
      <c r="CA274" s="127"/>
      <c r="CB274" s="127"/>
      <c r="CC274" s="127"/>
      <c r="CD274" s="127"/>
      <c r="CE274" s="127"/>
      <c r="CF274" s="127"/>
      <c r="CG274" s="127"/>
      <c r="CH274" s="127"/>
      <c r="CI274" s="127"/>
    </row>
    <row r="275" spans="1:87" x14ac:dyDescent="0.25">
      <c r="A275" s="1"/>
      <c r="B275" s="1"/>
      <c r="F275" s="1"/>
      <c r="G275" s="1"/>
      <c r="AJ275" s="127"/>
      <c r="AK275" s="127"/>
      <c r="AL275" s="127"/>
      <c r="AM275" s="127"/>
      <c r="AN275" s="127"/>
      <c r="AO275" s="127"/>
      <c r="AP275" s="127"/>
      <c r="AQ275" s="127"/>
      <c r="AR275" s="127"/>
      <c r="AS275" s="127"/>
      <c r="AT275" s="127"/>
      <c r="AU275" s="127"/>
      <c r="AV275" s="127"/>
      <c r="AW275" s="127"/>
      <c r="AX275" s="127"/>
      <c r="AY275" s="127"/>
      <c r="AZ275" s="127"/>
      <c r="BA275" s="127"/>
      <c r="BB275" s="127"/>
      <c r="BC275" s="127"/>
      <c r="BD275" s="127"/>
      <c r="BE275" s="127"/>
      <c r="BF275" s="127"/>
      <c r="BG275" s="127"/>
      <c r="BH275" s="127"/>
      <c r="BI275" s="127"/>
      <c r="BJ275" s="127"/>
      <c r="BK275" s="127"/>
      <c r="BL275" s="127"/>
      <c r="BM275" s="127"/>
      <c r="BN275" s="127"/>
      <c r="BO275" s="127"/>
      <c r="BP275" s="127"/>
      <c r="BQ275" s="127"/>
      <c r="BR275" s="127"/>
      <c r="BS275" s="127"/>
      <c r="BT275" s="127"/>
      <c r="BU275" s="127"/>
      <c r="BV275" s="127"/>
      <c r="BW275" s="127"/>
      <c r="BX275" s="127"/>
      <c r="BY275" s="127"/>
      <c r="BZ275" s="127"/>
      <c r="CA275" s="127"/>
      <c r="CB275" s="127"/>
      <c r="CC275" s="127"/>
      <c r="CD275" s="127"/>
      <c r="CE275" s="127"/>
      <c r="CF275" s="127"/>
      <c r="CG275" s="127"/>
      <c r="CH275" s="127"/>
      <c r="CI275" s="127"/>
    </row>
    <row r="276" spans="1:87" x14ac:dyDescent="0.25">
      <c r="A276" s="1"/>
      <c r="B276" s="1"/>
      <c r="F276" s="1"/>
      <c r="G276" s="1"/>
      <c r="AJ276" s="127"/>
      <c r="AK276" s="127"/>
      <c r="AL276" s="127"/>
      <c r="AM276" s="127"/>
      <c r="AN276" s="127"/>
      <c r="AO276" s="127"/>
      <c r="AP276" s="127"/>
      <c r="AQ276" s="127"/>
      <c r="AR276" s="127"/>
      <c r="AS276" s="127"/>
      <c r="AT276" s="127"/>
      <c r="AU276" s="127"/>
      <c r="AV276" s="127"/>
      <c r="AW276" s="127"/>
      <c r="AX276" s="127"/>
      <c r="AY276" s="127"/>
      <c r="AZ276" s="127"/>
      <c r="BA276" s="127"/>
      <c r="BB276" s="127"/>
      <c r="BC276" s="127"/>
      <c r="BD276" s="127"/>
      <c r="BE276" s="127"/>
      <c r="BF276" s="127"/>
      <c r="BG276" s="127"/>
      <c r="BH276" s="127"/>
      <c r="BI276" s="127"/>
      <c r="BJ276" s="127"/>
      <c r="BK276" s="127"/>
      <c r="BL276" s="127"/>
      <c r="BM276" s="127"/>
      <c r="BN276" s="127"/>
      <c r="BO276" s="127"/>
      <c r="BP276" s="127"/>
      <c r="BQ276" s="127"/>
      <c r="BR276" s="127"/>
      <c r="BS276" s="127"/>
      <c r="BT276" s="127"/>
      <c r="BU276" s="127"/>
      <c r="BV276" s="127"/>
      <c r="BW276" s="127"/>
      <c r="BX276" s="127"/>
      <c r="BY276" s="127"/>
      <c r="BZ276" s="127"/>
      <c r="CA276" s="127"/>
      <c r="CB276" s="127"/>
      <c r="CC276" s="127"/>
      <c r="CD276" s="127"/>
      <c r="CE276" s="127"/>
      <c r="CF276" s="127"/>
      <c r="CG276" s="127"/>
      <c r="CH276" s="127"/>
      <c r="CI276" s="127"/>
    </row>
    <row r="277" spans="1:87" x14ac:dyDescent="0.25">
      <c r="A277" s="1"/>
      <c r="B277" s="1"/>
      <c r="F277" s="1"/>
      <c r="G277" s="1"/>
      <c r="AJ277" s="127"/>
      <c r="AK277" s="127"/>
      <c r="AL277" s="127"/>
      <c r="AM277" s="127"/>
      <c r="AN277" s="127"/>
      <c r="AO277" s="127"/>
      <c r="AP277" s="127"/>
      <c r="AQ277" s="127"/>
      <c r="AR277" s="127"/>
      <c r="AS277" s="127"/>
      <c r="AT277" s="127"/>
      <c r="AU277" s="127"/>
      <c r="AV277" s="127"/>
      <c r="AW277" s="127"/>
      <c r="AX277" s="127"/>
      <c r="AY277" s="127"/>
      <c r="AZ277" s="127"/>
      <c r="BA277" s="127"/>
      <c r="BB277" s="127"/>
      <c r="BC277" s="127"/>
      <c r="BD277" s="127"/>
      <c r="BE277" s="127"/>
      <c r="BF277" s="127"/>
      <c r="BG277" s="127"/>
      <c r="BH277" s="127"/>
      <c r="BI277" s="127"/>
      <c r="BJ277" s="127"/>
      <c r="BK277" s="127"/>
      <c r="BL277" s="127"/>
      <c r="BM277" s="127"/>
      <c r="BN277" s="127"/>
      <c r="BO277" s="127"/>
      <c r="BP277" s="127"/>
      <c r="BQ277" s="127"/>
      <c r="BR277" s="127"/>
      <c r="BS277" s="127"/>
      <c r="BT277" s="127"/>
      <c r="BU277" s="127"/>
      <c r="BV277" s="127"/>
      <c r="BW277" s="127"/>
      <c r="BX277" s="127"/>
      <c r="BY277" s="127"/>
      <c r="BZ277" s="127"/>
      <c r="CA277" s="127"/>
      <c r="CB277" s="127"/>
      <c r="CC277" s="127"/>
      <c r="CD277" s="127"/>
      <c r="CE277" s="127"/>
      <c r="CF277" s="127"/>
      <c r="CG277" s="127"/>
      <c r="CH277" s="127"/>
      <c r="CI277" s="127"/>
    </row>
    <row r="278" spans="1:87" x14ac:dyDescent="0.25">
      <c r="A278" s="1"/>
      <c r="B278" s="1"/>
      <c r="F278" s="1"/>
      <c r="G278" s="1"/>
      <c r="AJ278" s="127"/>
      <c r="AK278" s="127"/>
      <c r="AL278" s="127"/>
      <c r="AM278" s="127"/>
      <c r="AN278" s="127"/>
      <c r="AO278" s="127"/>
      <c r="AP278" s="127"/>
      <c r="AQ278" s="127"/>
      <c r="AR278" s="127"/>
      <c r="AS278" s="127"/>
      <c r="AT278" s="127"/>
      <c r="AU278" s="127"/>
      <c r="AV278" s="127"/>
      <c r="AW278" s="127"/>
      <c r="AX278" s="127"/>
      <c r="AY278" s="127"/>
      <c r="AZ278" s="127"/>
      <c r="BA278" s="127"/>
      <c r="BB278" s="127"/>
      <c r="BC278" s="127"/>
      <c r="BD278" s="127"/>
      <c r="BE278" s="127"/>
      <c r="BF278" s="127"/>
      <c r="BG278" s="127"/>
      <c r="BH278" s="127"/>
      <c r="BI278" s="127"/>
      <c r="BJ278" s="127"/>
      <c r="BK278" s="127"/>
      <c r="BL278" s="127"/>
      <c r="BM278" s="127"/>
      <c r="BN278" s="127"/>
      <c r="BO278" s="127"/>
      <c r="BP278" s="127"/>
      <c r="BQ278" s="127"/>
      <c r="BR278" s="127"/>
      <c r="BS278" s="127"/>
      <c r="BT278" s="127"/>
      <c r="BU278" s="127"/>
      <c r="BV278" s="127"/>
      <c r="BW278" s="127"/>
      <c r="BX278" s="127"/>
      <c r="BY278" s="127"/>
      <c r="BZ278" s="127"/>
      <c r="CA278" s="127"/>
      <c r="CB278" s="127"/>
      <c r="CC278" s="127"/>
      <c r="CD278" s="127"/>
      <c r="CE278" s="127"/>
      <c r="CF278" s="127"/>
      <c r="CG278" s="127"/>
      <c r="CH278" s="127"/>
      <c r="CI278" s="127"/>
    </row>
    <row r="279" spans="1:87" x14ac:dyDescent="0.25">
      <c r="A279" s="1"/>
      <c r="B279" s="1"/>
      <c r="F279" s="1"/>
      <c r="G279" s="1"/>
      <c r="AJ279" s="127"/>
      <c r="AK279" s="127"/>
      <c r="AL279" s="127"/>
      <c r="AM279" s="127"/>
      <c r="AN279" s="127"/>
      <c r="AO279" s="127"/>
      <c r="AP279" s="127"/>
      <c r="AQ279" s="127"/>
      <c r="AR279" s="127"/>
      <c r="AS279" s="127"/>
      <c r="AT279" s="127"/>
      <c r="AU279" s="127"/>
      <c r="AV279" s="127"/>
      <c r="AW279" s="127"/>
      <c r="AX279" s="127"/>
      <c r="AY279" s="127"/>
      <c r="AZ279" s="127"/>
      <c r="BA279" s="127"/>
      <c r="BB279" s="127"/>
      <c r="BC279" s="127"/>
      <c r="BD279" s="127"/>
      <c r="BE279" s="127"/>
      <c r="BF279" s="127"/>
      <c r="BG279" s="127"/>
      <c r="BH279" s="127"/>
      <c r="BI279" s="127"/>
      <c r="BJ279" s="127"/>
      <c r="BK279" s="127"/>
      <c r="BL279" s="127"/>
      <c r="BM279" s="127"/>
      <c r="BN279" s="127"/>
      <c r="BO279" s="127"/>
      <c r="BP279" s="127"/>
      <c r="BQ279" s="127"/>
      <c r="BR279" s="127"/>
      <c r="BS279" s="127"/>
      <c r="BT279" s="127"/>
      <c r="BU279" s="127"/>
      <c r="BV279" s="127"/>
      <c r="BW279" s="127"/>
      <c r="BX279" s="127"/>
      <c r="BY279" s="127"/>
      <c r="BZ279" s="127"/>
      <c r="CA279" s="127"/>
      <c r="CB279" s="127"/>
      <c r="CC279" s="127"/>
      <c r="CD279" s="127"/>
      <c r="CE279" s="127"/>
      <c r="CF279" s="127"/>
      <c r="CG279" s="127"/>
      <c r="CH279" s="127"/>
      <c r="CI279" s="127"/>
    </row>
    <row r="280" spans="1:87" x14ac:dyDescent="0.25">
      <c r="A280" s="1"/>
      <c r="B280" s="1"/>
      <c r="F280" s="1"/>
      <c r="G280" s="1"/>
      <c r="AJ280" s="127"/>
      <c r="AK280" s="127"/>
      <c r="AL280" s="127"/>
      <c r="AM280" s="127"/>
      <c r="AN280" s="127"/>
      <c r="AO280" s="127"/>
      <c r="AP280" s="127"/>
      <c r="AQ280" s="127"/>
      <c r="AR280" s="127"/>
      <c r="AS280" s="127"/>
      <c r="AT280" s="127"/>
      <c r="AU280" s="127"/>
      <c r="AV280" s="127"/>
      <c r="AW280" s="127"/>
      <c r="AX280" s="127"/>
      <c r="AY280" s="127"/>
      <c r="AZ280" s="127"/>
      <c r="BA280" s="127"/>
      <c r="BB280" s="127"/>
      <c r="BC280" s="127"/>
      <c r="BD280" s="127"/>
      <c r="BE280" s="127"/>
      <c r="BF280" s="127"/>
      <c r="BG280" s="127"/>
      <c r="BH280" s="127"/>
      <c r="BI280" s="127"/>
      <c r="BJ280" s="127"/>
      <c r="BK280" s="127"/>
      <c r="BL280" s="127"/>
      <c r="BM280" s="127"/>
      <c r="BN280" s="127"/>
      <c r="BO280" s="127"/>
      <c r="BP280" s="127"/>
      <c r="BQ280" s="127"/>
      <c r="BR280" s="127"/>
      <c r="BS280" s="127"/>
      <c r="BT280" s="127"/>
      <c r="BU280" s="127"/>
      <c r="BV280" s="127"/>
      <c r="BW280" s="127"/>
      <c r="BX280" s="127"/>
      <c r="BY280" s="127"/>
      <c r="BZ280" s="127"/>
      <c r="CA280" s="127"/>
      <c r="CB280" s="127"/>
      <c r="CC280" s="127"/>
      <c r="CD280" s="127"/>
      <c r="CE280" s="127"/>
      <c r="CF280" s="127"/>
      <c r="CG280" s="127"/>
      <c r="CH280" s="127"/>
      <c r="CI280" s="127"/>
    </row>
    <row r="281" spans="1:87" x14ac:dyDescent="0.25">
      <c r="A281" s="1"/>
      <c r="B281" s="1"/>
      <c r="F281" s="1"/>
      <c r="G281" s="1"/>
      <c r="AJ281" s="127"/>
      <c r="AK281" s="127"/>
      <c r="AL281" s="127"/>
      <c r="AM281" s="127"/>
      <c r="AN281" s="127"/>
      <c r="AO281" s="127"/>
      <c r="AP281" s="127"/>
      <c r="AQ281" s="127"/>
      <c r="AR281" s="127"/>
      <c r="AS281" s="127"/>
      <c r="AT281" s="127"/>
      <c r="AU281" s="127"/>
      <c r="AV281" s="127"/>
      <c r="AW281" s="127"/>
      <c r="AX281" s="127"/>
      <c r="AY281" s="127"/>
      <c r="AZ281" s="127"/>
      <c r="BA281" s="127"/>
      <c r="BB281" s="127"/>
      <c r="BC281" s="127"/>
      <c r="BD281" s="127"/>
      <c r="BE281" s="127"/>
      <c r="BF281" s="127"/>
      <c r="BG281" s="127"/>
      <c r="BH281" s="127"/>
      <c r="BI281" s="127"/>
      <c r="BJ281" s="127"/>
      <c r="BK281" s="127"/>
      <c r="BL281" s="127"/>
      <c r="BM281" s="127"/>
      <c r="BN281" s="127"/>
      <c r="BO281" s="127"/>
      <c r="BP281" s="127"/>
      <c r="BQ281" s="127"/>
      <c r="BR281" s="127"/>
      <c r="BS281" s="127"/>
      <c r="BT281" s="127"/>
      <c r="BU281" s="127"/>
      <c r="BV281" s="127"/>
      <c r="BW281" s="127"/>
      <c r="BX281" s="127"/>
      <c r="BY281" s="127"/>
      <c r="BZ281" s="127"/>
      <c r="CA281" s="127"/>
      <c r="CB281" s="127"/>
      <c r="CC281" s="127"/>
      <c r="CD281" s="127"/>
      <c r="CE281" s="127"/>
      <c r="CF281" s="127"/>
      <c r="CG281" s="127"/>
      <c r="CH281" s="127"/>
      <c r="CI281" s="127"/>
    </row>
    <row r="282" spans="1:87" x14ac:dyDescent="0.25">
      <c r="A282" s="1"/>
      <c r="B282" s="1"/>
      <c r="F282" s="1"/>
      <c r="G282" s="1"/>
      <c r="AJ282" s="127"/>
      <c r="AK282" s="127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  <c r="AX282" s="127"/>
      <c r="AY282" s="127"/>
      <c r="AZ282" s="127"/>
      <c r="BA282" s="127"/>
      <c r="BB282" s="127"/>
      <c r="BC282" s="127"/>
      <c r="BD282" s="127"/>
      <c r="BE282" s="127"/>
      <c r="BF282" s="127"/>
      <c r="BG282" s="127"/>
      <c r="BH282" s="127"/>
      <c r="BI282" s="127"/>
      <c r="BJ282" s="127"/>
      <c r="BK282" s="127"/>
      <c r="BL282" s="127"/>
      <c r="BM282" s="127"/>
      <c r="BN282" s="127"/>
      <c r="BO282" s="127"/>
      <c r="BP282" s="127"/>
      <c r="BQ282" s="127"/>
      <c r="BR282" s="127"/>
      <c r="BS282" s="127"/>
      <c r="BT282" s="127"/>
      <c r="BU282" s="127"/>
      <c r="BV282" s="127"/>
      <c r="BW282" s="127"/>
      <c r="BX282" s="127"/>
      <c r="BY282" s="127"/>
      <c r="BZ282" s="127"/>
      <c r="CA282" s="127"/>
      <c r="CB282" s="127"/>
      <c r="CC282" s="127"/>
      <c r="CD282" s="127"/>
      <c r="CE282" s="127"/>
      <c r="CF282" s="127"/>
      <c r="CG282" s="127"/>
      <c r="CH282" s="127"/>
      <c r="CI282" s="127"/>
    </row>
    <row r="283" spans="1:87" x14ac:dyDescent="0.25">
      <c r="A283" s="1"/>
      <c r="B283" s="1"/>
      <c r="F283" s="1"/>
      <c r="G283" s="1"/>
      <c r="AJ283" s="127"/>
      <c r="AK283" s="127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  <c r="AX283" s="127"/>
      <c r="AY283" s="127"/>
      <c r="AZ283" s="127"/>
      <c r="BA283" s="127"/>
      <c r="BB283" s="127"/>
      <c r="BC283" s="127"/>
      <c r="BD283" s="127"/>
      <c r="BE283" s="127"/>
      <c r="BF283" s="127"/>
      <c r="BG283" s="127"/>
      <c r="BH283" s="127"/>
      <c r="BI283" s="127"/>
      <c r="BJ283" s="127"/>
      <c r="BK283" s="127"/>
      <c r="BL283" s="127"/>
      <c r="BM283" s="127"/>
      <c r="BN283" s="127"/>
      <c r="BO283" s="127"/>
      <c r="BP283" s="127"/>
      <c r="BQ283" s="127"/>
      <c r="BR283" s="127"/>
      <c r="BS283" s="127"/>
      <c r="BT283" s="127"/>
      <c r="BU283" s="127"/>
      <c r="BV283" s="127"/>
      <c r="BW283" s="127"/>
      <c r="BX283" s="127"/>
      <c r="BY283" s="127"/>
      <c r="BZ283" s="127"/>
      <c r="CA283" s="127"/>
      <c r="CB283" s="127"/>
      <c r="CC283" s="127"/>
      <c r="CD283" s="127"/>
      <c r="CE283" s="127"/>
      <c r="CF283" s="127"/>
      <c r="CG283" s="127"/>
      <c r="CH283" s="127"/>
      <c r="CI283" s="127"/>
    </row>
    <row r="284" spans="1:87" x14ac:dyDescent="0.25">
      <c r="A284" s="1"/>
      <c r="B284" s="1"/>
      <c r="F284" s="1"/>
      <c r="G284" s="1"/>
      <c r="AJ284" s="127"/>
      <c r="AK284" s="127"/>
      <c r="AL284" s="127"/>
      <c r="AM284" s="127"/>
      <c r="AN284" s="127"/>
      <c r="AO284" s="127"/>
      <c r="AP284" s="127"/>
      <c r="AQ284" s="127"/>
      <c r="AR284" s="127"/>
      <c r="AS284" s="127"/>
      <c r="AT284" s="127"/>
      <c r="AU284" s="127"/>
      <c r="AV284" s="127"/>
      <c r="AW284" s="127"/>
      <c r="AX284" s="127"/>
      <c r="AY284" s="127"/>
      <c r="AZ284" s="127"/>
      <c r="BA284" s="127"/>
      <c r="BB284" s="127"/>
      <c r="BC284" s="127"/>
      <c r="BD284" s="127"/>
      <c r="BE284" s="127"/>
      <c r="BF284" s="127"/>
      <c r="BG284" s="127"/>
      <c r="BH284" s="127"/>
      <c r="BI284" s="127"/>
      <c r="BJ284" s="127"/>
      <c r="BK284" s="127"/>
      <c r="BL284" s="127"/>
      <c r="BM284" s="127"/>
      <c r="BN284" s="127"/>
      <c r="BO284" s="127"/>
      <c r="BP284" s="127"/>
      <c r="BQ284" s="127"/>
      <c r="BR284" s="127"/>
      <c r="BS284" s="127"/>
      <c r="BT284" s="127"/>
      <c r="BU284" s="127"/>
      <c r="BV284" s="127"/>
      <c r="BW284" s="127"/>
      <c r="BX284" s="127"/>
      <c r="BY284" s="127"/>
      <c r="BZ284" s="127"/>
      <c r="CA284" s="127"/>
      <c r="CB284" s="127"/>
      <c r="CC284" s="127"/>
      <c r="CD284" s="127"/>
      <c r="CE284" s="127"/>
      <c r="CF284" s="127"/>
      <c r="CG284" s="127"/>
      <c r="CH284" s="127"/>
      <c r="CI284" s="127"/>
    </row>
    <row r="285" spans="1:87" x14ac:dyDescent="0.25">
      <c r="A285" s="1"/>
      <c r="B285" s="1"/>
      <c r="F285" s="1"/>
      <c r="G285" s="1"/>
      <c r="AJ285" s="127"/>
      <c r="AK285" s="127"/>
      <c r="AL285" s="127"/>
      <c r="AM285" s="127"/>
      <c r="AN285" s="127"/>
      <c r="AO285" s="127"/>
      <c r="AP285" s="127"/>
      <c r="AQ285" s="127"/>
      <c r="AR285" s="127"/>
      <c r="AS285" s="127"/>
      <c r="AT285" s="127"/>
      <c r="AU285" s="127"/>
      <c r="AV285" s="127"/>
      <c r="AW285" s="127"/>
      <c r="AX285" s="127"/>
      <c r="AY285" s="127"/>
      <c r="AZ285" s="127"/>
      <c r="BA285" s="127"/>
      <c r="BB285" s="127"/>
      <c r="BC285" s="127"/>
      <c r="BD285" s="127"/>
      <c r="BE285" s="127"/>
      <c r="BF285" s="127"/>
      <c r="BG285" s="127"/>
      <c r="BH285" s="127"/>
      <c r="BI285" s="127"/>
      <c r="BJ285" s="127"/>
      <c r="BK285" s="127"/>
      <c r="BL285" s="127"/>
      <c r="BM285" s="127"/>
      <c r="BN285" s="127"/>
      <c r="BO285" s="127"/>
      <c r="BP285" s="127"/>
      <c r="BQ285" s="127"/>
      <c r="BR285" s="127"/>
      <c r="BS285" s="127"/>
      <c r="BT285" s="127"/>
      <c r="BU285" s="127"/>
      <c r="BV285" s="127"/>
      <c r="BW285" s="127"/>
      <c r="BX285" s="127"/>
      <c r="BY285" s="127"/>
      <c r="BZ285" s="127"/>
      <c r="CA285" s="127"/>
      <c r="CB285" s="127"/>
      <c r="CC285" s="127"/>
      <c r="CD285" s="127"/>
      <c r="CE285" s="127"/>
      <c r="CF285" s="127"/>
      <c r="CG285" s="127"/>
      <c r="CH285" s="127"/>
      <c r="CI285" s="127"/>
    </row>
    <row r="286" spans="1:87" x14ac:dyDescent="0.25">
      <c r="A286" s="1"/>
      <c r="B286" s="1"/>
      <c r="F286" s="1"/>
      <c r="G286" s="1"/>
      <c r="AJ286" s="127"/>
      <c r="AK286" s="127"/>
      <c r="AL286" s="127"/>
      <c r="AM286" s="127"/>
      <c r="AN286" s="127"/>
      <c r="AO286" s="127"/>
      <c r="AP286" s="127"/>
      <c r="AQ286" s="127"/>
      <c r="AR286" s="127"/>
      <c r="AS286" s="127"/>
      <c r="AT286" s="127"/>
      <c r="AU286" s="127"/>
      <c r="AV286" s="127"/>
      <c r="AW286" s="127"/>
      <c r="AX286" s="127"/>
      <c r="AY286" s="127"/>
      <c r="AZ286" s="127"/>
      <c r="BA286" s="127"/>
      <c r="BB286" s="127"/>
      <c r="BC286" s="127"/>
      <c r="BD286" s="127"/>
      <c r="BE286" s="127"/>
      <c r="BF286" s="127"/>
      <c r="BG286" s="127"/>
      <c r="BH286" s="127"/>
      <c r="BI286" s="127"/>
      <c r="BJ286" s="127"/>
      <c r="BK286" s="127"/>
      <c r="BL286" s="127"/>
      <c r="BM286" s="127"/>
      <c r="BN286" s="127"/>
      <c r="BO286" s="127"/>
      <c r="BP286" s="127"/>
      <c r="BQ286" s="127"/>
      <c r="BR286" s="127"/>
      <c r="BS286" s="127"/>
      <c r="BT286" s="127"/>
      <c r="BU286" s="127"/>
      <c r="BV286" s="127"/>
      <c r="BW286" s="127"/>
      <c r="BX286" s="127"/>
      <c r="BY286" s="127"/>
      <c r="BZ286" s="127"/>
      <c r="CA286" s="127"/>
      <c r="CB286" s="127"/>
      <c r="CC286" s="127"/>
      <c r="CD286" s="127"/>
      <c r="CE286" s="127"/>
      <c r="CF286" s="127"/>
      <c r="CG286" s="127"/>
      <c r="CH286" s="127"/>
      <c r="CI286" s="127"/>
    </row>
    <row r="287" spans="1:87" x14ac:dyDescent="0.25">
      <c r="A287" s="1"/>
      <c r="B287" s="1"/>
      <c r="F287" s="1"/>
      <c r="G287" s="1"/>
      <c r="AJ287" s="127"/>
      <c r="AK287" s="127"/>
      <c r="AL287" s="127"/>
      <c r="AM287" s="127"/>
      <c r="AN287" s="127"/>
      <c r="AO287" s="127"/>
      <c r="AP287" s="127"/>
      <c r="AQ287" s="127"/>
      <c r="AR287" s="127"/>
      <c r="AS287" s="127"/>
      <c r="AT287" s="127"/>
      <c r="AU287" s="127"/>
      <c r="AV287" s="127"/>
      <c r="AW287" s="127"/>
      <c r="AX287" s="127"/>
      <c r="AY287" s="127"/>
      <c r="AZ287" s="127"/>
      <c r="BA287" s="127"/>
      <c r="BB287" s="127"/>
      <c r="BC287" s="127"/>
      <c r="BD287" s="127"/>
      <c r="BE287" s="127"/>
      <c r="BF287" s="127"/>
      <c r="BG287" s="127"/>
      <c r="BH287" s="127"/>
      <c r="BI287" s="127"/>
      <c r="BJ287" s="127"/>
      <c r="BK287" s="127"/>
      <c r="BL287" s="127"/>
      <c r="BM287" s="127"/>
      <c r="BN287" s="127"/>
      <c r="BO287" s="127"/>
      <c r="BP287" s="127"/>
      <c r="BQ287" s="127"/>
      <c r="BR287" s="127"/>
      <c r="BS287" s="127"/>
      <c r="BT287" s="127"/>
      <c r="BU287" s="127"/>
      <c r="BV287" s="127"/>
      <c r="BW287" s="127"/>
      <c r="BX287" s="127"/>
      <c r="BY287" s="127"/>
      <c r="BZ287" s="127"/>
      <c r="CA287" s="127"/>
      <c r="CB287" s="127"/>
      <c r="CC287" s="127"/>
      <c r="CD287" s="127"/>
      <c r="CE287" s="127"/>
      <c r="CF287" s="127"/>
      <c r="CG287" s="127"/>
      <c r="CH287" s="127"/>
      <c r="CI287" s="127"/>
    </row>
    <row r="288" spans="1:87" x14ac:dyDescent="0.25">
      <c r="A288" s="1"/>
      <c r="B288" s="1"/>
      <c r="F288" s="1"/>
      <c r="G288" s="1"/>
      <c r="AJ288" s="127"/>
      <c r="AK288" s="127"/>
      <c r="AL288" s="127"/>
      <c r="AM288" s="127"/>
      <c r="AN288" s="127"/>
      <c r="AO288" s="127"/>
      <c r="AP288" s="127"/>
      <c r="AQ288" s="127"/>
      <c r="AR288" s="127"/>
      <c r="AS288" s="127"/>
      <c r="AT288" s="127"/>
      <c r="AU288" s="127"/>
      <c r="AV288" s="127"/>
      <c r="AW288" s="127"/>
      <c r="AX288" s="127"/>
      <c r="AY288" s="127"/>
      <c r="AZ288" s="127"/>
      <c r="BA288" s="127"/>
      <c r="BB288" s="127"/>
      <c r="BC288" s="127"/>
      <c r="BD288" s="127"/>
      <c r="BE288" s="127"/>
      <c r="BF288" s="127"/>
      <c r="BG288" s="127"/>
      <c r="BH288" s="127"/>
      <c r="BI288" s="127"/>
      <c r="BJ288" s="127"/>
      <c r="BK288" s="127"/>
      <c r="BL288" s="127"/>
      <c r="BM288" s="127"/>
      <c r="BN288" s="127"/>
      <c r="BO288" s="127"/>
      <c r="BP288" s="127"/>
      <c r="BQ288" s="127"/>
      <c r="BR288" s="127"/>
      <c r="BS288" s="127"/>
      <c r="BT288" s="127"/>
      <c r="BU288" s="127"/>
      <c r="BV288" s="127"/>
      <c r="BW288" s="127"/>
      <c r="BX288" s="127"/>
      <c r="BY288" s="127"/>
      <c r="BZ288" s="127"/>
      <c r="CA288" s="127"/>
      <c r="CB288" s="127"/>
      <c r="CC288" s="127"/>
      <c r="CD288" s="127"/>
      <c r="CE288" s="127"/>
      <c r="CF288" s="127"/>
      <c r="CG288" s="127"/>
      <c r="CH288" s="127"/>
      <c r="CI288" s="127"/>
    </row>
    <row r="289" spans="1:87" x14ac:dyDescent="0.25">
      <c r="A289" s="1"/>
      <c r="B289" s="1"/>
      <c r="F289" s="1"/>
      <c r="G289" s="1"/>
      <c r="AJ289" s="127"/>
      <c r="AK289" s="127"/>
      <c r="AL289" s="127"/>
      <c r="AM289" s="127"/>
      <c r="AN289" s="127"/>
      <c r="AO289" s="127"/>
      <c r="AP289" s="127"/>
      <c r="AQ289" s="127"/>
      <c r="AR289" s="127"/>
      <c r="AS289" s="127"/>
      <c r="AT289" s="127"/>
      <c r="AU289" s="127"/>
      <c r="AV289" s="127"/>
      <c r="AW289" s="127"/>
      <c r="AX289" s="127"/>
      <c r="AY289" s="127"/>
      <c r="AZ289" s="127"/>
      <c r="BA289" s="127"/>
      <c r="BB289" s="127"/>
      <c r="BC289" s="127"/>
      <c r="BD289" s="127"/>
      <c r="BE289" s="127"/>
      <c r="BF289" s="127"/>
      <c r="BG289" s="127"/>
      <c r="BH289" s="127"/>
      <c r="BI289" s="127"/>
      <c r="BJ289" s="127"/>
      <c r="BK289" s="127"/>
      <c r="BL289" s="127"/>
      <c r="BM289" s="127"/>
      <c r="BN289" s="127"/>
      <c r="BO289" s="127"/>
      <c r="BP289" s="127"/>
      <c r="BQ289" s="127"/>
      <c r="BR289" s="127"/>
      <c r="BS289" s="127"/>
      <c r="BT289" s="127"/>
      <c r="BU289" s="127"/>
      <c r="BV289" s="127"/>
      <c r="BW289" s="127"/>
      <c r="BX289" s="127"/>
      <c r="BY289" s="127"/>
      <c r="BZ289" s="127"/>
      <c r="CA289" s="127"/>
      <c r="CB289" s="127"/>
      <c r="CC289" s="127"/>
      <c r="CD289" s="127"/>
      <c r="CE289" s="127"/>
      <c r="CF289" s="127"/>
      <c r="CG289" s="127"/>
      <c r="CH289" s="127"/>
      <c r="CI289" s="127"/>
    </row>
    <row r="290" spans="1:87" x14ac:dyDescent="0.25">
      <c r="A290" s="1"/>
      <c r="B290" s="1"/>
      <c r="F290" s="1"/>
      <c r="G290" s="1"/>
      <c r="AJ290" s="127"/>
      <c r="AK290" s="127"/>
      <c r="AL290" s="127"/>
      <c r="AM290" s="127"/>
      <c r="AN290" s="127"/>
      <c r="AO290" s="127"/>
      <c r="AP290" s="127"/>
      <c r="AQ290" s="127"/>
      <c r="AR290" s="127"/>
      <c r="AS290" s="127"/>
      <c r="AT290" s="127"/>
      <c r="AU290" s="127"/>
      <c r="AV290" s="127"/>
      <c r="AW290" s="127"/>
      <c r="AX290" s="127"/>
      <c r="AY290" s="127"/>
      <c r="AZ290" s="127"/>
      <c r="BA290" s="127"/>
      <c r="BB290" s="127"/>
      <c r="BC290" s="127"/>
      <c r="BD290" s="127"/>
      <c r="BE290" s="127"/>
      <c r="BF290" s="127"/>
      <c r="BG290" s="127"/>
      <c r="BH290" s="127"/>
      <c r="BI290" s="127"/>
      <c r="BJ290" s="127"/>
      <c r="BK290" s="127"/>
      <c r="BL290" s="127"/>
      <c r="BM290" s="127"/>
      <c r="BN290" s="127"/>
      <c r="BO290" s="127"/>
      <c r="BP290" s="127"/>
      <c r="BQ290" s="127"/>
      <c r="BR290" s="127"/>
      <c r="BS290" s="127"/>
      <c r="BT290" s="127"/>
      <c r="BU290" s="127"/>
      <c r="BV290" s="127"/>
      <c r="BW290" s="127"/>
      <c r="BX290" s="127"/>
      <c r="BY290" s="127"/>
      <c r="BZ290" s="127"/>
      <c r="CA290" s="127"/>
      <c r="CB290" s="127"/>
      <c r="CC290" s="127"/>
      <c r="CD290" s="127"/>
      <c r="CE290" s="127"/>
      <c r="CF290" s="127"/>
      <c r="CG290" s="127"/>
      <c r="CH290" s="127"/>
      <c r="CI290" s="127"/>
    </row>
    <row r="291" spans="1:87" x14ac:dyDescent="0.25">
      <c r="A291" s="1"/>
      <c r="B291" s="1"/>
      <c r="F291" s="1"/>
      <c r="G291" s="1"/>
      <c r="AJ291" s="127"/>
      <c r="AK291" s="127"/>
      <c r="AL291" s="127"/>
      <c r="AM291" s="127"/>
      <c r="AN291" s="127"/>
      <c r="AO291" s="127"/>
      <c r="AP291" s="127"/>
      <c r="AQ291" s="127"/>
      <c r="AR291" s="127"/>
      <c r="AS291" s="127"/>
      <c r="AT291" s="127"/>
      <c r="AU291" s="127"/>
      <c r="AV291" s="127"/>
      <c r="AW291" s="127"/>
      <c r="AX291" s="127"/>
      <c r="AY291" s="127"/>
      <c r="AZ291" s="127"/>
      <c r="BA291" s="127"/>
      <c r="BB291" s="127"/>
      <c r="BC291" s="127"/>
      <c r="BD291" s="127"/>
      <c r="BE291" s="127"/>
      <c r="BF291" s="127"/>
      <c r="BG291" s="127"/>
      <c r="BH291" s="127"/>
      <c r="BI291" s="127"/>
      <c r="BJ291" s="127"/>
      <c r="BK291" s="127"/>
      <c r="BL291" s="127"/>
      <c r="BM291" s="127"/>
      <c r="BN291" s="127"/>
      <c r="BO291" s="127"/>
      <c r="BP291" s="127"/>
      <c r="BQ291" s="127"/>
      <c r="BR291" s="127"/>
      <c r="BS291" s="127"/>
      <c r="BT291" s="127"/>
      <c r="BU291" s="127"/>
      <c r="BV291" s="127"/>
      <c r="BW291" s="127"/>
      <c r="BX291" s="127"/>
      <c r="BY291" s="127"/>
      <c r="BZ291" s="127"/>
      <c r="CA291" s="127"/>
      <c r="CB291" s="127"/>
      <c r="CC291" s="127"/>
      <c r="CD291" s="127"/>
      <c r="CE291" s="127"/>
      <c r="CF291" s="127"/>
      <c r="CG291" s="127"/>
      <c r="CH291" s="127"/>
      <c r="CI291" s="127"/>
    </row>
    <row r="292" spans="1:87" x14ac:dyDescent="0.25">
      <c r="A292" s="1"/>
      <c r="B292" s="1"/>
      <c r="F292" s="1"/>
      <c r="G292" s="1"/>
      <c r="AJ292" s="127"/>
      <c r="AK292" s="127"/>
      <c r="AL292" s="127"/>
      <c r="AM292" s="127"/>
      <c r="AN292" s="127"/>
      <c r="AO292" s="127"/>
      <c r="AP292" s="127"/>
      <c r="AQ292" s="127"/>
      <c r="AR292" s="127"/>
      <c r="AS292" s="127"/>
      <c r="AT292" s="127"/>
      <c r="AU292" s="127"/>
      <c r="AV292" s="127"/>
      <c r="AW292" s="127"/>
      <c r="AX292" s="127"/>
      <c r="AY292" s="127"/>
      <c r="AZ292" s="127"/>
      <c r="BA292" s="127"/>
      <c r="BB292" s="127"/>
      <c r="BC292" s="127"/>
      <c r="BD292" s="127"/>
      <c r="BE292" s="127"/>
      <c r="BF292" s="127"/>
      <c r="BG292" s="127"/>
      <c r="BH292" s="127"/>
      <c r="BI292" s="127"/>
      <c r="BJ292" s="127"/>
      <c r="BK292" s="127"/>
      <c r="BL292" s="127"/>
      <c r="BM292" s="127"/>
      <c r="BN292" s="127"/>
      <c r="BO292" s="127"/>
      <c r="BP292" s="127"/>
      <c r="BQ292" s="127"/>
      <c r="BR292" s="127"/>
      <c r="BS292" s="127"/>
      <c r="BT292" s="127"/>
      <c r="BU292" s="127"/>
      <c r="BV292" s="127"/>
      <c r="BW292" s="127"/>
      <c r="BX292" s="127"/>
      <c r="BY292" s="127"/>
      <c r="BZ292" s="127"/>
      <c r="CA292" s="127"/>
      <c r="CB292" s="127"/>
      <c r="CC292" s="127"/>
      <c r="CD292" s="127"/>
      <c r="CE292" s="127"/>
      <c r="CF292" s="127"/>
      <c r="CG292" s="127"/>
      <c r="CH292" s="127"/>
      <c r="CI292" s="127"/>
    </row>
    <row r="293" spans="1:87" x14ac:dyDescent="0.25">
      <c r="A293" s="1"/>
      <c r="B293" s="1"/>
      <c r="F293" s="1"/>
      <c r="G293" s="1"/>
      <c r="AJ293" s="127"/>
      <c r="AK293" s="127"/>
      <c r="AL293" s="127"/>
      <c r="AM293" s="127"/>
      <c r="AN293" s="127"/>
      <c r="AO293" s="127"/>
      <c r="AP293" s="127"/>
      <c r="AQ293" s="127"/>
      <c r="AR293" s="127"/>
      <c r="AS293" s="127"/>
      <c r="AT293" s="127"/>
      <c r="AU293" s="127"/>
      <c r="AV293" s="127"/>
      <c r="AW293" s="127"/>
      <c r="AX293" s="127"/>
      <c r="AY293" s="127"/>
      <c r="AZ293" s="127"/>
      <c r="BA293" s="127"/>
      <c r="BB293" s="127"/>
      <c r="BC293" s="127"/>
      <c r="BD293" s="127"/>
      <c r="BE293" s="127"/>
      <c r="BF293" s="127"/>
      <c r="BG293" s="127"/>
      <c r="BH293" s="127"/>
      <c r="BI293" s="127"/>
      <c r="BJ293" s="127"/>
      <c r="BK293" s="127"/>
      <c r="BL293" s="127"/>
      <c r="BM293" s="127"/>
      <c r="BN293" s="127"/>
      <c r="BO293" s="127"/>
      <c r="BP293" s="127"/>
      <c r="BQ293" s="127"/>
      <c r="BR293" s="127"/>
      <c r="BS293" s="127"/>
      <c r="BT293" s="127"/>
      <c r="BU293" s="127"/>
      <c r="BV293" s="127"/>
      <c r="BW293" s="127"/>
      <c r="BX293" s="127"/>
      <c r="BY293" s="127"/>
      <c r="BZ293" s="127"/>
      <c r="CA293" s="127"/>
      <c r="CB293" s="127"/>
      <c r="CC293" s="127"/>
      <c r="CD293" s="127"/>
      <c r="CE293" s="127"/>
      <c r="CF293" s="127"/>
      <c r="CG293" s="127"/>
      <c r="CH293" s="127"/>
      <c r="CI293" s="127"/>
    </row>
    <row r="294" spans="1:87" x14ac:dyDescent="0.25">
      <c r="A294" s="1"/>
      <c r="B294" s="1"/>
      <c r="F294" s="1"/>
      <c r="G294" s="1"/>
      <c r="AJ294" s="127"/>
      <c r="AK294" s="127"/>
      <c r="AL294" s="127"/>
      <c r="AM294" s="127"/>
      <c r="AN294" s="127"/>
      <c r="AO294" s="127"/>
      <c r="AP294" s="127"/>
      <c r="AQ294" s="127"/>
      <c r="AR294" s="127"/>
      <c r="AS294" s="127"/>
      <c r="AT294" s="127"/>
      <c r="AU294" s="127"/>
      <c r="AV294" s="127"/>
      <c r="AW294" s="127"/>
      <c r="AX294" s="127"/>
      <c r="AY294" s="127"/>
      <c r="AZ294" s="127"/>
      <c r="BA294" s="127"/>
      <c r="BB294" s="127"/>
      <c r="BC294" s="127"/>
      <c r="BD294" s="127"/>
      <c r="BE294" s="127"/>
      <c r="BF294" s="127"/>
      <c r="BG294" s="127"/>
      <c r="BH294" s="127"/>
      <c r="BI294" s="127"/>
      <c r="BJ294" s="127"/>
      <c r="BK294" s="127"/>
      <c r="BL294" s="127"/>
      <c r="BM294" s="127"/>
      <c r="BN294" s="127"/>
      <c r="BO294" s="127"/>
      <c r="BP294" s="127"/>
      <c r="BQ294" s="127"/>
      <c r="BR294" s="127"/>
      <c r="BS294" s="127"/>
      <c r="BT294" s="127"/>
      <c r="BU294" s="127"/>
      <c r="BV294" s="127"/>
      <c r="BW294" s="127"/>
      <c r="BX294" s="127"/>
      <c r="BY294" s="127"/>
      <c r="BZ294" s="127"/>
      <c r="CA294" s="127"/>
      <c r="CB294" s="127"/>
      <c r="CC294" s="127"/>
      <c r="CD294" s="127"/>
      <c r="CE294" s="127"/>
      <c r="CF294" s="127"/>
      <c r="CG294" s="127"/>
      <c r="CH294" s="127"/>
      <c r="CI294" s="127"/>
    </row>
    <row r="295" spans="1:87" x14ac:dyDescent="0.25">
      <c r="A295" s="1"/>
      <c r="B295" s="1"/>
      <c r="F295" s="1"/>
      <c r="G295" s="1"/>
      <c r="AJ295" s="127"/>
      <c r="AK295" s="127"/>
      <c r="AL295" s="127"/>
      <c r="AM295" s="127"/>
      <c r="AN295" s="127"/>
      <c r="AO295" s="127"/>
      <c r="AP295" s="127"/>
      <c r="AQ295" s="127"/>
      <c r="AR295" s="127"/>
      <c r="AS295" s="127"/>
      <c r="AT295" s="127"/>
      <c r="AU295" s="127"/>
      <c r="AV295" s="127"/>
      <c r="AW295" s="127"/>
      <c r="AX295" s="127"/>
      <c r="AY295" s="127"/>
      <c r="AZ295" s="127"/>
      <c r="BA295" s="127"/>
      <c r="BB295" s="127"/>
      <c r="BC295" s="127"/>
      <c r="BD295" s="127"/>
      <c r="BE295" s="127"/>
      <c r="BF295" s="127"/>
      <c r="BG295" s="127"/>
      <c r="BH295" s="127"/>
      <c r="BI295" s="127"/>
      <c r="BJ295" s="127"/>
      <c r="BK295" s="127"/>
      <c r="BL295" s="127"/>
      <c r="BM295" s="127"/>
      <c r="BN295" s="127"/>
      <c r="BO295" s="127"/>
      <c r="BP295" s="127"/>
      <c r="BQ295" s="127"/>
      <c r="BR295" s="127"/>
      <c r="BS295" s="127"/>
      <c r="BT295" s="127"/>
      <c r="BU295" s="127"/>
      <c r="BV295" s="127"/>
      <c r="BW295" s="127"/>
      <c r="BX295" s="127"/>
      <c r="BY295" s="127"/>
      <c r="BZ295" s="127"/>
      <c r="CA295" s="127"/>
      <c r="CB295" s="127"/>
      <c r="CC295" s="127"/>
      <c r="CD295" s="127"/>
      <c r="CE295" s="127"/>
      <c r="CF295" s="127"/>
      <c r="CG295" s="127"/>
      <c r="CH295" s="127"/>
      <c r="CI295" s="127"/>
    </row>
    <row r="296" spans="1:87" x14ac:dyDescent="0.25">
      <c r="A296" s="1"/>
      <c r="B296" s="1"/>
      <c r="F296" s="1"/>
      <c r="G296" s="1"/>
      <c r="AJ296" s="127"/>
      <c r="AK296" s="127"/>
      <c r="AL296" s="127"/>
      <c r="AM296" s="127"/>
      <c r="AN296" s="127"/>
      <c r="AO296" s="127"/>
      <c r="AP296" s="127"/>
      <c r="AQ296" s="127"/>
      <c r="AR296" s="127"/>
      <c r="AS296" s="127"/>
      <c r="AT296" s="127"/>
      <c r="AU296" s="127"/>
      <c r="AV296" s="127"/>
      <c r="AW296" s="127"/>
      <c r="AX296" s="127"/>
      <c r="AY296" s="127"/>
      <c r="AZ296" s="127"/>
      <c r="BA296" s="127"/>
      <c r="BB296" s="127"/>
      <c r="BC296" s="127"/>
      <c r="BD296" s="127"/>
      <c r="BE296" s="127"/>
      <c r="BF296" s="127"/>
      <c r="BG296" s="127"/>
      <c r="BH296" s="127"/>
      <c r="BI296" s="127"/>
      <c r="BJ296" s="127"/>
      <c r="BK296" s="127"/>
      <c r="BL296" s="127"/>
      <c r="BM296" s="127"/>
      <c r="BN296" s="127"/>
      <c r="BO296" s="127"/>
      <c r="BP296" s="127"/>
      <c r="BQ296" s="127"/>
      <c r="BR296" s="127"/>
      <c r="BS296" s="127"/>
      <c r="BT296" s="127"/>
      <c r="BU296" s="127"/>
      <c r="BV296" s="127"/>
      <c r="BW296" s="127"/>
      <c r="BX296" s="127"/>
      <c r="BY296" s="127"/>
      <c r="BZ296" s="127"/>
      <c r="CA296" s="127"/>
      <c r="CB296" s="127"/>
      <c r="CC296" s="127"/>
      <c r="CD296" s="127"/>
      <c r="CE296" s="127"/>
      <c r="CF296" s="127"/>
      <c r="CG296" s="127"/>
      <c r="CH296" s="127"/>
      <c r="CI296" s="127"/>
    </row>
    <row r="297" spans="1:87" x14ac:dyDescent="0.25">
      <c r="A297" s="1"/>
      <c r="B297" s="1"/>
      <c r="F297" s="1"/>
      <c r="G297" s="1"/>
      <c r="AJ297" s="127"/>
      <c r="AK297" s="127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  <c r="AX297" s="127"/>
      <c r="AY297" s="127"/>
      <c r="AZ297" s="127"/>
      <c r="BA297" s="127"/>
      <c r="BB297" s="127"/>
      <c r="BC297" s="127"/>
      <c r="BD297" s="127"/>
      <c r="BE297" s="127"/>
      <c r="BF297" s="127"/>
      <c r="BG297" s="127"/>
      <c r="BH297" s="127"/>
      <c r="BI297" s="127"/>
      <c r="BJ297" s="127"/>
      <c r="BK297" s="127"/>
      <c r="BL297" s="127"/>
      <c r="BM297" s="127"/>
      <c r="BN297" s="127"/>
      <c r="BO297" s="127"/>
      <c r="BP297" s="127"/>
      <c r="BQ297" s="127"/>
      <c r="BR297" s="127"/>
      <c r="BS297" s="127"/>
      <c r="BT297" s="127"/>
      <c r="BU297" s="127"/>
      <c r="BV297" s="127"/>
      <c r="BW297" s="127"/>
      <c r="BX297" s="127"/>
      <c r="BY297" s="127"/>
      <c r="BZ297" s="127"/>
      <c r="CA297" s="127"/>
      <c r="CB297" s="127"/>
      <c r="CC297" s="127"/>
      <c r="CD297" s="127"/>
      <c r="CE297" s="127"/>
      <c r="CF297" s="127"/>
      <c r="CG297" s="127"/>
      <c r="CH297" s="127"/>
      <c r="CI297" s="127"/>
    </row>
    <row r="298" spans="1:87" x14ac:dyDescent="0.25">
      <c r="A298" s="1"/>
      <c r="B298" s="1"/>
      <c r="F298" s="1"/>
      <c r="G298" s="1"/>
      <c r="AJ298" s="127"/>
      <c r="AK298" s="127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  <c r="AX298" s="127"/>
      <c r="AY298" s="127"/>
      <c r="AZ298" s="127"/>
      <c r="BA298" s="127"/>
      <c r="BB298" s="127"/>
      <c r="BC298" s="127"/>
      <c r="BD298" s="127"/>
      <c r="BE298" s="127"/>
      <c r="BF298" s="127"/>
      <c r="BG298" s="127"/>
      <c r="BH298" s="127"/>
      <c r="BI298" s="127"/>
      <c r="BJ298" s="127"/>
      <c r="BK298" s="127"/>
      <c r="BL298" s="127"/>
      <c r="BM298" s="127"/>
      <c r="BN298" s="127"/>
      <c r="BO298" s="127"/>
      <c r="BP298" s="127"/>
      <c r="BQ298" s="127"/>
      <c r="BR298" s="127"/>
      <c r="BS298" s="127"/>
      <c r="BT298" s="127"/>
      <c r="BU298" s="127"/>
      <c r="BV298" s="127"/>
      <c r="BW298" s="127"/>
      <c r="BX298" s="127"/>
      <c r="BY298" s="127"/>
      <c r="BZ298" s="127"/>
      <c r="CA298" s="127"/>
      <c r="CB298" s="127"/>
      <c r="CC298" s="127"/>
      <c r="CD298" s="127"/>
      <c r="CE298" s="127"/>
      <c r="CF298" s="127"/>
      <c r="CG298" s="127"/>
      <c r="CH298" s="127"/>
      <c r="CI298" s="127"/>
    </row>
    <row r="299" spans="1:87" x14ac:dyDescent="0.25">
      <c r="A299" s="1"/>
      <c r="B299" s="1"/>
      <c r="F299" s="1"/>
      <c r="G299" s="1"/>
      <c r="AJ299" s="127"/>
      <c r="AK299" s="127"/>
      <c r="AL299" s="127"/>
      <c r="AM299" s="127"/>
      <c r="AN299" s="127"/>
      <c r="AO299" s="127"/>
      <c r="AP299" s="127"/>
      <c r="AQ299" s="127"/>
      <c r="AR299" s="127"/>
      <c r="AS299" s="127"/>
      <c r="AT299" s="127"/>
      <c r="AU299" s="127"/>
      <c r="AV299" s="127"/>
      <c r="AW299" s="127"/>
      <c r="AX299" s="127"/>
      <c r="AY299" s="127"/>
      <c r="AZ299" s="127"/>
      <c r="BA299" s="127"/>
      <c r="BB299" s="127"/>
      <c r="BC299" s="127"/>
      <c r="BD299" s="127"/>
      <c r="BE299" s="127"/>
      <c r="BF299" s="127"/>
      <c r="BG299" s="127"/>
      <c r="BH299" s="127"/>
      <c r="BI299" s="127"/>
      <c r="BJ299" s="127"/>
      <c r="BK299" s="127"/>
      <c r="BL299" s="127"/>
      <c r="BM299" s="127"/>
      <c r="BN299" s="127"/>
      <c r="BO299" s="127"/>
      <c r="BP299" s="127"/>
      <c r="BQ299" s="127"/>
      <c r="BR299" s="127"/>
      <c r="BS299" s="127"/>
      <c r="BT299" s="127"/>
      <c r="BU299" s="127"/>
      <c r="BV299" s="127"/>
      <c r="BW299" s="127"/>
      <c r="BX299" s="127"/>
      <c r="BY299" s="127"/>
      <c r="BZ299" s="127"/>
      <c r="CA299" s="127"/>
      <c r="CB299" s="127"/>
      <c r="CC299" s="127"/>
      <c r="CD299" s="127"/>
      <c r="CE299" s="127"/>
      <c r="CF299" s="127"/>
      <c r="CG299" s="127"/>
      <c r="CH299" s="127"/>
      <c r="CI299" s="127"/>
    </row>
    <row r="300" spans="1:87" x14ac:dyDescent="0.25">
      <c r="A300" s="1"/>
      <c r="B300" s="1"/>
      <c r="F300" s="1"/>
      <c r="G300" s="1"/>
      <c r="AJ300" s="127"/>
      <c r="AK300" s="127"/>
      <c r="AL300" s="127"/>
      <c r="AM300" s="127"/>
      <c r="AN300" s="127"/>
      <c r="AO300" s="127"/>
      <c r="AP300" s="127"/>
      <c r="AQ300" s="127"/>
      <c r="AR300" s="127"/>
      <c r="AS300" s="127"/>
      <c r="AT300" s="127"/>
      <c r="AU300" s="127"/>
      <c r="AV300" s="127"/>
      <c r="AW300" s="127"/>
      <c r="AX300" s="127"/>
      <c r="AY300" s="127"/>
      <c r="AZ300" s="127"/>
      <c r="BA300" s="127"/>
      <c r="BB300" s="127"/>
      <c r="BC300" s="127"/>
      <c r="BD300" s="127"/>
      <c r="BE300" s="127"/>
      <c r="BF300" s="127"/>
      <c r="BG300" s="127"/>
      <c r="BH300" s="127"/>
      <c r="BI300" s="127"/>
      <c r="BJ300" s="127"/>
      <c r="BK300" s="127"/>
      <c r="BL300" s="127"/>
      <c r="BM300" s="127"/>
      <c r="BN300" s="127"/>
      <c r="BO300" s="127"/>
      <c r="BP300" s="127"/>
      <c r="BQ300" s="127"/>
      <c r="BR300" s="127"/>
      <c r="BS300" s="127"/>
      <c r="BT300" s="127"/>
      <c r="BU300" s="127"/>
      <c r="BV300" s="127"/>
      <c r="BW300" s="127"/>
      <c r="BX300" s="127"/>
      <c r="BY300" s="127"/>
      <c r="BZ300" s="127"/>
      <c r="CA300" s="127"/>
      <c r="CB300" s="127"/>
      <c r="CC300" s="127"/>
      <c r="CD300" s="127"/>
      <c r="CE300" s="127"/>
      <c r="CF300" s="127"/>
      <c r="CG300" s="127"/>
      <c r="CH300" s="127"/>
      <c r="CI300" s="127"/>
    </row>
    <row r="301" spans="1:87" x14ac:dyDescent="0.25">
      <c r="A301" s="1"/>
      <c r="B301" s="1"/>
      <c r="F301" s="1"/>
      <c r="G301" s="1"/>
      <c r="AJ301" s="127"/>
      <c r="AK301" s="127"/>
      <c r="AL301" s="127"/>
      <c r="AM301" s="127"/>
      <c r="AN301" s="127"/>
      <c r="AO301" s="127"/>
      <c r="AP301" s="127"/>
      <c r="AQ301" s="127"/>
      <c r="AR301" s="127"/>
      <c r="AS301" s="127"/>
      <c r="AT301" s="127"/>
      <c r="AU301" s="127"/>
      <c r="AV301" s="127"/>
      <c r="AW301" s="127"/>
      <c r="AX301" s="127"/>
      <c r="AY301" s="127"/>
      <c r="AZ301" s="127"/>
      <c r="BA301" s="127"/>
      <c r="BB301" s="127"/>
      <c r="BC301" s="127"/>
      <c r="BD301" s="127"/>
      <c r="BE301" s="127"/>
      <c r="BF301" s="127"/>
      <c r="BG301" s="127"/>
      <c r="BH301" s="127"/>
      <c r="BI301" s="127"/>
      <c r="BJ301" s="127"/>
      <c r="BK301" s="127"/>
      <c r="BL301" s="127"/>
      <c r="BM301" s="127"/>
      <c r="BN301" s="127"/>
      <c r="BO301" s="127"/>
      <c r="BP301" s="127"/>
      <c r="BQ301" s="127"/>
      <c r="BR301" s="127"/>
      <c r="BS301" s="127"/>
      <c r="BT301" s="127"/>
      <c r="BU301" s="127"/>
      <c r="BV301" s="127"/>
      <c r="BW301" s="127"/>
      <c r="BX301" s="127"/>
      <c r="BY301" s="127"/>
      <c r="BZ301" s="127"/>
      <c r="CA301" s="127"/>
      <c r="CB301" s="127"/>
      <c r="CC301" s="127"/>
      <c r="CD301" s="127"/>
      <c r="CE301" s="127"/>
      <c r="CF301" s="127"/>
      <c r="CG301" s="127"/>
      <c r="CH301" s="127"/>
      <c r="CI301" s="127"/>
    </row>
    <row r="302" spans="1:87" x14ac:dyDescent="0.25">
      <c r="A302" s="1"/>
      <c r="B302" s="1"/>
      <c r="F302" s="1"/>
      <c r="G302" s="1"/>
      <c r="AJ302" s="127"/>
      <c r="AK302" s="127"/>
      <c r="AL302" s="127"/>
      <c r="AM302" s="127"/>
      <c r="AN302" s="127"/>
      <c r="AO302" s="127"/>
      <c r="AP302" s="127"/>
      <c r="AQ302" s="127"/>
      <c r="AR302" s="127"/>
      <c r="AS302" s="127"/>
      <c r="AT302" s="127"/>
      <c r="AU302" s="127"/>
      <c r="AV302" s="127"/>
      <c r="AW302" s="127"/>
      <c r="AX302" s="127"/>
      <c r="AY302" s="127"/>
      <c r="AZ302" s="127"/>
      <c r="BA302" s="127"/>
      <c r="BB302" s="127"/>
      <c r="BC302" s="127"/>
      <c r="BD302" s="127"/>
      <c r="BE302" s="127"/>
      <c r="BF302" s="127"/>
      <c r="BG302" s="127"/>
      <c r="BH302" s="127"/>
      <c r="BI302" s="127"/>
      <c r="BJ302" s="127"/>
      <c r="BK302" s="127"/>
      <c r="BL302" s="127"/>
      <c r="BM302" s="127"/>
      <c r="BN302" s="127"/>
      <c r="BO302" s="127"/>
      <c r="BP302" s="127"/>
      <c r="BQ302" s="127"/>
      <c r="BR302" s="127"/>
      <c r="BS302" s="127"/>
      <c r="BT302" s="127"/>
      <c r="BU302" s="127"/>
      <c r="BV302" s="127"/>
      <c r="BW302" s="127"/>
      <c r="BX302" s="127"/>
      <c r="BY302" s="127"/>
      <c r="BZ302" s="127"/>
      <c r="CA302" s="127"/>
      <c r="CB302" s="127"/>
      <c r="CC302" s="127"/>
      <c r="CD302" s="127"/>
      <c r="CE302" s="127"/>
      <c r="CF302" s="127"/>
      <c r="CG302" s="127"/>
      <c r="CH302" s="127"/>
      <c r="CI302" s="127"/>
    </row>
    <row r="303" spans="1:87" x14ac:dyDescent="0.25">
      <c r="A303" s="1"/>
      <c r="B303" s="1"/>
      <c r="F303" s="1"/>
      <c r="G303" s="1"/>
      <c r="AJ303" s="127"/>
      <c r="AK303" s="127"/>
      <c r="AL303" s="127"/>
      <c r="AM303" s="127"/>
      <c r="AN303" s="127"/>
      <c r="AO303" s="127"/>
      <c r="AP303" s="127"/>
      <c r="AQ303" s="127"/>
      <c r="AR303" s="127"/>
      <c r="AS303" s="127"/>
      <c r="AT303" s="127"/>
      <c r="AU303" s="127"/>
      <c r="AV303" s="127"/>
      <c r="AW303" s="127"/>
      <c r="AX303" s="127"/>
      <c r="AY303" s="127"/>
      <c r="AZ303" s="127"/>
      <c r="BA303" s="127"/>
      <c r="BB303" s="127"/>
      <c r="BC303" s="127"/>
      <c r="BD303" s="127"/>
      <c r="BE303" s="127"/>
      <c r="BF303" s="127"/>
      <c r="BG303" s="127"/>
      <c r="BH303" s="127"/>
      <c r="BI303" s="127"/>
      <c r="BJ303" s="127"/>
      <c r="BK303" s="127"/>
      <c r="BL303" s="127"/>
      <c r="BM303" s="127"/>
      <c r="BN303" s="127"/>
      <c r="BO303" s="127"/>
      <c r="BP303" s="127"/>
      <c r="BQ303" s="127"/>
      <c r="BR303" s="127"/>
      <c r="BS303" s="127"/>
      <c r="BT303" s="127"/>
      <c r="BU303" s="127"/>
      <c r="BV303" s="127"/>
      <c r="BW303" s="127"/>
      <c r="BX303" s="127"/>
      <c r="BY303" s="127"/>
      <c r="BZ303" s="127"/>
      <c r="CA303" s="127"/>
      <c r="CB303" s="127"/>
      <c r="CC303" s="127"/>
      <c r="CD303" s="127"/>
      <c r="CE303" s="127"/>
      <c r="CF303" s="127"/>
      <c r="CG303" s="127"/>
      <c r="CH303" s="127"/>
      <c r="CI303" s="127"/>
    </row>
    <row r="304" spans="1:87" x14ac:dyDescent="0.25">
      <c r="A304" s="1"/>
      <c r="B304" s="1"/>
      <c r="F304" s="1"/>
      <c r="G304" s="1"/>
      <c r="AJ304" s="127"/>
      <c r="AK304" s="127"/>
      <c r="AL304" s="127"/>
      <c r="AM304" s="127"/>
      <c r="AN304" s="127"/>
      <c r="AO304" s="127"/>
      <c r="AP304" s="127"/>
      <c r="AQ304" s="127"/>
      <c r="AR304" s="127"/>
      <c r="AS304" s="127"/>
      <c r="AT304" s="127"/>
      <c r="AU304" s="127"/>
      <c r="AV304" s="127"/>
      <c r="AW304" s="127"/>
      <c r="AX304" s="127"/>
      <c r="AY304" s="127"/>
      <c r="AZ304" s="127"/>
      <c r="BA304" s="127"/>
      <c r="BB304" s="127"/>
      <c r="BC304" s="127"/>
      <c r="BD304" s="127"/>
      <c r="BE304" s="127"/>
      <c r="BF304" s="127"/>
      <c r="BG304" s="127"/>
      <c r="BH304" s="127"/>
      <c r="BI304" s="127"/>
      <c r="BJ304" s="127"/>
      <c r="BK304" s="127"/>
      <c r="BL304" s="127"/>
      <c r="BM304" s="127"/>
      <c r="BN304" s="127"/>
      <c r="BO304" s="127"/>
      <c r="BP304" s="127"/>
      <c r="BQ304" s="127"/>
      <c r="BR304" s="127"/>
      <c r="BS304" s="127"/>
      <c r="BT304" s="127"/>
      <c r="BU304" s="127"/>
      <c r="BV304" s="127"/>
      <c r="BW304" s="127"/>
      <c r="BX304" s="127"/>
      <c r="BY304" s="127"/>
      <c r="BZ304" s="127"/>
      <c r="CA304" s="127"/>
      <c r="CB304" s="127"/>
      <c r="CC304" s="127"/>
      <c r="CD304" s="127"/>
      <c r="CE304" s="127"/>
      <c r="CF304" s="127"/>
      <c r="CG304" s="127"/>
      <c r="CH304" s="127"/>
      <c r="CI304" s="127"/>
    </row>
    <row r="305" spans="1:87" x14ac:dyDescent="0.25">
      <c r="A305" s="1"/>
      <c r="B305" s="1"/>
      <c r="F305" s="1"/>
      <c r="G305" s="1"/>
      <c r="AJ305" s="127"/>
      <c r="AK305" s="127"/>
      <c r="AL305" s="127"/>
      <c r="AM305" s="127"/>
      <c r="AN305" s="127"/>
      <c r="AO305" s="127"/>
      <c r="AP305" s="127"/>
      <c r="AQ305" s="127"/>
      <c r="AR305" s="127"/>
      <c r="AS305" s="127"/>
      <c r="AT305" s="127"/>
      <c r="AU305" s="127"/>
      <c r="AV305" s="127"/>
      <c r="AW305" s="127"/>
      <c r="AX305" s="127"/>
      <c r="AY305" s="127"/>
      <c r="AZ305" s="127"/>
      <c r="BA305" s="127"/>
      <c r="BB305" s="127"/>
      <c r="BC305" s="127"/>
      <c r="BD305" s="127"/>
      <c r="BE305" s="127"/>
      <c r="BF305" s="127"/>
      <c r="BG305" s="127"/>
      <c r="BH305" s="127"/>
      <c r="BI305" s="127"/>
      <c r="BJ305" s="127"/>
      <c r="BK305" s="127"/>
      <c r="BL305" s="127"/>
      <c r="BM305" s="127"/>
      <c r="BN305" s="127"/>
      <c r="BO305" s="127"/>
      <c r="BP305" s="127"/>
      <c r="BQ305" s="127"/>
      <c r="BR305" s="127"/>
      <c r="BS305" s="127"/>
      <c r="BT305" s="127"/>
      <c r="BU305" s="127"/>
      <c r="BV305" s="127"/>
      <c r="BW305" s="127"/>
      <c r="BX305" s="127"/>
      <c r="BY305" s="127"/>
      <c r="BZ305" s="127"/>
      <c r="CA305" s="127"/>
      <c r="CB305" s="127"/>
      <c r="CC305" s="127"/>
      <c r="CD305" s="127"/>
      <c r="CE305" s="127"/>
      <c r="CF305" s="127"/>
      <c r="CG305" s="127"/>
      <c r="CH305" s="127"/>
      <c r="CI305" s="127"/>
    </row>
    <row r="306" spans="1:87" x14ac:dyDescent="0.25">
      <c r="A306" s="1"/>
      <c r="B306" s="1"/>
      <c r="F306" s="1"/>
      <c r="G306" s="1"/>
      <c r="AJ306" s="127"/>
      <c r="AK306" s="127"/>
      <c r="AL306" s="127"/>
      <c r="AM306" s="127"/>
      <c r="AN306" s="127"/>
      <c r="AO306" s="127"/>
      <c r="AP306" s="127"/>
      <c r="AQ306" s="127"/>
      <c r="AR306" s="127"/>
      <c r="AS306" s="127"/>
      <c r="AT306" s="127"/>
      <c r="AU306" s="127"/>
      <c r="AV306" s="127"/>
      <c r="AW306" s="127"/>
      <c r="AX306" s="127"/>
      <c r="AY306" s="127"/>
      <c r="AZ306" s="127"/>
      <c r="BA306" s="127"/>
      <c r="BB306" s="127"/>
      <c r="BC306" s="127"/>
      <c r="BD306" s="127"/>
      <c r="BE306" s="127"/>
      <c r="BF306" s="127"/>
      <c r="BG306" s="127"/>
      <c r="BH306" s="127"/>
      <c r="BI306" s="127"/>
      <c r="BJ306" s="127"/>
      <c r="BK306" s="127"/>
      <c r="BL306" s="127"/>
      <c r="BM306" s="127"/>
      <c r="BN306" s="127"/>
      <c r="BO306" s="127"/>
      <c r="BP306" s="127"/>
      <c r="BQ306" s="127"/>
      <c r="BR306" s="127"/>
      <c r="BS306" s="127"/>
      <c r="BT306" s="127"/>
      <c r="BU306" s="127"/>
      <c r="BV306" s="127"/>
      <c r="BW306" s="127"/>
      <c r="BX306" s="127"/>
      <c r="BY306" s="127"/>
      <c r="BZ306" s="127"/>
      <c r="CA306" s="127"/>
      <c r="CB306" s="127"/>
      <c r="CC306" s="127"/>
      <c r="CD306" s="127"/>
      <c r="CE306" s="127"/>
      <c r="CF306" s="127"/>
      <c r="CG306" s="127"/>
      <c r="CH306" s="127"/>
      <c r="CI306" s="127"/>
    </row>
    <row r="307" spans="1:87" x14ac:dyDescent="0.25">
      <c r="A307" s="1"/>
      <c r="B307" s="1"/>
      <c r="F307" s="1"/>
      <c r="G307" s="1"/>
      <c r="AJ307" s="127"/>
      <c r="AK307" s="127"/>
      <c r="AL307" s="127"/>
      <c r="AM307" s="127"/>
      <c r="AN307" s="127"/>
      <c r="AO307" s="127"/>
      <c r="AP307" s="127"/>
      <c r="AQ307" s="127"/>
      <c r="AR307" s="127"/>
      <c r="AS307" s="127"/>
      <c r="AT307" s="127"/>
      <c r="AU307" s="127"/>
      <c r="AV307" s="127"/>
      <c r="AW307" s="127"/>
      <c r="AX307" s="127"/>
      <c r="AY307" s="127"/>
      <c r="AZ307" s="127"/>
      <c r="BA307" s="127"/>
      <c r="BB307" s="127"/>
      <c r="BC307" s="127"/>
      <c r="BD307" s="127"/>
      <c r="BE307" s="127"/>
      <c r="BF307" s="127"/>
      <c r="BG307" s="127"/>
      <c r="BH307" s="127"/>
      <c r="BI307" s="127"/>
      <c r="BJ307" s="127"/>
      <c r="BK307" s="127"/>
      <c r="BL307" s="127"/>
      <c r="BM307" s="127"/>
      <c r="BN307" s="127"/>
      <c r="BO307" s="127"/>
      <c r="BP307" s="127"/>
      <c r="BQ307" s="127"/>
      <c r="BR307" s="127"/>
      <c r="BS307" s="127"/>
      <c r="BT307" s="127"/>
      <c r="BU307" s="127"/>
      <c r="BV307" s="127"/>
      <c r="BW307" s="127"/>
      <c r="BX307" s="127"/>
      <c r="BY307" s="127"/>
      <c r="BZ307" s="127"/>
      <c r="CA307" s="127"/>
      <c r="CB307" s="127"/>
      <c r="CC307" s="127"/>
      <c r="CD307" s="127"/>
      <c r="CE307" s="127"/>
      <c r="CF307" s="127"/>
      <c r="CG307" s="127"/>
      <c r="CH307" s="127"/>
      <c r="CI307" s="127"/>
    </row>
    <row r="308" spans="1:87" x14ac:dyDescent="0.25">
      <c r="A308" s="1"/>
      <c r="B308" s="1"/>
      <c r="F308" s="1"/>
      <c r="G308" s="1"/>
      <c r="AJ308" s="127"/>
      <c r="AK308" s="127"/>
      <c r="AL308" s="127"/>
      <c r="AM308" s="127"/>
      <c r="AN308" s="127"/>
      <c r="AO308" s="127"/>
      <c r="AP308" s="127"/>
      <c r="AQ308" s="127"/>
      <c r="AR308" s="127"/>
      <c r="AS308" s="127"/>
      <c r="AT308" s="127"/>
      <c r="AU308" s="127"/>
      <c r="AV308" s="127"/>
      <c r="AW308" s="127"/>
      <c r="AX308" s="127"/>
      <c r="AY308" s="127"/>
      <c r="AZ308" s="127"/>
      <c r="BA308" s="127"/>
      <c r="BB308" s="127"/>
      <c r="BC308" s="127"/>
      <c r="BD308" s="127"/>
      <c r="BE308" s="127"/>
      <c r="BF308" s="127"/>
      <c r="BG308" s="127"/>
      <c r="BH308" s="127"/>
      <c r="BI308" s="127"/>
      <c r="BJ308" s="127"/>
      <c r="BK308" s="127"/>
      <c r="BL308" s="127"/>
      <c r="BM308" s="127"/>
      <c r="BN308" s="127"/>
      <c r="BO308" s="127"/>
      <c r="BP308" s="127"/>
      <c r="BQ308" s="127"/>
      <c r="BR308" s="127"/>
      <c r="BS308" s="127"/>
      <c r="BT308" s="127"/>
      <c r="BU308" s="127"/>
      <c r="BV308" s="127"/>
      <c r="BW308" s="127"/>
      <c r="BX308" s="127"/>
      <c r="BY308" s="127"/>
      <c r="BZ308" s="127"/>
      <c r="CA308" s="127"/>
      <c r="CB308" s="127"/>
      <c r="CC308" s="127"/>
      <c r="CD308" s="127"/>
      <c r="CE308" s="127"/>
      <c r="CF308" s="127"/>
      <c r="CG308" s="127"/>
      <c r="CH308" s="127"/>
      <c r="CI308" s="127"/>
    </row>
    <row r="309" spans="1:87" x14ac:dyDescent="0.25">
      <c r="A309" s="1"/>
      <c r="B309" s="1"/>
      <c r="F309" s="1"/>
      <c r="G309" s="1"/>
      <c r="AJ309" s="127"/>
      <c r="AK309" s="127"/>
      <c r="AL309" s="127"/>
      <c r="AM309" s="127"/>
      <c r="AN309" s="127"/>
      <c r="AO309" s="127"/>
      <c r="AP309" s="127"/>
      <c r="AQ309" s="127"/>
      <c r="AR309" s="127"/>
      <c r="AS309" s="127"/>
      <c r="AT309" s="127"/>
      <c r="AU309" s="127"/>
      <c r="AV309" s="127"/>
      <c r="AW309" s="127"/>
      <c r="AX309" s="127"/>
      <c r="AY309" s="127"/>
      <c r="AZ309" s="127"/>
      <c r="BA309" s="127"/>
      <c r="BB309" s="127"/>
      <c r="BC309" s="127"/>
      <c r="BD309" s="127"/>
      <c r="BE309" s="127"/>
      <c r="BF309" s="127"/>
      <c r="BG309" s="127"/>
      <c r="BH309" s="127"/>
      <c r="BI309" s="127"/>
      <c r="BJ309" s="127"/>
      <c r="BK309" s="127"/>
      <c r="BL309" s="127"/>
      <c r="BM309" s="127"/>
      <c r="BN309" s="127"/>
      <c r="BO309" s="127"/>
      <c r="BP309" s="127"/>
      <c r="BQ309" s="127"/>
      <c r="BR309" s="127"/>
      <c r="BS309" s="127"/>
      <c r="BT309" s="127"/>
      <c r="BU309" s="127"/>
      <c r="BV309" s="127"/>
      <c r="BW309" s="127"/>
      <c r="BX309" s="127"/>
      <c r="BY309" s="127"/>
      <c r="BZ309" s="127"/>
      <c r="CA309" s="127"/>
      <c r="CB309" s="127"/>
      <c r="CC309" s="127"/>
      <c r="CD309" s="127"/>
      <c r="CE309" s="127"/>
      <c r="CF309" s="127"/>
      <c r="CG309" s="127"/>
      <c r="CH309" s="127"/>
      <c r="CI309" s="127"/>
    </row>
    <row r="310" spans="1:87" x14ac:dyDescent="0.25">
      <c r="A310" s="1"/>
      <c r="B310" s="1"/>
      <c r="F310" s="1"/>
      <c r="G310" s="1"/>
      <c r="AJ310" s="127"/>
      <c r="AK310" s="127"/>
      <c r="AL310" s="127"/>
      <c r="AM310" s="127"/>
      <c r="AN310" s="127"/>
      <c r="AO310" s="127"/>
      <c r="AP310" s="127"/>
      <c r="AQ310" s="127"/>
      <c r="AR310" s="127"/>
      <c r="AS310" s="127"/>
      <c r="AT310" s="127"/>
      <c r="AU310" s="127"/>
      <c r="AV310" s="127"/>
      <c r="AW310" s="127"/>
      <c r="AX310" s="127"/>
      <c r="AY310" s="127"/>
      <c r="AZ310" s="127"/>
      <c r="BA310" s="127"/>
      <c r="BB310" s="127"/>
      <c r="BC310" s="127"/>
      <c r="BD310" s="127"/>
      <c r="BE310" s="127"/>
      <c r="BF310" s="127"/>
      <c r="BG310" s="127"/>
      <c r="BH310" s="127"/>
      <c r="BI310" s="127"/>
      <c r="BJ310" s="127"/>
      <c r="BK310" s="127"/>
      <c r="BL310" s="127"/>
      <c r="BM310" s="127"/>
      <c r="BN310" s="127"/>
      <c r="BO310" s="127"/>
      <c r="BP310" s="127"/>
      <c r="BQ310" s="127"/>
      <c r="BR310" s="127"/>
      <c r="BS310" s="127"/>
      <c r="BT310" s="127"/>
      <c r="BU310" s="127"/>
      <c r="BV310" s="127"/>
      <c r="BW310" s="127"/>
      <c r="BX310" s="127"/>
      <c r="BY310" s="127"/>
      <c r="BZ310" s="127"/>
      <c r="CA310" s="127"/>
      <c r="CB310" s="127"/>
      <c r="CC310" s="127"/>
      <c r="CD310" s="127"/>
      <c r="CE310" s="127"/>
      <c r="CF310" s="127"/>
      <c r="CG310" s="127"/>
      <c r="CH310" s="127"/>
      <c r="CI310" s="127"/>
    </row>
    <row r="311" spans="1:87" x14ac:dyDescent="0.25">
      <c r="A311" s="1"/>
      <c r="B311" s="1"/>
      <c r="F311" s="1"/>
      <c r="G311" s="1"/>
      <c r="AJ311" s="127"/>
      <c r="AK311" s="127"/>
      <c r="AL311" s="127"/>
      <c r="AM311" s="127"/>
      <c r="AN311" s="127"/>
      <c r="AO311" s="127"/>
      <c r="AP311" s="127"/>
      <c r="AQ311" s="127"/>
      <c r="AR311" s="127"/>
      <c r="AS311" s="127"/>
      <c r="AT311" s="127"/>
      <c r="AU311" s="127"/>
      <c r="AV311" s="127"/>
      <c r="AW311" s="127"/>
      <c r="AX311" s="127"/>
      <c r="AY311" s="127"/>
      <c r="AZ311" s="127"/>
      <c r="BA311" s="127"/>
      <c r="BB311" s="127"/>
      <c r="BC311" s="127"/>
      <c r="BD311" s="127"/>
      <c r="BE311" s="127"/>
      <c r="BF311" s="127"/>
      <c r="BG311" s="127"/>
      <c r="BH311" s="127"/>
      <c r="BI311" s="127"/>
      <c r="BJ311" s="127"/>
      <c r="BK311" s="127"/>
      <c r="BL311" s="127"/>
      <c r="BM311" s="127"/>
      <c r="BN311" s="127"/>
      <c r="BO311" s="127"/>
      <c r="BP311" s="127"/>
      <c r="BQ311" s="127"/>
      <c r="BR311" s="127"/>
      <c r="BS311" s="127"/>
      <c r="BT311" s="127"/>
      <c r="BU311" s="127"/>
      <c r="BV311" s="127"/>
      <c r="BW311" s="127"/>
      <c r="BX311" s="127"/>
      <c r="BY311" s="127"/>
      <c r="BZ311" s="127"/>
      <c r="CA311" s="127"/>
      <c r="CB311" s="127"/>
      <c r="CC311" s="127"/>
      <c r="CD311" s="127"/>
      <c r="CE311" s="127"/>
      <c r="CF311" s="127"/>
      <c r="CG311" s="127"/>
      <c r="CH311" s="127"/>
      <c r="CI311" s="127"/>
    </row>
    <row r="312" spans="1:87" x14ac:dyDescent="0.25">
      <c r="A312" s="1"/>
      <c r="B312" s="1"/>
      <c r="F312" s="1"/>
      <c r="G312" s="1"/>
      <c r="AJ312" s="127"/>
      <c r="AK312" s="127"/>
      <c r="AL312" s="127"/>
      <c r="AM312" s="127"/>
      <c r="AN312" s="127"/>
      <c r="AO312" s="127"/>
      <c r="AP312" s="127"/>
      <c r="AQ312" s="127"/>
      <c r="AR312" s="127"/>
      <c r="AS312" s="127"/>
      <c r="AT312" s="127"/>
      <c r="AU312" s="127"/>
      <c r="AV312" s="127"/>
      <c r="AW312" s="127"/>
      <c r="AX312" s="127"/>
      <c r="AY312" s="127"/>
      <c r="AZ312" s="127"/>
      <c r="BA312" s="127"/>
      <c r="BB312" s="127"/>
      <c r="BC312" s="127"/>
      <c r="BD312" s="127"/>
      <c r="BE312" s="127"/>
      <c r="BF312" s="127"/>
      <c r="BG312" s="127"/>
      <c r="BH312" s="127"/>
      <c r="BI312" s="127"/>
      <c r="BJ312" s="127"/>
      <c r="BK312" s="127"/>
      <c r="BL312" s="127"/>
      <c r="BM312" s="127"/>
      <c r="BN312" s="127"/>
      <c r="BO312" s="127"/>
      <c r="BP312" s="127"/>
      <c r="BQ312" s="127"/>
      <c r="BR312" s="127"/>
      <c r="BS312" s="127"/>
      <c r="BT312" s="127"/>
      <c r="BU312" s="127"/>
      <c r="BV312" s="127"/>
      <c r="BW312" s="127"/>
      <c r="BX312" s="127"/>
      <c r="BY312" s="127"/>
      <c r="BZ312" s="127"/>
      <c r="CA312" s="127"/>
      <c r="CB312" s="127"/>
      <c r="CC312" s="127"/>
      <c r="CD312" s="127"/>
      <c r="CE312" s="127"/>
      <c r="CF312" s="127"/>
      <c r="CG312" s="127"/>
      <c r="CH312" s="127"/>
      <c r="CI312" s="127"/>
    </row>
    <row r="313" spans="1:87" x14ac:dyDescent="0.25">
      <c r="A313" s="1"/>
      <c r="B313" s="1"/>
      <c r="F313" s="1"/>
      <c r="G313" s="1"/>
      <c r="AJ313" s="127"/>
      <c r="AK313" s="127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27"/>
      <c r="AV313" s="127"/>
      <c r="AW313" s="127"/>
      <c r="AX313" s="127"/>
      <c r="AY313" s="127"/>
      <c r="AZ313" s="127"/>
      <c r="BA313" s="127"/>
      <c r="BB313" s="127"/>
      <c r="BC313" s="127"/>
      <c r="BD313" s="127"/>
      <c r="BE313" s="127"/>
      <c r="BF313" s="127"/>
      <c r="BG313" s="127"/>
      <c r="BH313" s="127"/>
      <c r="BI313" s="127"/>
      <c r="BJ313" s="127"/>
      <c r="BK313" s="127"/>
      <c r="BL313" s="127"/>
      <c r="BM313" s="127"/>
      <c r="BN313" s="127"/>
      <c r="BO313" s="127"/>
      <c r="BP313" s="127"/>
      <c r="BQ313" s="127"/>
      <c r="BR313" s="127"/>
      <c r="BS313" s="127"/>
      <c r="BT313" s="127"/>
      <c r="BU313" s="127"/>
      <c r="BV313" s="127"/>
      <c r="BW313" s="127"/>
      <c r="BX313" s="127"/>
      <c r="BY313" s="127"/>
      <c r="BZ313" s="127"/>
      <c r="CA313" s="127"/>
      <c r="CB313" s="127"/>
      <c r="CC313" s="127"/>
      <c r="CD313" s="127"/>
      <c r="CE313" s="127"/>
      <c r="CF313" s="127"/>
      <c r="CG313" s="127"/>
      <c r="CH313" s="127"/>
      <c r="CI313" s="127"/>
    </row>
    <row r="314" spans="1:87" x14ac:dyDescent="0.25">
      <c r="A314" s="1"/>
      <c r="B314" s="1"/>
      <c r="F314" s="1"/>
      <c r="G314" s="1"/>
      <c r="AJ314" s="127"/>
      <c r="AK314" s="127"/>
      <c r="AL314" s="127"/>
      <c r="AM314" s="127"/>
      <c r="AN314" s="127"/>
      <c r="AO314" s="127"/>
      <c r="AP314" s="127"/>
      <c r="AQ314" s="127"/>
      <c r="AR314" s="127"/>
      <c r="AS314" s="127"/>
      <c r="AT314" s="127"/>
      <c r="AU314" s="127"/>
      <c r="AV314" s="127"/>
      <c r="AW314" s="127"/>
      <c r="AX314" s="127"/>
      <c r="AY314" s="127"/>
      <c r="AZ314" s="127"/>
      <c r="BA314" s="127"/>
      <c r="BB314" s="127"/>
      <c r="BC314" s="127"/>
      <c r="BD314" s="127"/>
      <c r="BE314" s="127"/>
      <c r="BF314" s="127"/>
      <c r="BG314" s="127"/>
      <c r="BH314" s="127"/>
      <c r="BI314" s="127"/>
      <c r="BJ314" s="127"/>
      <c r="BK314" s="127"/>
      <c r="BL314" s="127"/>
      <c r="BM314" s="127"/>
      <c r="BN314" s="127"/>
      <c r="BO314" s="127"/>
      <c r="BP314" s="127"/>
      <c r="BQ314" s="127"/>
      <c r="BR314" s="127"/>
      <c r="BS314" s="127"/>
      <c r="BT314" s="127"/>
      <c r="BU314" s="127"/>
      <c r="BV314" s="127"/>
      <c r="BW314" s="127"/>
      <c r="BX314" s="127"/>
      <c r="BY314" s="127"/>
      <c r="BZ314" s="127"/>
      <c r="CA314" s="127"/>
      <c r="CB314" s="127"/>
      <c r="CC314" s="127"/>
      <c r="CD314" s="127"/>
      <c r="CE314" s="127"/>
      <c r="CF314" s="127"/>
      <c r="CG314" s="127"/>
      <c r="CH314" s="127"/>
      <c r="CI314" s="127"/>
    </row>
    <row r="315" spans="1:87" x14ac:dyDescent="0.25">
      <c r="A315" s="1"/>
      <c r="B315" s="1"/>
      <c r="F315" s="1"/>
      <c r="G315" s="1"/>
      <c r="AJ315" s="127"/>
      <c r="AK315" s="127"/>
      <c r="AL315" s="127"/>
      <c r="AM315" s="127"/>
      <c r="AN315" s="127"/>
      <c r="AO315" s="127"/>
      <c r="AP315" s="127"/>
      <c r="AQ315" s="127"/>
      <c r="AR315" s="127"/>
      <c r="AS315" s="127"/>
      <c r="AT315" s="127"/>
      <c r="AU315" s="127"/>
      <c r="AV315" s="127"/>
      <c r="AW315" s="127"/>
      <c r="AX315" s="127"/>
      <c r="AY315" s="127"/>
      <c r="AZ315" s="127"/>
      <c r="BA315" s="127"/>
      <c r="BB315" s="127"/>
      <c r="BC315" s="127"/>
      <c r="BD315" s="127"/>
      <c r="BE315" s="127"/>
      <c r="BF315" s="127"/>
      <c r="BG315" s="127"/>
      <c r="BH315" s="127"/>
      <c r="BI315" s="127"/>
      <c r="BJ315" s="127"/>
      <c r="BK315" s="127"/>
      <c r="BL315" s="127"/>
      <c r="BM315" s="127"/>
      <c r="BN315" s="127"/>
      <c r="BO315" s="127"/>
      <c r="BP315" s="127"/>
      <c r="BQ315" s="127"/>
      <c r="BR315" s="127"/>
      <c r="BS315" s="127"/>
      <c r="BT315" s="127"/>
      <c r="BU315" s="127"/>
      <c r="BV315" s="127"/>
      <c r="BW315" s="127"/>
      <c r="BX315" s="127"/>
      <c r="BY315" s="127"/>
      <c r="BZ315" s="127"/>
      <c r="CA315" s="127"/>
      <c r="CB315" s="127"/>
      <c r="CC315" s="127"/>
      <c r="CD315" s="127"/>
      <c r="CE315" s="127"/>
      <c r="CF315" s="127"/>
      <c r="CG315" s="127"/>
      <c r="CH315" s="127"/>
      <c r="CI315" s="127"/>
    </row>
    <row r="316" spans="1:87" x14ac:dyDescent="0.25">
      <c r="A316" s="1"/>
      <c r="B316" s="1"/>
      <c r="F316" s="1"/>
      <c r="G316" s="1"/>
      <c r="AJ316" s="127"/>
      <c r="AK316" s="127"/>
      <c r="AL316" s="127"/>
      <c r="AM316" s="127"/>
      <c r="AN316" s="127"/>
      <c r="AO316" s="127"/>
      <c r="AP316" s="127"/>
      <c r="AQ316" s="127"/>
      <c r="AR316" s="127"/>
      <c r="AS316" s="127"/>
      <c r="AT316" s="127"/>
      <c r="AU316" s="127"/>
      <c r="AV316" s="127"/>
      <c r="AW316" s="127"/>
      <c r="AX316" s="127"/>
      <c r="AY316" s="127"/>
      <c r="AZ316" s="127"/>
      <c r="BA316" s="127"/>
      <c r="BB316" s="127"/>
      <c r="BC316" s="127"/>
      <c r="BD316" s="127"/>
      <c r="BE316" s="127"/>
      <c r="BF316" s="127"/>
      <c r="BG316" s="127"/>
      <c r="BH316" s="127"/>
      <c r="BI316" s="127"/>
      <c r="BJ316" s="127"/>
      <c r="BK316" s="127"/>
      <c r="BL316" s="127"/>
      <c r="BM316" s="127"/>
      <c r="BN316" s="127"/>
      <c r="BO316" s="127"/>
      <c r="BP316" s="127"/>
      <c r="BQ316" s="127"/>
      <c r="BR316" s="127"/>
      <c r="BS316" s="127"/>
      <c r="BT316" s="127"/>
      <c r="BU316" s="127"/>
      <c r="BV316" s="127"/>
      <c r="BW316" s="127"/>
      <c r="BX316" s="127"/>
      <c r="BY316" s="127"/>
      <c r="BZ316" s="127"/>
      <c r="CA316" s="127"/>
      <c r="CB316" s="127"/>
      <c r="CC316" s="127"/>
      <c r="CD316" s="127"/>
      <c r="CE316" s="127"/>
      <c r="CF316" s="127"/>
      <c r="CG316" s="127"/>
      <c r="CH316" s="127"/>
      <c r="CI316" s="127"/>
    </row>
    <row r="317" spans="1:87" x14ac:dyDescent="0.25">
      <c r="A317" s="1"/>
      <c r="B317" s="1"/>
      <c r="F317" s="1"/>
      <c r="G317" s="1"/>
      <c r="AJ317" s="127"/>
      <c r="AK317" s="127"/>
      <c r="AL317" s="127"/>
      <c r="AM317" s="127"/>
      <c r="AN317" s="127"/>
      <c r="AO317" s="127"/>
      <c r="AP317" s="127"/>
      <c r="AQ317" s="127"/>
      <c r="AR317" s="127"/>
      <c r="AS317" s="127"/>
      <c r="AT317" s="127"/>
      <c r="AU317" s="127"/>
      <c r="AV317" s="127"/>
      <c r="AW317" s="127"/>
      <c r="AX317" s="127"/>
      <c r="AY317" s="127"/>
      <c r="AZ317" s="127"/>
      <c r="BA317" s="127"/>
      <c r="BB317" s="127"/>
      <c r="BC317" s="127"/>
      <c r="BD317" s="127"/>
      <c r="BE317" s="127"/>
      <c r="BF317" s="127"/>
      <c r="BG317" s="127"/>
      <c r="BH317" s="127"/>
      <c r="BI317" s="127"/>
      <c r="BJ317" s="127"/>
      <c r="BK317" s="127"/>
      <c r="BL317" s="127"/>
      <c r="BM317" s="127"/>
      <c r="BN317" s="127"/>
      <c r="BO317" s="127"/>
      <c r="BP317" s="127"/>
      <c r="BQ317" s="127"/>
      <c r="BR317" s="127"/>
      <c r="BS317" s="127"/>
      <c r="BT317" s="127"/>
      <c r="BU317" s="127"/>
      <c r="BV317" s="127"/>
      <c r="BW317" s="127"/>
      <c r="BX317" s="127"/>
      <c r="BY317" s="127"/>
      <c r="BZ317" s="127"/>
      <c r="CA317" s="127"/>
      <c r="CB317" s="127"/>
      <c r="CC317" s="127"/>
      <c r="CD317" s="127"/>
      <c r="CE317" s="127"/>
      <c r="CF317" s="127"/>
      <c r="CG317" s="127"/>
      <c r="CH317" s="127"/>
      <c r="CI317" s="127"/>
    </row>
    <row r="318" spans="1:87" x14ac:dyDescent="0.25">
      <c r="A318" s="1"/>
      <c r="B318" s="1"/>
      <c r="F318" s="1"/>
      <c r="G318" s="1"/>
      <c r="AJ318" s="127"/>
      <c r="AK318" s="127"/>
      <c r="AL318" s="127"/>
      <c r="AM318" s="127"/>
      <c r="AN318" s="127"/>
      <c r="AO318" s="127"/>
      <c r="AP318" s="127"/>
      <c r="AQ318" s="127"/>
      <c r="AR318" s="127"/>
      <c r="AS318" s="127"/>
      <c r="AT318" s="127"/>
      <c r="AU318" s="127"/>
      <c r="AV318" s="127"/>
      <c r="AW318" s="127"/>
      <c r="AX318" s="127"/>
      <c r="AY318" s="127"/>
      <c r="AZ318" s="127"/>
      <c r="BA318" s="127"/>
      <c r="BB318" s="127"/>
      <c r="BC318" s="127"/>
      <c r="BD318" s="127"/>
      <c r="BE318" s="127"/>
      <c r="BF318" s="127"/>
      <c r="BG318" s="127"/>
      <c r="BH318" s="127"/>
      <c r="BI318" s="127"/>
      <c r="BJ318" s="127"/>
      <c r="BK318" s="127"/>
      <c r="BL318" s="127"/>
      <c r="BM318" s="127"/>
      <c r="BN318" s="127"/>
      <c r="BO318" s="127"/>
      <c r="BP318" s="127"/>
      <c r="BQ318" s="127"/>
      <c r="BR318" s="127"/>
      <c r="BS318" s="127"/>
      <c r="BT318" s="127"/>
      <c r="BU318" s="127"/>
      <c r="BV318" s="127"/>
      <c r="BW318" s="127"/>
      <c r="BX318" s="127"/>
      <c r="BY318" s="127"/>
      <c r="BZ318" s="127"/>
      <c r="CA318" s="127"/>
      <c r="CB318" s="127"/>
      <c r="CC318" s="127"/>
      <c r="CD318" s="127"/>
      <c r="CE318" s="127"/>
      <c r="CF318" s="127"/>
      <c r="CG318" s="127"/>
      <c r="CH318" s="127"/>
      <c r="CI318" s="127"/>
    </row>
    <row r="319" spans="1:87" x14ac:dyDescent="0.25">
      <c r="A319" s="1"/>
      <c r="B319" s="1"/>
      <c r="F319" s="1"/>
      <c r="G319" s="1"/>
      <c r="AJ319" s="127"/>
      <c r="AK319" s="127"/>
      <c r="AL319" s="127"/>
      <c r="AM319" s="127"/>
      <c r="AN319" s="127"/>
      <c r="AO319" s="127"/>
      <c r="AP319" s="127"/>
      <c r="AQ319" s="127"/>
      <c r="AR319" s="127"/>
      <c r="AS319" s="127"/>
      <c r="AT319" s="127"/>
      <c r="AU319" s="127"/>
      <c r="AV319" s="127"/>
      <c r="AW319" s="127"/>
      <c r="AX319" s="127"/>
      <c r="AY319" s="127"/>
      <c r="AZ319" s="127"/>
      <c r="BA319" s="127"/>
      <c r="BB319" s="127"/>
      <c r="BC319" s="127"/>
      <c r="BD319" s="127"/>
      <c r="BE319" s="127"/>
      <c r="BF319" s="127"/>
      <c r="BG319" s="127"/>
      <c r="BH319" s="127"/>
      <c r="BI319" s="127"/>
      <c r="BJ319" s="127"/>
      <c r="BK319" s="127"/>
      <c r="BL319" s="127"/>
      <c r="BM319" s="127"/>
      <c r="BN319" s="127"/>
      <c r="BO319" s="127"/>
      <c r="BP319" s="127"/>
      <c r="BQ319" s="127"/>
      <c r="BR319" s="127"/>
      <c r="BS319" s="127"/>
      <c r="BT319" s="127"/>
      <c r="BU319" s="127"/>
      <c r="BV319" s="127"/>
      <c r="BW319" s="127"/>
      <c r="BX319" s="127"/>
      <c r="BY319" s="127"/>
      <c r="BZ319" s="127"/>
      <c r="CA319" s="127"/>
      <c r="CB319" s="127"/>
      <c r="CC319" s="127"/>
      <c r="CD319" s="127"/>
      <c r="CE319" s="127"/>
      <c r="CF319" s="127"/>
      <c r="CG319" s="127"/>
      <c r="CH319" s="127"/>
      <c r="CI319" s="127"/>
    </row>
    <row r="320" spans="1:87" x14ac:dyDescent="0.25">
      <c r="A320" s="1"/>
      <c r="B320" s="1"/>
      <c r="F320" s="1"/>
      <c r="G320" s="1"/>
      <c r="AJ320" s="127"/>
      <c r="AK320" s="127"/>
      <c r="AL320" s="127"/>
      <c r="AM320" s="127"/>
      <c r="AN320" s="127"/>
      <c r="AO320" s="127"/>
      <c r="AP320" s="127"/>
      <c r="AQ320" s="127"/>
      <c r="AR320" s="127"/>
      <c r="AS320" s="127"/>
      <c r="AT320" s="127"/>
      <c r="AU320" s="127"/>
      <c r="AV320" s="127"/>
      <c r="AW320" s="127"/>
      <c r="AX320" s="127"/>
      <c r="AY320" s="127"/>
      <c r="AZ320" s="127"/>
      <c r="BA320" s="127"/>
      <c r="BB320" s="127"/>
      <c r="BC320" s="127"/>
      <c r="BD320" s="127"/>
      <c r="BE320" s="127"/>
      <c r="BF320" s="127"/>
      <c r="BG320" s="127"/>
      <c r="BH320" s="127"/>
      <c r="BI320" s="127"/>
      <c r="BJ320" s="127"/>
      <c r="BK320" s="127"/>
      <c r="BL320" s="127"/>
      <c r="BM320" s="127"/>
      <c r="BN320" s="127"/>
      <c r="BO320" s="127"/>
      <c r="BP320" s="127"/>
      <c r="BQ320" s="127"/>
      <c r="BR320" s="127"/>
      <c r="BS320" s="127"/>
      <c r="BT320" s="127"/>
      <c r="BU320" s="127"/>
      <c r="BV320" s="127"/>
      <c r="BW320" s="127"/>
      <c r="BX320" s="127"/>
      <c r="BY320" s="127"/>
      <c r="BZ320" s="127"/>
      <c r="CA320" s="127"/>
      <c r="CB320" s="127"/>
      <c r="CC320" s="127"/>
      <c r="CD320" s="127"/>
      <c r="CE320" s="127"/>
      <c r="CF320" s="127"/>
      <c r="CG320" s="127"/>
      <c r="CH320" s="127"/>
      <c r="CI320" s="127"/>
    </row>
    <row r="321" spans="1:87" x14ac:dyDescent="0.25">
      <c r="A321" s="1"/>
      <c r="B321" s="1"/>
      <c r="F321" s="1"/>
      <c r="G321" s="1"/>
      <c r="AJ321" s="127"/>
      <c r="AK321" s="127"/>
      <c r="AL321" s="127"/>
      <c r="AM321" s="127"/>
      <c r="AN321" s="127"/>
      <c r="AO321" s="127"/>
      <c r="AP321" s="127"/>
      <c r="AQ321" s="127"/>
      <c r="AR321" s="127"/>
      <c r="AS321" s="127"/>
      <c r="AT321" s="127"/>
      <c r="AU321" s="127"/>
      <c r="AV321" s="127"/>
      <c r="AW321" s="127"/>
      <c r="AX321" s="127"/>
      <c r="AY321" s="127"/>
      <c r="AZ321" s="127"/>
      <c r="BA321" s="127"/>
      <c r="BB321" s="127"/>
      <c r="BC321" s="127"/>
      <c r="BD321" s="127"/>
      <c r="BE321" s="127"/>
      <c r="BF321" s="127"/>
      <c r="BG321" s="127"/>
      <c r="BH321" s="127"/>
      <c r="BI321" s="127"/>
      <c r="BJ321" s="127"/>
      <c r="BK321" s="127"/>
      <c r="BL321" s="127"/>
      <c r="BM321" s="127"/>
      <c r="BN321" s="127"/>
      <c r="BO321" s="127"/>
      <c r="BP321" s="127"/>
      <c r="BQ321" s="127"/>
      <c r="BR321" s="127"/>
      <c r="BS321" s="127"/>
      <c r="BT321" s="127"/>
      <c r="BU321" s="127"/>
      <c r="BV321" s="127"/>
      <c r="BW321" s="127"/>
      <c r="BX321" s="127"/>
      <c r="BY321" s="127"/>
      <c r="BZ321" s="127"/>
      <c r="CA321" s="127"/>
      <c r="CB321" s="127"/>
      <c r="CC321" s="127"/>
      <c r="CD321" s="127"/>
      <c r="CE321" s="127"/>
      <c r="CF321" s="127"/>
      <c r="CG321" s="127"/>
      <c r="CH321" s="127"/>
      <c r="CI321" s="127"/>
    </row>
    <row r="322" spans="1:87" x14ac:dyDescent="0.25">
      <c r="A322" s="1"/>
      <c r="B322" s="1"/>
      <c r="F322" s="1"/>
      <c r="G322" s="1"/>
      <c r="AJ322" s="127"/>
      <c r="AK322" s="127"/>
      <c r="AL322" s="127"/>
      <c r="AM322" s="127"/>
      <c r="AN322" s="127"/>
      <c r="AO322" s="127"/>
      <c r="AP322" s="127"/>
      <c r="AQ322" s="127"/>
      <c r="AR322" s="127"/>
      <c r="AS322" s="127"/>
      <c r="AT322" s="127"/>
      <c r="AU322" s="127"/>
      <c r="AV322" s="127"/>
      <c r="AW322" s="127"/>
      <c r="AX322" s="127"/>
      <c r="AY322" s="127"/>
      <c r="AZ322" s="127"/>
      <c r="BA322" s="127"/>
      <c r="BB322" s="127"/>
      <c r="BC322" s="127"/>
      <c r="BD322" s="127"/>
      <c r="BE322" s="127"/>
      <c r="BF322" s="127"/>
      <c r="BG322" s="127"/>
      <c r="BH322" s="127"/>
      <c r="BI322" s="127"/>
      <c r="BJ322" s="127"/>
      <c r="BK322" s="127"/>
      <c r="BL322" s="127"/>
      <c r="BM322" s="127"/>
      <c r="BN322" s="127"/>
      <c r="BO322" s="127"/>
      <c r="BP322" s="127"/>
      <c r="BQ322" s="127"/>
      <c r="BR322" s="127"/>
      <c r="BS322" s="127"/>
      <c r="BT322" s="127"/>
      <c r="BU322" s="127"/>
      <c r="BV322" s="127"/>
      <c r="BW322" s="127"/>
      <c r="BX322" s="127"/>
      <c r="BY322" s="127"/>
      <c r="BZ322" s="127"/>
      <c r="CA322" s="127"/>
      <c r="CB322" s="127"/>
      <c r="CC322" s="127"/>
      <c r="CD322" s="127"/>
      <c r="CE322" s="127"/>
      <c r="CF322" s="127"/>
      <c r="CG322" s="127"/>
      <c r="CH322" s="127"/>
      <c r="CI322" s="127"/>
    </row>
    <row r="323" spans="1:87" x14ac:dyDescent="0.25">
      <c r="A323" s="1"/>
      <c r="B323" s="1"/>
      <c r="F323" s="1"/>
      <c r="G323" s="1"/>
      <c r="AJ323" s="127"/>
      <c r="AK323" s="127"/>
      <c r="AL323" s="127"/>
      <c r="AM323" s="127"/>
      <c r="AN323" s="127"/>
      <c r="AO323" s="127"/>
      <c r="AP323" s="127"/>
      <c r="AQ323" s="127"/>
      <c r="AR323" s="127"/>
      <c r="AS323" s="127"/>
      <c r="AT323" s="127"/>
      <c r="AU323" s="127"/>
      <c r="AV323" s="127"/>
      <c r="AW323" s="127"/>
      <c r="AX323" s="127"/>
      <c r="AY323" s="127"/>
      <c r="AZ323" s="127"/>
      <c r="BA323" s="127"/>
      <c r="BB323" s="127"/>
      <c r="BC323" s="127"/>
      <c r="BD323" s="127"/>
      <c r="BE323" s="127"/>
      <c r="BF323" s="127"/>
      <c r="BG323" s="127"/>
      <c r="BH323" s="127"/>
      <c r="BI323" s="127"/>
      <c r="BJ323" s="127"/>
      <c r="BK323" s="127"/>
      <c r="BL323" s="127"/>
      <c r="BM323" s="127"/>
      <c r="BN323" s="127"/>
      <c r="BO323" s="127"/>
      <c r="BP323" s="127"/>
      <c r="BQ323" s="127"/>
      <c r="BR323" s="127"/>
      <c r="BS323" s="127"/>
      <c r="BT323" s="127"/>
      <c r="BU323" s="127"/>
      <c r="BV323" s="127"/>
      <c r="BW323" s="127"/>
      <c r="BX323" s="127"/>
      <c r="BY323" s="127"/>
      <c r="BZ323" s="127"/>
      <c r="CA323" s="127"/>
      <c r="CB323" s="127"/>
      <c r="CC323" s="127"/>
      <c r="CD323" s="127"/>
      <c r="CE323" s="127"/>
      <c r="CF323" s="127"/>
      <c r="CG323" s="127"/>
      <c r="CH323" s="127"/>
      <c r="CI323" s="127"/>
    </row>
    <row r="324" spans="1:87" x14ac:dyDescent="0.25">
      <c r="A324" s="1"/>
      <c r="B324" s="1"/>
      <c r="F324" s="1"/>
      <c r="G324" s="1"/>
      <c r="AJ324" s="127"/>
      <c r="AK324" s="127"/>
      <c r="AL324" s="127"/>
      <c r="AM324" s="127"/>
      <c r="AN324" s="127"/>
      <c r="AO324" s="127"/>
      <c r="AP324" s="127"/>
      <c r="AQ324" s="127"/>
      <c r="AR324" s="127"/>
      <c r="AS324" s="127"/>
      <c r="AT324" s="127"/>
      <c r="AU324" s="127"/>
      <c r="AV324" s="127"/>
      <c r="AW324" s="127"/>
      <c r="AX324" s="127"/>
      <c r="AY324" s="127"/>
      <c r="AZ324" s="127"/>
      <c r="BA324" s="127"/>
      <c r="BB324" s="127"/>
      <c r="BC324" s="127"/>
      <c r="BD324" s="127"/>
      <c r="BE324" s="127"/>
      <c r="BF324" s="127"/>
      <c r="BG324" s="127"/>
      <c r="BH324" s="127"/>
      <c r="BI324" s="127"/>
      <c r="BJ324" s="127"/>
      <c r="BK324" s="127"/>
      <c r="BL324" s="127"/>
      <c r="BM324" s="127"/>
      <c r="BN324" s="127"/>
      <c r="BO324" s="127"/>
      <c r="BP324" s="127"/>
      <c r="BQ324" s="127"/>
      <c r="BR324" s="127"/>
      <c r="BS324" s="127"/>
      <c r="BT324" s="127"/>
      <c r="BU324" s="127"/>
      <c r="BV324" s="127"/>
      <c r="BW324" s="127"/>
      <c r="BX324" s="127"/>
      <c r="BY324" s="127"/>
      <c r="BZ324" s="127"/>
      <c r="CA324" s="127"/>
      <c r="CB324" s="127"/>
      <c r="CC324" s="127"/>
      <c r="CD324" s="127"/>
      <c r="CE324" s="127"/>
      <c r="CF324" s="127"/>
      <c r="CG324" s="127"/>
      <c r="CH324" s="127"/>
      <c r="CI324" s="127"/>
    </row>
    <row r="325" spans="1:87" x14ac:dyDescent="0.25">
      <c r="A325" s="1"/>
      <c r="B325" s="1"/>
      <c r="F325" s="1"/>
      <c r="G325" s="1"/>
      <c r="AJ325" s="127"/>
      <c r="AK325" s="127"/>
      <c r="AL325" s="127"/>
      <c r="AM325" s="127"/>
      <c r="AN325" s="127"/>
      <c r="AO325" s="127"/>
      <c r="AP325" s="127"/>
      <c r="AQ325" s="127"/>
      <c r="AR325" s="127"/>
      <c r="AS325" s="127"/>
      <c r="AT325" s="127"/>
      <c r="AU325" s="127"/>
      <c r="AV325" s="127"/>
      <c r="AW325" s="127"/>
      <c r="AX325" s="127"/>
      <c r="AY325" s="127"/>
      <c r="AZ325" s="127"/>
      <c r="BA325" s="127"/>
      <c r="BB325" s="127"/>
      <c r="BC325" s="127"/>
      <c r="BD325" s="127"/>
      <c r="BE325" s="127"/>
      <c r="BF325" s="127"/>
      <c r="BG325" s="127"/>
      <c r="BH325" s="127"/>
      <c r="BI325" s="127"/>
      <c r="BJ325" s="127"/>
      <c r="BK325" s="127"/>
      <c r="BL325" s="127"/>
      <c r="BM325" s="127"/>
      <c r="BN325" s="127"/>
      <c r="BO325" s="127"/>
      <c r="BP325" s="127"/>
      <c r="BQ325" s="127"/>
      <c r="BR325" s="127"/>
      <c r="BS325" s="127"/>
      <c r="BT325" s="127"/>
      <c r="BU325" s="127"/>
      <c r="BV325" s="127"/>
      <c r="BW325" s="127"/>
      <c r="BX325" s="127"/>
      <c r="BY325" s="127"/>
      <c r="BZ325" s="127"/>
      <c r="CA325" s="127"/>
      <c r="CB325" s="127"/>
      <c r="CC325" s="127"/>
      <c r="CD325" s="127"/>
      <c r="CE325" s="127"/>
      <c r="CF325" s="127"/>
      <c r="CG325" s="127"/>
      <c r="CH325" s="127"/>
      <c r="CI325" s="127"/>
    </row>
    <row r="326" spans="1:87" x14ac:dyDescent="0.25">
      <c r="A326" s="1"/>
      <c r="B326" s="1"/>
      <c r="F326" s="1"/>
      <c r="G326" s="1"/>
      <c r="AJ326" s="127"/>
      <c r="AK326" s="127"/>
      <c r="AL326" s="127"/>
      <c r="AM326" s="127"/>
      <c r="AN326" s="127"/>
      <c r="AO326" s="127"/>
      <c r="AP326" s="127"/>
      <c r="AQ326" s="127"/>
      <c r="AR326" s="127"/>
      <c r="AS326" s="127"/>
      <c r="AT326" s="127"/>
      <c r="AU326" s="127"/>
      <c r="AV326" s="127"/>
      <c r="AW326" s="127"/>
      <c r="AX326" s="127"/>
      <c r="AY326" s="127"/>
      <c r="AZ326" s="127"/>
      <c r="BA326" s="127"/>
      <c r="BB326" s="127"/>
      <c r="BC326" s="127"/>
      <c r="BD326" s="127"/>
      <c r="BE326" s="127"/>
      <c r="BF326" s="127"/>
      <c r="BG326" s="127"/>
      <c r="BH326" s="127"/>
      <c r="BI326" s="127"/>
      <c r="BJ326" s="127"/>
      <c r="BK326" s="127"/>
      <c r="BL326" s="127"/>
      <c r="BM326" s="127"/>
      <c r="BN326" s="127"/>
      <c r="BO326" s="127"/>
      <c r="BP326" s="127"/>
      <c r="BQ326" s="127"/>
      <c r="BR326" s="127"/>
      <c r="BS326" s="127"/>
      <c r="BT326" s="127"/>
      <c r="BU326" s="127"/>
      <c r="BV326" s="127"/>
      <c r="BW326" s="127"/>
      <c r="BX326" s="127"/>
      <c r="BY326" s="127"/>
      <c r="BZ326" s="127"/>
      <c r="CA326" s="127"/>
      <c r="CB326" s="127"/>
      <c r="CC326" s="127"/>
      <c r="CD326" s="127"/>
      <c r="CE326" s="127"/>
      <c r="CF326" s="127"/>
      <c r="CG326" s="127"/>
      <c r="CH326" s="127"/>
      <c r="CI326" s="127"/>
    </row>
    <row r="327" spans="1:87" x14ac:dyDescent="0.25">
      <c r="A327" s="1"/>
      <c r="B327" s="1"/>
      <c r="F327" s="1"/>
      <c r="G327" s="1"/>
      <c r="AJ327" s="127"/>
      <c r="AK327" s="127"/>
      <c r="AL327" s="127"/>
      <c r="AM327" s="127"/>
      <c r="AN327" s="127"/>
      <c r="AO327" s="127"/>
      <c r="AP327" s="127"/>
      <c r="AQ327" s="127"/>
      <c r="AR327" s="127"/>
      <c r="AS327" s="127"/>
      <c r="AT327" s="127"/>
      <c r="AU327" s="127"/>
      <c r="AV327" s="127"/>
      <c r="AW327" s="127"/>
      <c r="AX327" s="127"/>
      <c r="AY327" s="127"/>
      <c r="AZ327" s="127"/>
      <c r="BA327" s="127"/>
      <c r="BB327" s="127"/>
      <c r="BC327" s="127"/>
      <c r="BD327" s="127"/>
      <c r="BE327" s="127"/>
      <c r="BF327" s="127"/>
      <c r="BG327" s="127"/>
      <c r="BH327" s="127"/>
      <c r="BI327" s="127"/>
      <c r="BJ327" s="127"/>
      <c r="BK327" s="127"/>
      <c r="BL327" s="127"/>
      <c r="BM327" s="127"/>
      <c r="BN327" s="127"/>
      <c r="BO327" s="127"/>
      <c r="BP327" s="127"/>
      <c r="BQ327" s="127"/>
      <c r="BR327" s="127"/>
      <c r="BS327" s="127"/>
      <c r="BT327" s="127"/>
      <c r="BU327" s="127"/>
      <c r="BV327" s="127"/>
      <c r="BW327" s="127"/>
      <c r="BX327" s="127"/>
      <c r="BY327" s="127"/>
      <c r="BZ327" s="127"/>
      <c r="CA327" s="127"/>
      <c r="CB327" s="127"/>
      <c r="CC327" s="127"/>
      <c r="CD327" s="127"/>
      <c r="CE327" s="127"/>
      <c r="CF327" s="127"/>
      <c r="CG327" s="127"/>
      <c r="CH327" s="127"/>
      <c r="CI327" s="127"/>
    </row>
    <row r="328" spans="1:87" x14ac:dyDescent="0.25">
      <c r="A328" s="1"/>
      <c r="B328" s="1"/>
      <c r="F328" s="1"/>
      <c r="G328" s="1"/>
      <c r="AJ328" s="127"/>
      <c r="AK328" s="127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27"/>
      <c r="AV328" s="127"/>
      <c r="AW328" s="127"/>
      <c r="AX328" s="127"/>
      <c r="AY328" s="127"/>
      <c r="AZ328" s="127"/>
      <c r="BA328" s="127"/>
      <c r="BB328" s="127"/>
      <c r="BC328" s="127"/>
      <c r="BD328" s="127"/>
      <c r="BE328" s="127"/>
      <c r="BF328" s="127"/>
      <c r="BG328" s="127"/>
      <c r="BH328" s="127"/>
      <c r="BI328" s="127"/>
      <c r="BJ328" s="127"/>
      <c r="BK328" s="127"/>
      <c r="BL328" s="127"/>
      <c r="BM328" s="127"/>
      <c r="BN328" s="127"/>
      <c r="BO328" s="127"/>
      <c r="BP328" s="127"/>
      <c r="BQ328" s="127"/>
      <c r="BR328" s="127"/>
      <c r="BS328" s="127"/>
      <c r="BT328" s="127"/>
      <c r="BU328" s="127"/>
      <c r="BV328" s="127"/>
      <c r="BW328" s="127"/>
      <c r="BX328" s="127"/>
      <c r="BY328" s="127"/>
      <c r="BZ328" s="127"/>
      <c r="CA328" s="127"/>
      <c r="CB328" s="127"/>
      <c r="CC328" s="127"/>
      <c r="CD328" s="127"/>
      <c r="CE328" s="127"/>
      <c r="CF328" s="127"/>
      <c r="CG328" s="127"/>
      <c r="CH328" s="127"/>
      <c r="CI328" s="127"/>
    </row>
    <row r="329" spans="1:87" x14ac:dyDescent="0.25">
      <c r="A329" s="1"/>
      <c r="B329" s="1"/>
      <c r="F329" s="1"/>
      <c r="G329" s="1"/>
      <c r="AJ329" s="127"/>
      <c r="AK329" s="127"/>
      <c r="AL329" s="127"/>
      <c r="AM329" s="127"/>
      <c r="AN329" s="127"/>
      <c r="AO329" s="127"/>
      <c r="AP329" s="127"/>
      <c r="AQ329" s="127"/>
      <c r="AR329" s="127"/>
      <c r="AS329" s="127"/>
      <c r="AT329" s="127"/>
      <c r="AU329" s="127"/>
      <c r="AV329" s="127"/>
      <c r="AW329" s="127"/>
      <c r="AX329" s="127"/>
      <c r="AY329" s="127"/>
      <c r="AZ329" s="127"/>
      <c r="BA329" s="127"/>
      <c r="BB329" s="127"/>
      <c r="BC329" s="127"/>
      <c r="BD329" s="127"/>
      <c r="BE329" s="127"/>
      <c r="BF329" s="127"/>
      <c r="BG329" s="127"/>
      <c r="BH329" s="127"/>
      <c r="BI329" s="127"/>
      <c r="BJ329" s="127"/>
      <c r="BK329" s="127"/>
      <c r="BL329" s="127"/>
      <c r="BM329" s="127"/>
      <c r="BN329" s="127"/>
      <c r="BO329" s="127"/>
      <c r="BP329" s="127"/>
      <c r="BQ329" s="127"/>
      <c r="BR329" s="127"/>
      <c r="BS329" s="127"/>
      <c r="BT329" s="127"/>
      <c r="BU329" s="127"/>
      <c r="BV329" s="127"/>
      <c r="BW329" s="127"/>
      <c r="BX329" s="127"/>
      <c r="BY329" s="127"/>
      <c r="BZ329" s="127"/>
      <c r="CA329" s="127"/>
      <c r="CB329" s="127"/>
      <c r="CC329" s="127"/>
      <c r="CD329" s="127"/>
      <c r="CE329" s="127"/>
      <c r="CF329" s="127"/>
      <c r="CG329" s="127"/>
      <c r="CH329" s="127"/>
      <c r="CI329" s="127"/>
    </row>
    <row r="330" spans="1:87" x14ac:dyDescent="0.25">
      <c r="A330" s="1"/>
      <c r="B330" s="1"/>
      <c r="F330" s="1"/>
      <c r="G330" s="1"/>
      <c r="AJ330" s="127"/>
      <c r="AK330" s="127"/>
      <c r="AL330" s="127"/>
      <c r="AM330" s="127"/>
      <c r="AN330" s="127"/>
      <c r="AO330" s="127"/>
      <c r="AP330" s="127"/>
      <c r="AQ330" s="127"/>
      <c r="AR330" s="127"/>
      <c r="AS330" s="127"/>
      <c r="AT330" s="127"/>
      <c r="AU330" s="127"/>
      <c r="AV330" s="127"/>
      <c r="AW330" s="127"/>
      <c r="AX330" s="127"/>
      <c r="AY330" s="127"/>
      <c r="AZ330" s="127"/>
      <c r="BA330" s="127"/>
      <c r="BB330" s="127"/>
      <c r="BC330" s="127"/>
      <c r="BD330" s="127"/>
      <c r="BE330" s="127"/>
      <c r="BF330" s="127"/>
      <c r="BG330" s="127"/>
      <c r="BH330" s="127"/>
      <c r="BI330" s="127"/>
      <c r="BJ330" s="127"/>
      <c r="BK330" s="127"/>
      <c r="BL330" s="127"/>
      <c r="BM330" s="127"/>
      <c r="BN330" s="127"/>
      <c r="BO330" s="127"/>
      <c r="BP330" s="127"/>
      <c r="BQ330" s="127"/>
      <c r="BR330" s="127"/>
      <c r="BS330" s="127"/>
      <c r="BT330" s="127"/>
      <c r="BU330" s="127"/>
      <c r="BV330" s="127"/>
      <c r="BW330" s="127"/>
      <c r="BX330" s="127"/>
      <c r="BY330" s="127"/>
      <c r="BZ330" s="127"/>
      <c r="CA330" s="127"/>
      <c r="CB330" s="127"/>
      <c r="CC330" s="127"/>
      <c r="CD330" s="127"/>
      <c r="CE330" s="127"/>
      <c r="CF330" s="127"/>
      <c r="CG330" s="127"/>
      <c r="CH330" s="127"/>
      <c r="CI330" s="127"/>
    </row>
    <row r="331" spans="1:87" x14ac:dyDescent="0.25">
      <c r="A331" s="1"/>
      <c r="B331" s="1"/>
      <c r="F331" s="1"/>
      <c r="G331" s="1"/>
      <c r="AJ331" s="127"/>
      <c r="AK331" s="127"/>
      <c r="AL331" s="127"/>
      <c r="AM331" s="127"/>
      <c r="AN331" s="127"/>
      <c r="AO331" s="127"/>
      <c r="AP331" s="127"/>
      <c r="AQ331" s="127"/>
      <c r="AR331" s="127"/>
      <c r="AS331" s="127"/>
      <c r="AT331" s="127"/>
      <c r="AU331" s="127"/>
      <c r="AV331" s="127"/>
      <c r="AW331" s="127"/>
      <c r="AX331" s="127"/>
      <c r="AY331" s="127"/>
      <c r="AZ331" s="127"/>
      <c r="BA331" s="127"/>
      <c r="BB331" s="127"/>
      <c r="BC331" s="127"/>
      <c r="BD331" s="127"/>
      <c r="BE331" s="127"/>
      <c r="BF331" s="127"/>
      <c r="BG331" s="127"/>
      <c r="BH331" s="127"/>
      <c r="BI331" s="127"/>
      <c r="BJ331" s="127"/>
      <c r="BK331" s="127"/>
      <c r="BL331" s="127"/>
      <c r="BM331" s="127"/>
      <c r="BN331" s="127"/>
      <c r="BO331" s="127"/>
      <c r="BP331" s="127"/>
      <c r="BQ331" s="127"/>
      <c r="BR331" s="127"/>
      <c r="BS331" s="127"/>
      <c r="BT331" s="127"/>
      <c r="BU331" s="127"/>
      <c r="BV331" s="127"/>
      <c r="BW331" s="127"/>
      <c r="BX331" s="127"/>
      <c r="BY331" s="127"/>
      <c r="BZ331" s="127"/>
      <c r="CA331" s="127"/>
      <c r="CB331" s="127"/>
      <c r="CC331" s="127"/>
      <c r="CD331" s="127"/>
      <c r="CE331" s="127"/>
      <c r="CF331" s="127"/>
      <c r="CG331" s="127"/>
      <c r="CH331" s="127"/>
      <c r="CI331" s="127"/>
    </row>
    <row r="332" spans="1:87" x14ac:dyDescent="0.25">
      <c r="A332" s="1"/>
      <c r="B332" s="1"/>
      <c r="F332" s="1"/>
      <c r="G332" s="1"/>
      <c r="AJ332" s="127"/>
      <c r="AK332" s="127"/>
      <c r="AL332" s="127"/>
      <c r="AM332" s="127"/>
      <c r="AN332" s="127"/>
      <c r="AO332" s="127"/>
      <c r="AP332" s="127"/>
      <c r="AQ332" s="127"/>
      <c r="AR332" s="127"/>
      <c r="AS332" s="127"/>
      <c r="AT332" s="127"/>
      <c r="AU332" s="127"/>
      <c r="AV332" s="127"/>
      <c r="AW332" s="127"/>
      <c r="AX332" s="127"/>
      <c r="AY332" s="127"/>
      <c r="AZ332" s="127"/>
      <c r="BA332" s="127"/>
      <c r="BB332" s="127"/>
      <c r="BC332" s="127"/>
      <c r="BD332" s="127"/>
      <c r="BE332" s="127"/>
      <c r="BF332" s="127"/>
      <c r="BG332" s="127"/>
      <c r="BH332" s="127"/>
      <c r="BI332" s="127"/>
      <c r="BJ332" s="127"/>
      <c r="BK332" s="127"/>
      <c r="BL332" s="127"/>
      <c r="BM332" s="127"/>
      <c r="BN332" s="127"/>
      <c r="BO332" s="127"/>
      <c r="BP332" s="127"/>
      <c r="BQ332" s="127"/>
      <c r="BR332" s="127"/>
      <c r="BS332" s="127"/>
      <c r="BT332" s="127"/>
      <c r="BU332" s="127"/>
      <c r="BV332" s="127"/>
      <c r="BW332" s="127"/>
      <c r="BX332" s="127"/>
      <c r="BY332" s="127"/>
      <c r="BZ332" s="127"/>
      <c r="CA332" s="127"/>
      <c r="CB332" s="127"/>
      <c r="CC332" s="127"/>
      <c r="CD332" s="127"/>
      <c r="CE332" s="127"/>
      <c r="CF332" s="127"/>
      <c r="CG332" s="127"/>
      <c r="CH332" s="127"/>
      <c r="CI332" s="127"/>
    </row>
    <row r="333" spans="1:87" x14ac:dyDescent="0.25">
      <c r="A333" s="1"/>
      <c r="B333" s="1"/>
      <c r="F333" s="1"/>
      <c r="G333" s="1"/>
      <c r="AJ333" s="127"/>
      <c r="AK333" s="127"/>
      <c r="AL333" s="127"/>
      <c r="AM333" s="127"/>
      <c r="AN333" s="127"/>
      <c r="AO333" s="127"/>
      <c r="AP333" s="127"/>
      <c r="AQ333" s="127"/>
      <c r="AR333" s="127"/>
      <c r="AS333" s="127"/>
      <c r="AT333" s="127"/>
      <c r="AU333" s="127"/>
      <c r="AV333" s="127"/>
      <c r="AW333" s="127"/>
      <c r="AX333" s="127"/>
      <c r="AY333" s="127"/>
      <c r="AZ333" s="127"/>
      <c r="BA333" s="127"/>
      <c r="BB333" s="127"/>
      <c r="BC333" s="127"/>
      <c r="BD333" s="127"/>
      <c r="BE333" s="127"/>
      <c r="BF333" s="127"/>
      <c r="BG333" s="127"/>
      <c r="BH333" s="127"/>
      <c r="BI333" s="127"/>
      <c r="BJ333" s="127"/>
      <c r="BK333" s="127"/>
      <c r="BL333" s="127"/>
      <c r="BM333" s="127"/>
      <c r="BN333" s="127"/>
      <c r="BO333" s="127"/>
      <c r="BP333" s="127"/>
      <c r="BQ333" s="127"/>
      <c r="BR333" s="127"/>
      <c r="BS333" s="127"/>
      <c r="BT333" s="127"/>
      <c r="BU333" s="127"/>
      <c r="BV333" s="127"/>
      <c r="BW333" s="127"/>
      <c r="BX333" s="127"/>
      <c r="BY333" s="127"/>
      <c r="BZ333" s="127"/>
      <c r="CA333" s="127"/>
      <c r="CB333" s="127"/>
      <c r="CC333" s="127"/>
      <c r="CD333" s="127"/>
      <c r="CE333" s="127"/>
      <c r="CF333" s="127"/>
      <c r="CG333" s="127"/>
      <c r="CH333" s="127"/>
      <c r="CI333" s="127"/>
    </row>
    <row r="334" spans="1:87" x14ac:dyDescent="0.25">
      <c r="A334" s="1"/>
      <c r="B334" s="1"/>
      <c r="F334" s="1"/>
      <c r="G334" s="1"/>
      <c r="AJ334" s="127"/>
      <c r="AK334" s="127"/>
      <c r="AL334" s="127"/>
      <c r="AM334" s="127"/>
      <c r="AN334" s="127"/>
      <c r="AO334" s="127"/>
      <c r="AP334" s="127"/>
      <c r="AQ334" s="127"/>
      <c r="AR334" s="127"/>
      <c r="AS334" s="127"/>
      <c r="AT334" s="127"/>
      <c r="AU334" s="127"/>
      <c r="AV334" s="127"/>
      <c r="AW334" s="127"/>
      <c r="AX334" s="127"/>
      <c r="AY334" s="127"/>
      <c r="AZ334" s="127"/>
      <c r="BA334" s="127"/>
      <c r="BB334" s="127"/>
      <c r="BC334" s="127"/>
      <c r="BD334" s="127"/>
      <c r="BE334" s="127"/>
      <c r="BF334" s="127"/>
      <c r="BG334" s="127"/>
      <c r="BH334" s="127"/>
      <c r="BI334" s="127"/>
      <c r="BJ334" s="127"/>
      <c r="BK334" s="127"/>
      <c r="BL334" s="127"/>
      <c r="BM334" s="127"/>
      <c r="BN334" s="127"/>
      <c r="BO334" s="127"/>
      <c r="BP334" s="127"/>
      <c r="BQ334" s="127"/>
      <c r="BR334" s="127"/>
      <c r="BS334" s="127"/>
      <c r="BT334" s="127"/>
      <c r="BU334" s="127"/>
      <c r="BV334" s="127"/>
      <c r="BW334" s="127"/>
      <c r="BX334" s="127"/>
      <c r="BY334" s="127"/>
      <c r="BZ334" s="127"/>
      <c r="CA334" s="127"/>
      <c r="CB334" s="127"/>
      <c r="CC334" s="127"/>
      <c r="CD334" s="127"/>
      <c r="CE334" s="127"/>
      <c r="CF334" s="127"/>
      <c r="CG334" s="127"/>
      <c r="CH334" s="127"/>
      <c r="CI334" s="127"/>
    </row>
    <row r="335" spans="1:87" x14ac:dyDescent="0.25">
      <c r="A335" s="1"/>
      <c r="B335" s="1"/>
      <c r="F335" s="1"/>
      <c r="G335" s="1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  <c r="BA335" s="127"/>
      <c r="BB335" s="127"/>
      <c r="BC335" s="127"/>
      <c r="BD335" s="127"/>
      <c r="BE335" s="127"/>
      <c r="BF335" s="127"/>
      <c r="BG335" s="127"/>
      <c r="BH335" s="127"/>
      <c r="BI335" s="127"/>
      <c r="BJ335" s="127"/>
      <c r="BK335" s="127"/>
      <c r="BL335" s="127"/>
      <c r="BM335" s="127"/>
      <c r="BN335" s="127"/>
      <c r="BO335" s="127"/>
      <c r="BP335" s="127"/>
      <c r="BQ335" s="127"/>
      <c r="BR335" s="127"/>
      <c r="BS335" s="127"/>
      <c r="BT335" s="127"/>
      <c r="BU335" s="127"/>
      <c r="BV335" s="127"/>
      <c r="BW335" s="127"/>
      <c r="BX335" s="127"/>
      <c r="BY335" s="127"/>
      <c r="BZ335" s="127"/>
      <c r="CA335" s="127"/>
      <c r="CB335" s="127"/>
      <c r="CC335" s="127"/>
      <c r="CD335" s="127"/>
      <c r="CE335" s="127"/>
      <c r="CF335" s="127"/>
      <c r="CG335" s="127"/>
      <c r="CH335" s="127"/>
      <c r="CI335" s="127"/>
    </row>
    <row r="336" spans="1:87" x14ac:dyDescent="0.25">
      <c r="A336" s="1"/>
      <c r="B336" s="1"/>
      <c r="F336" s="1"/>
      <c r="G336" s="1"/>
      <c r="AJ336" s="127"/>
      <c r="AK336" s="127"/>
      <c r="AL336" s="127"/>
      <c r="AM336" s="127"/>
      <c r="AN336" s="127"/>
      <c r="AO336" s="127"/>
      <c r="AP336" s="127"/>
      <c r="AQ336" s="127"/>
      <c r="AR336" s="127"/>
      <c r="AS336" s="127"/>
      <c r="AT336" s="127"/>
      <c r="AU336" s="127"/>
      <c r="AV336" s="127"/>
      <c r="AW336" s="127"/>
      <c r="AX336" s="127"/>
      <c r="AY336" s="127"/>
      <c r="AZ336" s="127"/>
      <c r="BA336" s="127"/>
      <c r="BB336" s="127"/>
      <c r="BC336" s="127"/>
      <c r="BD336" s="127"/>
      <c r="BE336" s="127"/>
      <c r="BF336" s="127"/>
      <c r="BG336" s="127"/>
      <c r="BH336" s="127"/>
      <c r="BI336" s="127"/>
      <c r="BJ336" s="127"/>
      <c r="BK336" s="127"/>
      <c r="BL336" s="127"/>
      <c r="BM336" s="127"/>
      <c r="BN336" s="127"/>
      <c r="BO336" s="127"/>
      <c r="BP336" s="127"/>
      <c r="BQ336" s="127"/>
      <c r="BR336" s="127"/>
      <c r="BS336" s="127"/>
      <c r="BT336" s="127"/>
      <c r="BU336" s="127"/>
      <c r="BV336" s="127"/>
      <c r="BW336" s="127"/>
      <c r="BX336" s="127"/>
      <c r="BY336" s="127"/>
      <c r="BZ336" s="127"/>
      <c r="CA336" s="127"/>
      <c r="CB336" s="127"/>
      <c r="CC336" s="127"/>
      <c r="CD336" s="127"/>
      <c r="CE336" s="127"/>
      <c r="CF336" s="127"/>
      <c r="CG336" s="127"/>
      <c r="CH336" s="127"/>
      <c r="CI336" s="127"/>
    </row>
    <row r="337" spans="1:87" x14ac:dyDescent="0.25">
      <c r="A337" s="1"/>
      <c r="B337" s="1"/>
      <c r="F337" s="1"/>
      <c r="G337" s="1"/>
      <c r="AJ337" s="127"/>
      <c r="AK337" s="127"/>
      <c r="AL337" s="127"/>
      <c r="AM337" s="127"/>
      <c r="AN337" s="127"/>
      <c r="AO337" s="127"/>
      <c r="AP337" s="127"/>
      <c r="AQ337" s="127"/>
      <c r="AR337" s="127"/>
      <c r="AS337" s="127"/>
      <c r="AT337" s="127"/>
      <c r="AU337" s="127"/>
      <c r="AV337" s="127"/>
      <c r="AW337" s="127"/>
      <c r="AX337" s="127"/>
      <c r="AY337" s="127"/>
      <c r="AZ337" s="127"/>
      <c r="BA337" s="127"/>
      <c r="BB337" s="127"/>
      <c r="BC337" s="127"/>
      <c r="BD337" s="127"/>
      <c r="BE337" s="127"/>
      <c r="BF337" s="127"/>
      <c r="BG337" s="127"/>
      <c r="BH337" s="127"/>
      <c r="BI337" s="127"/>
      <c r="BJ337" s="127"/>
      <c r="BK337" s="127"/>
      <c r="BL337" s="127"/>
      <c r="BM337" s="127"/>
      <c r="BN337" s="127"/>
      <c r="BO337" s="127"/>
      <c r="BP337" s="127"/>
      <c r="BQ337" s="127"/>
      <c r="BR337" s="127"/>
      <c r="BS337" s="127"/>
      <c r="BT337" s="127"/>
      <c r="BU337" s="127"/>
      <c r="BV337" s="127"/>
      <c r="BW337" s="127"/>
      <c r="BX337" s="127"/>
      <c r="BY337" s="127"/>
      <c r="BZ337" s="127"/>
      <c r="CA337" s="127"/>
      <c r="CB337" s="127"/>
      <c r="CC337" s="127"/>
      <c r="CD337" s="127"/>
      <c r="CE337" s="127"/>
      <c r="CF337" s="127"/>
      <c r="CG337" s="127"/>
      <c r="CH337" s="127"/>
      <c r="CI337" s="127"/>
    </row>
    <row r="338" spans="1:87" x14ac:dyDescent="0.25">
      <c r="A338" s="1"/>
      <c r="B338" s="1"/>
      <c r="F338" s="1"/>
      <c r="G338" s="1"/>
      <c r="AJ338" s="127"/>
      <c r="AK338" s="127"/>
      <c r="AL338" s="127"/>
      <c r="AM338" s="127"/>
      <c r="AN338" s="127"/>
      <c r="AO338" s="127"/>
      <c r="AP338" s="127"/>
      <c r="AQ338" s="127"/>
      <c r="AR338" s="127"/>
      <c r="AS338" s="127"/>
      <c r="AT338" s="127"/>
      <c r="AU338" s="127"/>
      <c r="AV338" s="127"/>
      <c r="AW338" s="127"/>
      <c r="AX338" s="127"/>
      <c r="AY338" s="127"/>
      <c r="AZ338" s="127"/>
      <c r="BA338" s="127"/>
      <c r="BB338" s="127"/>
      <c r="BC338" s="127"/>
      <c r="BD338" s="127"/>
      <c r="BE338" s="127"/>
      <c r="BF338" s="127"/>
      <c r="BG338" s="127"/>
      <c r="BH338" s="127"/>
      <c r="BI338" s="127"/>
      <c r="BJ338" s="127"/>
      <c r="BK338" s="127"/>
      <c r="BL338" s="127"/>
      <c r="BM338" s="127"/>
      <c r="BN338" s="127"/>
      <c r="BO338" s="127"/>
      <c r="BP338" s="127"/>
      <c r="BQ338" s="127"/>
      <c r="BR338" s="127"/>
      <c r="BS338" s="127"/>
      <c r="BT338" s="127"/>
      <c r="BU338" s="127"/>
      <c r="BV338" s="127"/>
      <c r="BW338" s="127"/>
      <c r="BX338" s="127"/>
      <c r="BY338" s="127"/>
      <c r="BZ338" s="127"/>
      <c r="CA338" s="127"/>
      <c r="CB338" s="127"/>
      <c r="CC338" s="127"/>
      <c r="CD338" s="127"/>
      <c r="CE338" s="127"/>
      <c r="CF338" s="127"/>
      <c r="CG338" s="127"/>
      <c r="CH338" s="127"/>
      <c r="CI338" s="127"/>
    </row>
    <row r="339" spans="1:87" x14ac:dyDescent="0.25">
      <c r="A339" s="1"/>
      <c r="B339" s="1"/>
      <c r="F339" s="1"/>
      <c r="G339" s="1"/>
      <c r="AJ339" s="127"/>
      <c r="AK339" s="127"/>
      <c r="AL339" s="127"/>
      <c r="AM339" s="127"/>
      <c r="AN339" s="127"/>
      <c r="AO339" s="127"/>
      <c r="AP339" s="127"/>
      <c r="AQ339" s="127"/>
      <c r="AR339" s="127"/>
      <c r="AS339" s="127"/>
      <c r="AT339" s="127"/>
      <c r="AU339" s="127"/>
      <c r="AV339" s="127"/>
      <c r="AW339" s="127"/>
      <c r="AX339" s="127"/>
      <c r="AY339" s="127"/>
      <c r="AZ339" s="127"/>
      <c r="BA339" s="127"/>
      <c r="BB339" s="127"/>
      <c r="BC339" s="127"/>
      <c r="BD339" s="127"/>
      <c r="BE339" s="127"/>
      <c r="BF339" s="127"/>
      <c r="BG339" s="127"/>
      <c r="BH339" s="127"/>
      <c r="BI339" s="127"/>
      <c r="BJ339" s="127"/>
      <c r="BK339" s="127"/>
      <c r="BL339" s="127"/>
      <c r="BM339" s="127"/>
      <c r="BN339" s="127"/>
      <c r="BO339" s="127"/>
      <c r="BP339" s="127"/>
      <c r="BQ339" s="127"/>
      <c r="BR339" s="127"/>
      <c r="BS339" s="127"/>
      <c r="BT339" s="127"/>
      <c r="BU339" s="127"/>
      <c r="BV339" s="127"/>
      <c r="BW339" s="127"/>
      <c r="BX339" s="127"/>
      <c r="BY339" s="127"/>
      <c r="BZ339" s="127"/>
      <c r="CA339" s="127"/>
      <c r="CB339" s="127"/>
      <c r="CC339" s="127"/>
      <c r="CD339" s="127"/>
      <c r="CE339" s="127"/>
      <c r="CF339" s="127"/>
      <c r="CG339" s="127"/>
      <c r="CH339" s="127"/>
      <c r="CI339" s="127"/>
    </row>
    <row r="340" spans="1:87" x14ac:dyDescent="0.25">
      <c r="A340" s="1"/>
      <c r="B340" s="1"/>
      <c r="F340" s="1"/>
      <c r="G340" s="1"/>
      <c r="AJ340" s="127"/>
      <c r="AK340" s="127"/>
      <c r="AL340" s="127"/>
      <c r="AM340" s="127"/>
      <c r="AN340" s="127"/>
      <c r="AO340" s="127"/>
      <c r="AP340" s="127"/>
      <c r="AQ340" s="127"/>
      <c r="AR340" s="127"/>
      <c r="AS340" s="127"/>
      <c r="AT340" s="127"/>
      <c r="AU340" s="127"/>
      <c r="AV340" s="127"/>
      <c r="AW340" s="127"/>
      <c r="AX340" s="127"/>
      <c r="AY340" s="127"/>
      <c r="AZ340" s="127"/>
      <c r="BA340" s="127"/>
      <c r="BB340" s="127"/>
      <c r="BC340" s="127"/>
      <c r="BD340" s="127"/>
      <c r="BE340" s="127"/>
      <c r="BF340" s="127"/>
      <c r="BG340" s="127"/>
      <c r="BH340" s="127"/>
      <c r="BI340" s="127"/>
      <c r="BJ340" s="127"/>
      <c r="BK340" s="127"/>
      <c r="BL340" s="127"/>
      <c r="BM340" s="127"/>
      <c r="BN340" s="127"/>
      <c r="BO340" s="127"/>
      <c r="BP340" s="127"/>
      <c r="BQ340" s="127"/>
      <c r="BR340" s="127"/>
      <c r="BS340" s="127"/>
      <c r="BT340" s="127"/>
      <c r="BU340" s="127"/>
      <c r="BV340" s="127"/>
      <c r="BW340" s="127"/>
      <c r="BX340" s="127"/>
      <c r="BY340" s="127"/>
      <c r="BZ340" s="127"/>
      <c r="CA340" s="127"/>
      <c r="CB340" s="127"/>
      <c r="CC340" s="127"/>
      <c r="CD340" s="127"/>
      <c r="CE340" s="127"/>
      <c r="CF340" s="127"/>
      <c r="CG340" s="127"/>
      <c r="CH340" s="127"/>
      <c r="CI340" s="127"/>
    </row>
    <row r="341" spans="1:87" x14ac:dyDescent="0.25">
      <c r="A341" s="1"/>
      <c r="B341" s="1"/>
      <c r="F341" s="1"/>
      <c r="G341" s="1"/>
      <c r="AJ341" s="127"/>
      <c r="AK341" s="127"/>
      <c r="AL341" s="127"/>
      <c r="AM341" s="127"/>
      <c r="AN341" s="127"/>
      <c r="AO341" s="127"/>
      <c r="AP341" s="127"/>
      <c r="AQ341" s="127"/>
      <c r="AR341" s="127"/>
      <c r="AS341" s="127"/>
      <c r="AT341" s="127"/>
      <c r="AU341" s="127"/>
      <c r="AV341" s="127"/>
      <c r="AW341" s="127"/>
      <c r="AX341" s="127"/>
      <c r="AY341" s="127"/>
      <c r="AZ341" s="127"/>
      <c r="BA341" s="127"/>
      <c r="BB341" s="127"/>
      <c r="BC341" s="127"/>
      <c r="BD341" s="127"/>
      <c r="BE341" s="127"/>
      <c r="BF341" s="127"/>
      <c r="BG341" s="127"/>
      <c r="BH341" s="127"/>
      <c r="BI341" s="127"/>
      <c r="BJ341" s="127"/>
      <c r="BK341" s="127"/>
      <c r="BL341" s="127"/>
      <c r="BM341" s="127"/>
      <c r="BN341" s="127"/>
      <c r="BO341" s="127"/>
      <c r="BP341" s="127"/>
      <c r="BQ341" s="127"/>
      <c r="BR341" s="127"/>
      <c r="BS341" s="127"/>
      <c r="BT341" s="127"/>
      <c r="BU341" s="127"/>
      <c r="BV341" s="127"/>
      <c r="BW341" s="127"/>
      <c r="BX341" s="127"/>
      <c r="BY341" s="127"/>
      <c r="BZ341" s="127"/>
      <c r="CA341" s="127"/>
      <c r="CB341" s="127"/>
      <c r="CC341" s="127"/>
      <c r="CD341" s="127"/>
      <c r="CE341" s="127"/>
      <c r="CF341" s="127"/>
      <c r="CG341" s="127"/>
      <c r="CH341" s="127"/>
      <c r="CI341" s="127"/>
    </row>
    <row r="342" spans="1:87" x14ac:dyDescent="0.25">
      <c r="A342" s="1"/>
      <c r="B342" s="1"/>
      <c r="F342" s="1"/>
      <c r="G342" s="1"/>
      <c r="AJ342" s="127"/>
      <c r="AK342" s="127"/>
      <c r="AL342" s="127"/>
      <c r="AM342" s="127"/>
      <c r="AN342" s="127"/>
      <c r="AO342" s="127"/>
      <c r="AP342" s="127"/>
      <c r="AQ342" s="127"/>
      <c r="AR342" s="127"/>
      <c r="AS342" s="127"/>
      <c r="AT342" s="127"/>
      <c r="AU342" s="127"/>
      <c r="AV342" s="127"/>
      <c r="AW342" s="127"/>
      <c r="AX342" s="127"/>
      <c r="AY342" s="127"/>
      <c r="AZ342" s="127"/>
      <c r="BA342" s="127"/>
      <c r="BB342" s="127"/>
      <c r="BC342" s="127"/>
      <c r="BD342" s="127"/>
      <c r="BE342" s="127"/>
      <c r="BF342" s="127"/>
      <c r="BG342" s="127"/>
      <c r="BH342" s="127"/>
      <c r="BI342" s="127"/>
      <c r="BJ342" s="127"/>
      <c r="BK342" s="127"/>
      <c r="BL342" s="127"/>
      <c r="BM342" s="127"/>
      <c r="BN342" s="127"/>
      <c r="BO342" s="127"/>
      <c r="BP342" s="127"/>
      <c r="BQ342" s="127"/>
      <c r="BR342" s="127"/>
      <c r="BS342" s="127"/>
      <c r="BT342" s="127"/>
      <c r="BU342" s="127"/>
      <c r="BV342" s="127"/>
      <c r="BW342" s="127"/>
      <c r="BX342" s="127"/>
      <c r="BY342" s="127"/>
      <c r="BZ342" s="127"/>
      <c r="CA342" s="127"/>
      <c r="CB342" s="127"/>
      <c r="CC342" s="127"/>
      <c r="CD342" s="127"/>
      <c r="CE342" s="127"/>
      <c r="CF342" s="127"/>
      <c r="CG342" s="127"/>
      <c r="CH342" s="127"/>
      <c r="CI342" s="127"/>
    </row>
    <row r="343" spans="1:87" x14ac:dyDescent="0.25">
      <c r="A343" s="1"/>
      <c r="B343" s="1"/>
      <c r="F343" s="1"/>
      <c r="G343" s="1"/>
      <c r="AJ343" s="127"/>
      <c r="AK343" s="127"/>
      <c r="AL343" s="127"/>
      <c r="AM343" s="127"/>
      <c r="AN343" s="127"/>
      <c r="AO343" s="127"/>
      <c r="AP343" s="127"/>
      <c r="AQ343" s="127"/>
      <c r="AR343" s="127"/>
      <c r="AS343" s="127"/>
      <c r="AT343" s="127"/>
      <c r="AU343" s="127"/>
      <c r="AV343" s="127"/>
      <c r="AW343" s="127"/>
      <c r="AX343" s="127"/>
      <c r="AY343" s="127"/>
      <c r="AZ343" s="127"/>
      <c r="BA343" s="127"/>
      <c r="BB343" s="127"/>
      <c r="BC343" s="127"/>
      <c r="BD343" s="127"/>
      <c r="BE343" s="127"/>
      <c r="BF343" s="127"/>
      <c r="BG343" s="127"/>
      <c r="BH343" s="127"/>
      <c r="BI343" s="127"/>
      <c r="BJ343" s="127"/>
      <c r="BK343" s="127"/>
      <c r="BL343" s="127"/>
      <c r="BM343" s="127"/>
      <c r="BN343" s="127"/>
      <c r="BO343" s="127"/>
      <c r="BP343" s="127"/>
      <c r="BQ343" s="127"/>
      <c r="BR343" s="127"/>
      <c r="BS343" s="127"/>
      <c r="BT343" s="127"/>
      <c r="BU343" s="127"/>
      <c r="BV343" s="127"/>
      <c r="BW343" s="127"/>
      <c r="BX343" s="127"/>
      <c r="BY343" s="127"/>
      <c r="BZ343" s="127"/>
      <c r="CA343" s="127"/>
      <c r="CB343" s="127"/>
      <c r="CC343" s="127"/>
      <c r="CD343" s="127"/>
      <c r="CE343" s="127"/>
      <c r="CF343" s="127"/>
      <c r="CG343" s="127"/>
      <c r="CH343" s="127"/>
      <c r="CI343" s="127"/>
    </row>
    <row r="344" spans="1:87" x14ac:dyDescent="0.25">
      <c r="A344" s="1"/>
      <c r="B344" s="1"/>
      <c r="F344" s="1"/>
      <c r="G344" s="1"/>
      <c r="AJ344" s="127"/>
      <c r="AK344" s="127"/>
      <c r="AL344" s="127"/>
      <c r="AM344" s="127"/>
      <c r="AN344" s="127"/>
      <c r="AO344" s="127"/>
      <c r="AP344" s="127"/>
      <c r="AQ344" s="127"/>
      <c r="AR344" s="127"/>
      <c r="AS344" s="127"/>
      <c r="AT344" s="127"/>
      <c r="AU344" s="127"/>
      <c r="AV344" s="127"/>
      <c r="AW344" s="127"/>
      <c r="AX344" s="127"/>
      <c r="AY344" s="127"/>
      <c r="AZ344" s="127"/>
      <c r="BA344" s="127"/>
      <c r="BB344" s="127"/>
      <c r="BC344" s="127"/>
      <c r="BD344" s="127"/>
      <c r="BE344" s="127"/>
      <c r="BF344" s="127"/>
      <c r="BG344" s="127"/>
      <c r="BH344" s="127"/>
      <c r="BI344" s="127"/>
      <c r="BJ344" s="127"/>
      <c r="BK344" s="127"/>
      <c r="BL344" s="127"/>
      <c r="BM344" s="127"/>
      <c r="BN344" s="127"/>
      <c r="BO344" s="127"/>
      <c r="BP344" s="127"/>
      <c r="BQ344" s="127"/>
      <c r="BR344" s="127"/>
      <c r="BS344" s="127"/>
      <c r="BT344" s="127"/>
      <c r="BU344" s="127"/>
      <c r="BV344" s="127"/>
      <c r="BW344" s="127"/>
      <c r="BX344" s="127"/>
      <c r="BY344" s="127"/>
      <c r="BZ344" s="127"/>
      <c r="CA344" s="127"/>
      <c r="CB344" s="127"/>
      <c r="CC344" s="127"/>
      <c r="CD344" s="127"/>
      <c r="CE344" s="127"/>
      <c r="CF344" s="127"/>
      <c r="CG344" s="127"/>
      <c r="CH344" s="127"/>
      <c r="CI344" s="127"/>
    </row>
    <row r="345" spans="1:87" x14ac:dyDescent="0.25">
      <c r="A345" s="1"/>
      <c r="B345" s="1"/>
      <c r="F345" s="1"/>
      <c r="G345" s="1"/>
      <c r="AJ345" s="127"/>
      <c r="AK345" s="127"/>
      <c r="AL345" s="127"/>
      <c r="AM345" s="127"/>
      <c r="AN345" s="127"/>
      <c r="AO345" s="127"/>
      <c r="AP345" s="127"/>
      <c r="AQ345" s="127"/>
      <c r="AR345" s="127"/>
      <c r="AS345" s="127"/>
      <c r="AT345" s="127"/>
      <c r="AU345" s="127"/>
      <c r="AV345" s="127"/>
      <c r="AW345" s="127"/>
      <c r="AX345" s="127"/>
      <c r="AY345" s="127"/>
      <c r="AZ345" s="127"/>
      <c r="BA345" s="127"/>
      <c r="BB345" s="127"/>
      <c r="BC345" s="127"/>
      <c r="BD345" s="127"/>
      <c r="BE345" s="127"/>
      <c r="BF345" s="127"/>
      <c r="BG345" s="127"/>
      <c r="BH345" s="127"/>
      <c r="BI345" s="127"/>
      <c r="BJ345" s="127"/>
      <c r="BK345" s="127"/>
      <c r="BL345" s="127"/>
      <c r="BM345" s="127"/>
      <c r="BN345" s="127"/>
      <c r="BO345" s="127"/>
      <c r="BP345" s="127"/>
      <c r="BQ345" s="127"/>
      <c r="BR345" s="127"/>
      <c r="BS345" s="127"/>
      <c r="BT345" s="127"/>
      <c r="BU345" s="127"/>
      <c r="BV345" s="127"/>
      <c r="BW345" s="127"/>
      <c r="BX345" s="127"/>
      <c r="BY345" s="127"/>
      <c r="BZ345" s="127"/>
      <c r="CA345" s="127"/>
      <c r="CB345" s="127"/>
      <c r="CC345" s="127"/>
      <c r="CD345" s="127"/>
      <c r="CE345" s="127"/>
      <c r="CF345" s="127"/>
      <c r="CG345" s="127"/>
      <c r="CH345" s="127"/>
      <c r="CI345" s="127"/>
    </row>
    <row r="346" spans="1:87" x14ac:dyDescent="0.25">
      <c r="A346" s="1"/>
      <c r="B346" s="1"/>
      <c r="F346" s="1"/>
      <c r="G346" s="1"/>
      <c r="AJ346" s="127"/>
      <c r="AK346" s="127"/>
      <c r="AL346" s="127"/>
      <c r="AM346" s="127"/>
      <c r="AN346" s="127"/>
      <c r="AO346" s="127"/>
      <c r="AP346" s="127"/>
      <c r="AQ346" s="127"/>
      <c r="AR346" s="127"/>
      <c r="AS346" s="127"/>
      <c r="AT346" s="127"/>
      <c r="AU346" s="127"/>
      <c r="AV346" s="127"/>
      <c r="AW346" s="127"/>
      <c r="AX346" s="127"/>
      <c r="AY346" s="127"/>
      <c r="AZ346" s="127"/>
      <c r="BA346" s="127"/>
      <c r="BB346" s="127"/>
      <c r="BC346" s="127"/>
      <c r="BD346" s="127"/>
      <c r="BE346" s="127"/>
      <c r="BF346" s="127"/>
      <c r="BG346" s="127"/>
      <c r="BH346" s="127"/>
      <c r="BI346" s="127"/>
      <c r="BJ346" s="127"/>
      <c r="BK346" s="127"/>
      <c r="BL346" s="127"/>
      <c r="BM346" s="127"/>
      <c r="BN346" s="127"/>
      <c r="BO346" s="127"/>
      <c r="BP346" s="127"/>
      <c r="BQ346" s="127"/>
      <c r="BR346" s="127"/>
      <c r="BS346" s="127"/>
      <c r="BT346" s="127"/>
      <c r="BU346" s="127"/>
      <c r="BV346" s="127"/>
      <c r="BW346" s="127"/>
      <c r="BX346" s="127"/>
      <c r="BY346" s="127"/>
      <c r="BZ346" s="127"/>
      <c r="CA346" s="127"/>
      <c r="CB346" s="127"/>
      <c r="CC346" s="127"/>
      <c r="CD346" s="127"/>
      <c r="CE346" s="127"/>
      <c r="CF346" s="127"/>
      <c r="CG346" s="127"/>
      <c r="CH346" s="127"/>
      <c r="CI346" s="127"/>
    </row>
    <row r="347" spans="1:87" x14ac:dyDescent="0.25">
      <c r="A347" s="1"/>
      <c r="B347" s="1"/>
      <c r="F347" s="1"/>
      <c r="G347" s="1"/>
      <c r="AJ347" s="127"/>
      <c r="AK347" s="127"/>
      <c r="AL347" s="127"/>
      <c r="AM347" s="127"/>
      <c r="AN347" s="127"/>
      <c r="AO347" s="127"/>
      <c r="AP347" s="127"/>
      <c r="AQ347" s="127"/>
      <c r="AR347" s="127"/>
      <c r="AS347" s="127"/>
      <c r="AT347" s="127"/>
      <c r="AU347" s="127"/>
      <c r="AV347" s="127"/>
      <c r="AW347" s="127"/>
      <c r="AX347" s="127"/>
      <c r="AY347" s="127"/>
      <c r="AZ347" s="127"/>
      <c r="BA347" s="127"/>
      <c r="BB347" s="127"/>
      <c r="BC347" s="127"/>
      <c r="BD347" s="127"/>
      <c r="BE347" s="127"/>
      <c r="BF347" s="127"/>
      <c r="BG347" s="127"/>
      <c r="BH347" s="127"/>
      <c r="BI347" s="127"/>
      <c r="BJ347" s="127"/>
      <c r="BK347" s="127"/>
      <c r="BL347" s="127"/>
      <c r="BM347" s="127"/>
      <c r="BN347" s="127"/>
      <c r="BO347" s="127"/>
      <c r="BP347" s="127"/>
      <c r="BQ347" s="127"/>
      <c r="BR347" s="127"/>
      <c r="BS347" s="127"/>
      <c r="BT347" s="127"/>
      <c r="BU347" s="127"/>
      <c r="BV347" s="127"/>
      <c r="BW347" s="127"/>
      <c r="BX347" s="127"/>
      <c r="BY347" s="127"/>
      <c r="BZ347" s="127"/>
      <c r="CA347" s="127"/>
      <c r="CB347" s="127"/>
      <c r="CC347" s="127"/>
      <c r="CD347" s="127"/>
      <c r="CE347" s="127"/>
      <c r="CF347" s="127"/>
      <c r="CG347" s="127"/>
      <c r="CH347" s="127"/>
      <c r="CI347" s="127"/>
    </row>
    <row r="348" spans="1:87" x14ac:dyDescent="0.25">
      <c r="A348" s="1"/>
      <c r="B348" s="1"/>
      <c r="F348" s="1"/>
      <c r="G348" s="1"/>
      <c r="AJ348" s="127"/>
      <c r="AK348" s="127"/>
      <c r="AL348" s="127"/>
      <c r="AM348" s="127"/>
      <c r="AN348" s="127"/>
      <c r="AO348" s="127"/>
      <c r="AP348" s="127"/>
      <c r="AQ348" s="127"/>
      <c r="AR348" s="127"/>
      <c r="AS348" s="127"/>
      <c r="AT348" s="127"/>
      <c r="AU348" s="127"/>
      <c r="AV348" s="127"/>
      <c r="AW348" s="127"/>
      <c r="AX348" s="127"/>
      <c r="AY348" s="127"/>
      <c r="AZ348" s="127"/>
      <c r="BA348" s="127"/>
      <c r="BB348" s="127"/>
      <c r="BC348" s="127"/>
      <c r="BD348" s="127"/>
      <c r="BE348" s="127"/>
      <c r="BF348" s="127"/>
      <c r="BG348" s="127"/>
      <c r="BH348" s="127"/>
      <c r="BI348" s="127"/>
      <c r="BJ348" s="127"/>
      <c r="BK348" s="127"/>
      <c r="BL348" s="127"/>
      <c r="BM348" s="127"/>
      <c r="BN348" s="127"/>
      <c r="BO348" s="127"/>
      <c r="BP348" s="127"/>
      <c r="BQ348" s="127"/>
      <c r="BR348" s="127"/>
      <c r="BS348" s="127"/>
      <c r="BT348" s="127"/>
      <c r="BU348" s="127"/>
      <c r="BV348" s="127"/>
      <c r="BW348" s="127"/>
      <c r="BX348" s="127"/>
      <c r="BY348" s="127"/>
      <c r="BZ348" s="127"/>
      <c r="CA348" s="127"/>
      <c r="CB348" s="127"/>
      <c r="CC348" s="127"/>
      <c r="CD348" s="127"/>
      <c r="CE348" s="127"/>
      <c r="CF348" s="127"/>
      <c r="CG348" s="127"/>
      <c r="CH348" s="127"/>
      <c r="CI348" s="127"/>
    </row>
    <row r="349" spans="1:87" x14ac:dyDescent="0.25">
      <c r="A349" s="1"/>
      <c r="B349" s="1"/>
      <c r="F349" s="1"/>
      <c r="G349" s="1"/>
      <c r="AJ349" s="127"/>
      <c r="AK349" s="127"/>
      <c r="AL349" s="127"/>
      <c r="AM349" s="127"/>
      <c r="AN349" s="127"/>
      <c r="AO349" s="127"/>
      <c r="AP349" s="127"/>
      <c r="AQ349" s="127"/>
      <c r="AR349" s="127"/>
      <c r="AS349" s="127"/>
      <c r="AT349" s="127"/>
      <c r="AU349" s="127"/>
      <c r="AV349" s="127"/>
      <c r="AW349" s="127"/>
      <c r="AX349" s="127"/>
      <c r="AY349" s="127"/>
      <c r="AZ349" s="127"/>
      <c r="BA349" s="127"/>
      <c r="BB349" s="127"/>
      <c r="BC349" s="127"/>
      <c r="BD349" s="127"/>
      <c r="BE349" s="127"/>
      <c r="BF349" s="127"/>
      <c r="BG349" s="127"/>
      <c r="BH349" s="127"/>
      <c r="BI349" s="127"/>
      <c r="BJ349" s="127"/>
      <c r="BK349" s="127"/>
      <c r="BL349" s="127"/>
      <c r="BM349" s="127"/>
      <c r="BN349" s="127"/>
      <c r="BO349" s="127"/>
      <c r="BP349" s="127"/>
      <c r="BQ349" s="127"/>
      <c r="BR349" s="127"/>
      <c r="BS349" s="127"/>
      <c r="BT349" s="127"/>
      <c r="BU349" s="127"/>
      <c r="BV349" s="127"/>
      <c r="BW349" s="127"/>
      <c r="BX349" s="127"/>
      <c r="BY349" s="127"/>
      <c r="BZ349" s="127"/>
      <c r="CA349" s="127"/>
      <c r="CB349" s="127"/>
      <c r="CC349" s="127"/>
      <c r="CD349" s="127"/>
      <c r="CE349" s="127"/>
      <c r="CF349" s="127"/>
      <c r="CG349" s="127"/>
      <c r="CH349" s="127"/>
      <c r="CI349" s="127"/>
    </row>
    <row r="350" spans="1:87" x14ac:dyDescent="0.25">
      <c r="A350" s="1"/>
      <c r="B350" s="1"/>
      <c r="F350" s="1"/>
      <c r="G350" s="1"/>
      <c r="AJ350" s="127"/>
      <c r="AK350" s="127"/>
      <c r="AL350" s="127"/>
      <c r="AM350" s="127"/>
      <c r="AN350" s="127"/>
      <c r="AO350" s="127"/>
      <c r="AP350" s="127"/>
      <c r="AQ350" s="127"/>
      <c r="AR350" s="127"/>
      <c r="AS350" s="127"/>
      <c r="AT350" s="127"/>
      <c r="AU350" s="127"/>
      <c r="AV350" s="127"/>
      <c r="AW350" s="127"/>
      <c r="AX350" s="127"/>
      <c r="AY350" s="127"/>
      <c r="AZ350" s="127"/>
      <c r="BA350" s="127"/>
      <c r="BB350" s="127"/>
      <c r="BC350" s="127"/>
      <c r="BD350" s="127"/>
      <c r="BE350" s="127"/>
      <c r="BF350" s="127"/>
      <c r="BG350" s="127"/>
      <c r="BH350" s="127"/>
      <c r="BI350" s="127"/>
      <c r="BJ350" s="127"/>
      <c r="BK350" s="127"/>
      <c r="BL350" s="127"/>
      <c r="BM350" s="127"/>
      <c r="BN350" s="127"/>
      <c r="BO350" s="127"/>
      <c r="BP350" s="127"/>
      <c r="BQ350" s="127"/>
      <c r="BR350" s="127"/>
      <c r="BS350" s="127"/>
      <c r="BT350" s="127"/>
      <c r="BU350" s="127"/>
      <c r="BV350" s="127"/>
      <c r="BW350" s="127"/>
      <c r="BX350" s="127"/>
      <c r="BY350" s="127"/>
      <c r="BZ350" s="127"/>
      <c r="CA350" s="127"/>
      <c r="CB350" s="127"/>
      <c r="CC350" s="127"/>
      <c r="CD350" s="127"/>
      <c r="CE350" s="127"/>
      <c r="CF350" s="127"/>
      <c r="CG350" s="127"/>
      <c r="CH350" s="127"/>
      <c r="CI350" s="127"/>
    </row>
    <row r="351" spans="1:87" x14ac:dyDescent="0.25">
      <c r="A351" s="1"/>
      <c r="B351" s="1"/>
      <c r="F351" s="1"/>
      <c r="G351" s="1"/>
      <c r="AJ351" s="127"/>
      <c r="AK351" s="127"/>
      <c r="AL351" s="127"/>
      <c r="AM351" s="127"/>
      <c r="AN351" s="127"/>
      <c r="AO351" s="127"/>
      <c r="AP351" s="127"/>
      <c r="AQ351" s="127"/>
      <c r="AR351" s="127"/>
      <c r="AS351" s="127"/>
      <c r="AT351" s="127"/>
      <c r="AU351" s="127"/>
      <c r="AV351" s="127"/>
      <c r="AW351" s="127"/>
      <c r="AX351" s="127"/>
      <c r="AY351" s="127"/>
      <c r="AZ351" s="127"/>
      <c r="BA351" s="127"/>
      <c r="BB351" s="127"/>
      <c r="BC351" s="127"/>
      <c r="BD351" s="127"/>
      <c r="BE351" s="127"/>
      <c r="BF351" s="127"/>
      <c r="BG351" s="127"/>
      <c r="BH351" s="127"/>
      <c r="BI351" s="127"/>
      <c r="BJ351" s="127"/>
      <c r="BK351" s="127"/>
      <c r="BL351" s="127"/>
      <c r="BM351" s="127"/>
      <c r="BN351" s="127"/>
      <c r="BO351" s="127"/>
      <c r="BP351" s="127"/>
      <c r="BQ351" s="127"/>
      <c r="BR351" s="127"/>
      <c r="BS351" s="127"/>
      <c r="BT351" s="127"/>
      <c r="BU351" s="127"/>
      <c r="BV351" s="127"/>
      <c r="BW351" s="127"/>
      <c r="BX351" s="127"/>
      <c r="BY351" s="127"/>
      <c r="BZ351" s="127"/>
      <c r="CA351" s="127"/>
      <c r="CB351" s="127"/>
      <c r="CC351" s="127"/>
      <c r="CD351" s="127"/>
      <c r="CE351" s="127"/>
      <c r="CF351" s="127"/>
      <c r="CG351" s="127"/>
      <c r="CH351" s="127"/>
      <c r="CI351" s="127"/>
    </row>
    <row r="352" spans="1:87" x14ac:dyDescent="0.25">
      <c r="A352" s="1"/>
      <c r="B352" s="1"/>
      <c r="F352" s="1"/>
      <c r="G352" s="1"/>
      <c r="AJ352" s="127"/>
      <c r="AK352" s="127"/>
      <c r="AL352" s="127"/>
      <c r="AM352" s="127"/>
      <c r="AN352" s="127"/>
      <c r="AO352" s="127"/>
      <c r="AP352" s="127"/>
      <c r="AQ352" s="127"/>
      <c r="AR352" s="127"/>
      <c r="AS352" s="127"/>
      <c r="AT352" s="127"/>
      <c r="AU352" s="127"/>
      <c r="AV352" s="127"/>
      <c r="AW352" s="127"/>
      <c r="AX352" s="127"/>
      <c r="AY352" s="127"/>
      <c r="AZ352" s="127"/>
      <c r="BA352" s="127"/>
      <c r="BB352" s="127"/>
      <c r="BC352" s="127"/>
      <c r="BD352" s="127"/>
      <c r="BE352" s="127"/>
      <c r="BF352" s="127"/>
      <c r="BG352" s="127"/>
      <c r="BH352" s="127"/>
      <c r="BI352" s="127"/>
      <c r="BJ352" s="127"/>
      <c r="BK352" s="127"/>
      <c r="BL352" s="127"/>
      <c r="BM352" s="127"/>
      <c r="BN352" s="127"/>
      <c r="BO352" s="127"/>
      <c r="BP352" s="127"/>
      <c r="BQ352" s="127"/>
      <c r="BR352" s="127"/>
      <c r="BS352" s="127"/>
      <c r="BT352" s="127"/>
      <c r="BU352" s="127"/>
      <c r="BV352" s="127"/>
      <c r="BW352" s="127"/>
      <c r="BX352" s="127"/>
      <c r="BY352" s="127"/>
      <c r="BZ352" s="127"/>
      <c r="CA352" s="127"/>
      <c r="CB352" s="127"/>
      <c r="CC352" s="127"/>
      <c r="CD352" s="127"/>
      <c r="CE352" s="127"/>
      <c r="CF352" s="127"/>
      <c r="CG352" s="127"/>
      <c r="CH352" s="127"/>
      <c r="CI352" s="127"/>
    </row>
    <row r="353" spans="1:87" x14ac:dyDescent="0.25">
      <c r="A353" s="1"/>
      <c r="B353" s="1"/>
      <c r="F353" s="1"/>
      <c r="G353" s="1"/>
      <c r="AJ353" s="127"/>
      <c r="AK353" s="127"/>
      <c r="AL353" s="127"/>
      <c r="AM353" s="127"/>
      <c r="AN353" s="127"/>
      <c r="AO353" s="127"/>
      <c r="AP353" s="127"/>
      <c r="AQ353" s="127"/>
      <c r="AR353" s="127"/>
      <c r="AS353" s="127"/>
      <c r="AT353" s="127"/>
      <c r="AU353" s="127"/>
      <c r="AV353" s="127"/>
      <c r="AW353" s="127"/>
      <c r="AX353" s="127"/>
      <c r="AY353" s="127"/>
      <c r="AZ353" s="127"/>
      <c r="BA353" s="127"/>
      <c r="BB353" s="127"/>
      <c r="BC353" s="127"/>
      <c r="BD353" s="127"/>
      <c r="BE353" s="127"/>
      <c r="BF353" s="127"/>
      <c r="BG353" s="127"/>
      <c r="BH353" s="127"/>
      <c r="BI353" s="127"/>
      <c r="BJ353" s="127"/>
      <c r="BK353" s="127"/>
      <c r="BL353" s="127"/>
      <c r="BM353" s="127"/>
      <c r="BN353" s="127"/>
      <c r="BO353" s="127"/>
      <c r="BP353" s="127"/>
      <c r="BQ353" s="127"/>
      <c r="BR353" s="127"/>
      <c r="BS353" s="127"/>
      <c r="BT353" s="127"/>
      <c r="BU353" s="127"/>
      <c r="BV353" s="127"/>
      <c r="BW353" s="127"/>
      <c r="BX353" s="127"/>
      <c r="BY353" s="127"/>
      <c r="BZ353" s="127"/>
      <c r="CA353" s="127"/>
      <c r="CB353" s="127"/>
      <c r="CC353" s="127"/>
      <c r="CD353" s="127"/>
      <c r="CE353" s="127"/>
      <c r="CF353" s="127"/>
      <c r="CG353" s="127"/>
      <c r="CH353" s="127"/>
      <c r="CI353" s="127"/>
    </row>
    <row r="354" spans="1:87" x14ac:dyDescent="0.25">
      <c r="A354" s="1"/>
      <c r="B354" s="1"/>
      <c r="F354" s="1"/>
      <c r="G354" s="1"/>
      <c r="AJ354" s="127"/>
      <c r="AK354" s="127"/>
      <c r="AL354" s="127"/>
      <c r="AM354" s="127"/>
      <c r="AN354" s="127"/>
      <c r="AO354" s="127"/>
      <c r="AP354" s="127"/>
      <c r="AQ354" s="127"/>
      <c r="AR354" s="127"/>
      <c r="AS354" s="127"/>
      <c r="AT354" s="127"/>
      <c r="AU354" s="127"/>
      <c r="AV354" s="127"/>
      <c r="AW354" s="127"/>
      <c r="AX354" s="127"/>
      <c r="AY354" s="127"/>
      <c r="AZ354" s="127"/>
      <c r="BA354" s="127"/>
      <c r="BB354" s="127"/>
      <c r="BC354" s="127"/>
      <c r="BD354" s="127"/>
      <c r="BE354" s="127"/>
      <c r="BF354" s="127"/>
      <c r="BG354" s="127"/>
      <c r="BH354" s="127"/>
      <c r="BI354" s="127"/>
      <c r="BJ354" s="127"/>
      <c r="BK354" s="127"/>
      <c r="BL354" s="127"/>
      <c r="BM354" s="127"/>
      <c r="BN354" s="127"/>
      <c r="BO354" s="127"/>
      <c r="BP354" s="127"/>
      <c r="BQ354" s="127"/>
      <c r="BR354" s="127"/>
      <c r="BS354" s="127"/>
      <c r="BT354" s="127"/>
      <c r="BU354" s="127"/>
      <c r="BV354" s="127"/>
      <c r="BW354" s="127"/>
      <c r="BX354" s="127"/>
      <c r="BY354" s="127"/>
      <c r="BZ354" s="127"/>
      <c r="CA354" s="127"/>
      <c r="CB354" s="127"/>
      <c r="CC354" s="127"/>
      <c r="CD354" s="127"/>
      <c r="CE354" s="127"/>
      <c r="CF354" s="127"/>
      <c r="CG354" s="127"/>
      <c r="CH354" s="127"/>
      <c r="CI354" s="127"/>
    </row>
    <row r="355" spans="1:87" x14ac:dyDescent="0.25">
      <c r="A355" s="1"/>
      <c r="B355" s="1"/>
      <c r="F355" s="1"/>
      <c r="G355" s="1"/>
      <c r="AJ355" s="127"/>
      <c r="AK355" s="127"/>
      <c r="AL355" s="127"/>
      <c r="AM355" s="127"/>
      <c r="AN355" s="127"/>
      <c r="AO355" s="127"/>
      <c r="AP355" s="127"/>
      <c r="AQ355" s="127"/>
      <c r="AR355" s="127"/>
      <c r="AS355" s="127"/>
      <c r="AT355" s="127"/>
      <c r="AU355" s="127"/>
      <c r="AV355" s="127"/>
      <c r="AW355" s="127"/>
      <c r="AX355" s="127"/>
      <c r="AY355" s="127"/>
      <c r="AZ355" s="127"/>
      <c r="BA355" s="127"/>
      <c r="BB355" s="127"/>
      <c r="BC355" s="127"/>
      <c r="BD355" s="127"/>
      <c r="BE355" s="127"/>
      <c r="BF355" s="127"/>
      <c r="BG355" s="127"/>
      <c r="BH355" s="127"/>
      <c r="BI355" s="127"/>
      <c r="BJ355" s="127"/>
      <c r="BK355" s="127"/>
      <c r="BL355" s="127"/>
      <c r="BM355" s="127"/>
      <c r="BN355" s="127"/>
      <c r="BO355" s="127"/>
      <c r="BP355" s="127"/>
      <c r="BQ355" s="127"/>
      <c r="BR355" s="127"/>
      <c r="BS355" s="127"/>
      <c r="BT355" s="127"/>
      <c r="BU355" s="127"/>
      <c r="BV355" s="127"/>
      <c r="BW355" s="127"/>
      <c r="BX355" s="127"/>
      <c r="BY355" s="127"/>
      <c r="BZ355" s="127"/>
      <c r="CA355" s="127"/>
      <c r="CB355" s="127"/>
      <c r="CC355" s="127"/>
      <c r="CD355" s="127"/>
      <c r="CE355" s="127"/>
      <c r="CF355" s="127"/>
      <c r="CG355" s="127"/>
      <c r="CH355" s="127"/>
      <c r="CI355" s="127"/>
    </row>
    <row r="356" spans="1:87" x14ac:dyDescent="0.25">
      <c r="A356" s="1"/>
      <c r="B356" s="1"/>
      <c r="F356" s="1"/>
      <c r="G356" s="1"/>
      <c r="AJ356" s="127"/>
      <c r="AK356" s="127"/>
      <c r="AL356" s="127"/>
      <c r="AM356" s="127"/>
      <c r="AN356" s="127"/>
      <c r="AO356" s="127"/>
      <c r="AP356" s="127"/>
      <c r="AQ356" s="127"/>
      <c r="AR356" s="127"/>
      <c r="AS356" s="127"/>
      <c r="AT356" s="127"/>
      <c r="AU356" s="127"/>
      <c r="AV356" s="127"/>
      <c r="AW356" s="127"/>
      <c r="AX356" s="127"/>
      <c r="AY356" s="127"/>
      <c r="AZ356" s="127"/>
      <c r="BA356" s="127"/>
      <c r="BB356" s="127"/>
      <c r="BC356" s="127"/>
      <c r="BD356" s="127"/>
      <c r="BE356" s="127"/>
      <c r="BF356" s="127"/>
      <c r="BG356" s="127"/>
      <c r="BH356" s="127"/>
      <c r="BI356" s="127"/>
      <c r="BJ356" s="127"/>
      <c r="BK356" s="127"/>
      <c r="BL356" s="127"/>
      <c r="BM356" s="127"/>
      <c r="BN356" s="127"/>
      <c r="BO356" s="127"/>
      <c r="BP356" s="127"/>
      <c r="BQ356" s="127"/>
      <c r="BR356" s="127"/>
      <c r="BS356" s="127"/>
      <c r="BT356" s="127"/>
      <c r="BU356" s="127"/>
      <c r="BV356" s="127"/>
      <c r="BW356" s="127"/>
      <c r="BX356" s="127"/>
      <c r="BY356" s="127"/>
      <c r="BZ356" s="127"/>
      <c r="CA356" s="127"/>
      <c r="CB356" s="127"/>
      <c r="CC356" s="127"/>
      <c r="CD356" s="127"/>
      <c r="CE356" s="127"/>
      <c r="CF356" s="127"/>
      <c r="CG356" s="127"/>
      <c r="CH356" s="127"/>
      <c r="CI356" s="127"/>
    </row>
    <row r="357" spans="1:87" x14ac:dyDescent="0.25">
      <c r="A357" s="1"/>
      <c r="B357" s="1"/>
      <c r="F357" s="1"/>
      <c r="G357" s="1"/>
      <c r="AJ357" s="127"/>
      <c r="AK357" s="127"/>
      <c r="AL357" s="127"/>
      <c r="AM357" s="127"/>
      <c r="AN357" s="127"/>
      <c r="AO357" s="127"/>
      <c r="AP357" s="127"/>
      <c r="AQ357" s="127"/>
      <c r="AR357" s="127"/>
      <c r="AS357" s="127"/>
      <c r="AT357" s="127"/>
      <c r="AU357" s="127"/>
      <c r="AV357" s="127"/>
      <c r="AW357" s="127"/>
      <c r="AX357" s="127"/>
      <c r="AY357" s="127"/>
      <c r="AZ357" s="127"/>
      <c r="BA357" s="127"/>
      <c r="BB357" s="127"/>
      <c r="BC357" s="127"/>
      <c r="BD357" s="127"/>
      <c r="BE357" s="127"/>
      <c r="BF357" s="127"/>
      <c r="BG357" s="127"/>
      <c r="BH357" s="127"/>
      <c r="BI357" s="127"/>
      <c r="BJ357" s="127"/>
      <c r="BK357" s="127"/>
      <c r="BL357" s="127"/>
      <c r="BM357" s="127"/>
      <c r="BN357" s="127"/>
      <c r="BO357" s="127"/>
      <c r="BP357" s="127"/>
      <c r="BQ357" s="127"/>
      <c r="BR357" s="127"/>
      <c r="BS357" s="127"/>
      <c r="BT357" s="127"/>
      <c r="BU357" s="127"/>
      <c r="BV357" s="127"/>
      <c r="BW357" s="127"/>
      <c r="BX357" s="127"/>
      <c r="BY357" s="127"/>
      <c r="BZ357" s="127"/>
      <c r="CA357" s="127"/>
      <c r="CB357" s="127"/>
      <c r="CC357" s="127"/>
      <c r="CD357" s="127"/>
      <c r="CE357" s="127"/>
      <c r="CF357" s="127"/>
      <c r="CG357" s="127"/>
      <c r="CH357" s="127"/>
      <c r="CI357" s="127"/>
    </row>
    <row r="358" spans="1:87" x14ac:dyDescent="0.25">
      <c r="A358" s="1"/>
      <c r="B358" s="1"/>
      <c r="F358" s="1"/>
      <c r="G358" s="1"/>
      <c r="AJ358" s="127"/>
      <c r="AK358" s="127"/>
      <c r="AL358" s="127"/>
      <c r="AM358" s="127"/>
      <c r="AN358" s="127"/>
      <c r="AO358" s="127"/>
      <c r="AP358" s="127"/>
      <c r="AQ358" s="127"/>
      <c r="AR358" s="127"/>
      <c r="AS358" s="127"/>
      <c r="AT358" s="127"/>
      <c r="AU358" s="127"/>
      <c r="AV358" s="127"/>
      <c r="AW358" s="127"/>
      <c r="AX358" s="127"/>
      <c r="AY358" s="127"/>
      <c r="AZ358" s="127"/>
      <c r="BA358" s="127"/>
      <c r="BB358" s="127"/>
      <c r="BC358" s="127"/>
      <c r="BD358" s="127"/>
      <c r="BE358" s="127"/>
      <c r="BF358" s="127"/>
      <c r="BG358" s="127"/>
      <c r="BH358" s="127"/>
      <c r="BI358" s="127"/>
      <c r="BJ358" s="127"/>
      <c r="BK358" s="127"/>
      <c r="BL358" s="127"/>
      <c r="BM358" s="127"/>
      <c r="BN358" s="127"/>
      <c r="BO358" s="127"/>
      <c r="BP358" s="127"/>
      <c r="BQ358" s="127"/>
      <c r="BR358" s="127"/>
      <c r="BS358" s="127"/>
      <c r="BT358" s="127"/>
      <c r="BU358" s="127"/>
      <c r="BV358" s="127"/>
      <c r="BW358" s="127"/>
      <c r="BX358" s="127"/>
      <c r="BY358" s="127"/>
      <c r="BZ358" s="127"/>
      <c r="CA358" s="127"/>
      <c r="CB358" s="127"/>
      <c r="CC358" s="127"/>
      <c r="CD358" s="127"/>
      <c r="CE358" s="127"/>
      <c r="CF358" s="127"/>
      <c r="CG358" s="127"/>
      <c r="CH358" s="127"/>
      <c r="CI358" s="127"/>
    </row>
    <row r="359" spans="1:87" x14ac:dyDescent="0.25">
      <c r="A359" s="1"/>
      <c r="B359" s="1"/>
      <c r="F359" s="1"/>
      <c r="G359" s="1"/>
      <c r="AJ359" s="127"/>
      <c r="AK359" s="127"/>
      <c r="AL359" s="127"/>
      <c r="AM359" s="127"/>
      <c r="AN359" s="127"/>
      <c r="AO359" s="127"/>
      <c r="AP359" s="127"/>
      <c r="AQ359" s="127"/>
      <c r="AR359" s="127"/>
      <c r="AS359" s="127"/>
      <c r="AT359" s="127"/>
      <c r="AU359" s="127"/>
      <c r="AV359" s="127"/>
      <c r="AW359" s="127"/>
      <c r="AX359" s="127"/>
      <c r="AY359" s="127"/>
      <c r="AZ359" s="127"/>
      <c r="BA359" s="127"/>
      <c r="BB359" s="127"/>
      <c r="BC359" s="127"/>
      <c r="BD359" s="127"/>
      <c r="BE359" s="127"/>
      <c r="BF359" s="127"/>
      <c r="BG359" s="127"/>
      <c r="BH359" s="127"/>
      <c r="BI359" s="127"/>
      <c r="BJ359" s="127"/>
      <c r="BK359" s="127"/>
      <c r="BL359" s="127"/>
      <c r="BM359" s="127"/>
      <c r="BN359" s="127"/>
      <c r="BO359" s="127"/>
      <c r="BP359" s="127"/>
      <c r="BQ359" s="127"/>
      <c r="BR359" s="127"/>
      <c r="BS359" s="127"/>
      <c r="BT359" s="127"/>
      <c r="BU359" s="127"/>
      <c r="BV359" s="127"/>
      <c r="BW359" s="127"/>
      <c r="BX359" s="127"/>
      <c r="BY359" s="127"/>
      <c r="BZ359" s="127"/>
      <c r="CA359" s="127"/>
      <c r="CB359" s="127"/>
      <c r="CC359" s="127"/>
      <c r="CD359" s="127"/>
      <c r="CE359" s="127"/>
      <c r="CF359" s="127"/>
      <c r="CG359" s="127"/>
      <c r="CH359" s="127"/>
      <c r="CI359" s="127"/>
    </row>
    <row r="360" spans="1:87" x14ac:dyDescent="0.25">
      <c r="A360" s="1"/>
      <c r="B360" s="1"/>
      <c r="F360" s="1"/>
      <c r="G360" s="1"/>
      <c r="AJ360" s="127"/>
      <c r="AK360" s="127"/>
      <c r="AL360" s="127"/>
      <c r="AM360" s="127"/>
      <c r="AN360" s="127"/>
      <c r="AO360" s="127"/>
      <c r="AP360" s="127"/>
      <c r="AQ360" s="127"/>
      <c r="AR360" s="127"/>
      <c r="AS360" s="127"/>
      <c r="AT360" s="127"/>
      <c r="AU360" s="127"/>
      <c r="AV360" s="127"/>
      <c r="AW360" s="127"/>
      <c r="AX360" s="127"/>
      <c r="AY360" s="127"/>
      <c r="AZ360" s="127"/>
      <c r="BA360" s="127"/>
      <c r="BB360" s="127"/>
      <c r="BC360" s="127"/>
      <c r="BD360" s="127"/>
      <c r="BE360" s="127"/>
      <c r="BF360" s="127"/>
      <c r="BG360" s="127"/>
      <c r="BH360" s="127"/>
      <c r="BI360" s="127"/>
      <c r="BJ360" s="127"/>
      <c r="BK360" s="127"/>
      <c r="BL360" s="127"/>
      <c r="BM360" s="127"/>
      <c r="BN360" s="127"/>
      <c r="BO360" s="127"/>
      <c r="BP360" s="127"/>
      <c r="BQ360" s="127"/>
      <c r="BR360" s="127"/>
      <c r="BS360" s="127"/>
      <c r="BT360" s="127"/>
      <c r="BU360" s="127"/>
      <c r="BV360" s="127"/>
      <c r="BW360" s="127"/>
      <c r="BX360" s="127"/>
      <c r="BY360" s="127"/>
      <c r="BZ360" s="127"/>
      <c r="CA360" s="127"/>
      <c r="CB360" s="127"/>
      <c r="CC360" s="127"/>
      <c r="CD360" s="127"/>
      <c r="CE360" s="127"/>
      <c r="CF360" s="127"/>
      <c r="CG360" s="127"/>
      <c r="CH360" s="127"/>
      <c r="CI360" s="127"/>
    </row>
    <row r="361" spans="1:87" x14ac:dyDescent="0.25">
      <c r="A361" s="1"/>
      <c r="B361" s="1"/>
      <c r="F361" s="1"/>
      <c r="G361" s="1"/>
      <c r="AJ361" s="127"/>
      <c r="AK361" s="127"/>
      <c r="AL361" s="127"/>
      <c r="AM361" s="127"/>
      <c r="AN361" s="127"/>
      <c r="AO361" s="127"/>
      <c r="AP361" s="127"/>
      <c r="AQ361" s="127"/>
      <c r="AR361" s="127"/>
      <c r="AS361" s="127"/>
      <c r="AT361" s="127"/>
      <c r="AU361" s="127"/>
      <c r="AV361" s="127"/>
      <c r="AW361" s="127"/>
      <c r="AX361" s="127"/>
      <c r="AY361" s="127"/>
      <c r="AZ361" s="127"/>
      <c r="BA361" s="127"/>
      <c r="BB361" s="127"/>
      <c r="BC361" s="127"/>
      <c r="BD361" s="127"/>
      <c r="BE361" s="127"/>
      <c r="BF361" s="127"/>
      <c r="BG361" s="127"/>
      <c r="BH361" s="127"/>
      <c r="BI361" s="127"/>
      <c r="BJ361" s="127"/>
      <c r="BK361" s="127"/>
      <c r="BL361" s="127"/>
      <c r="BM361" s="127"/>
      <c r="BN361" s="127"/>
      <c r="BO361" s="127"/>
      <c r="BP361" s="127"/>
      <c r="BQ361" s="127"/>
      <c r="BR361" s="127"/>
      <c r="BS361" s="127"/>
      <c r="BT361" s="127"/>
      <c r="BU361" s="127"/>
      <c r="BV361" s="127"/>
      <c r="BW361" s="127"/>
      <c r="BX361" s="127"/>
      <c r="BY361" s="127"/>
      <c r="BZ361" s="127"/>
      <c r="CA361" s="127"/>
      <c r="CB361" s="127"/>
      <c r="CC361" s="127"/>
      <c r="CD361" s="127"/>
      <c r="CE361" s="127"/>
      <c r="CF361" s="127"/>
      <c r="CG361" s="127"/>
      <c r="CH361" s="127"/>
      <c r="CI361" s="127"/>
    </row>
    <row r="362" spans="1:87" x14ac:dyDescent="0.25">
      <c r="A362" s="1"/>
      <c r="B362" s="1"/>
      <c r="F362" s="1"/>
      <c r="G362" s="1"/>
      <c r="AJ362" s="127"/>
      <c r="AK362" s="127"/>
      <c r="AL362" s="127"/>
      <c r="AM362" s="127"/>
      <c r="AN362" s="127"/>
      <c r="AO362" s="127"/>
      <c r="AP362" s="127"/>
      <c r="AQ362" s="127"/>
      <c r="AR362" s="127"/>
      <c r="AS362" s="127"/>
      <c r="AT362" s="127"/>
      <c r="AU362" s="127"/>
      <c r="AV362" s="127"/>
      <c r="AW362" s="127"/>
      <c r="AX362" s="127"/>
      <c r="AY362" s="127"/>
      <c r="AZ362" s="127"/>
      <c r="BA362" s="127"/>
      <c r="BB362" s="127"/>
      <c r="BC362" s="127"/>
      <c r="BD362" s="127"/>
      <c r="BE362" s="127"/>
      <c r="BF362" s="127"/>
      <c r="BG362" s="127"/>
      <c r="BH362" s="127"/>
      <c r="BI362" s="127"/>
      <c r="BJ362" s="127"/>
      <c r="BK362" s="127"/>
      <c r="BL362" s="127"/>
      <c r="BM362" s="127"/>
      <c r="BN362" s="127"/>
      <c r="BO362" s="127"/>
      <c r="BP362" s="127"/>
      <c r="BQ362" s="127"/>
      <c r="BR362" s="127"/>
      <c r="BS362" s="127"/>
      <c r="BT362" s="127"/>
      <c r="BU362" s="127"/>
      <c r="BV362" s="127"/>
      <c r="BW362" s="127"/>
      <c r="BX362" s="127"/>
      <c r="BY362" s="127"/>
      <c r="BZ362" s="127"/>
      <c r="CA362" s="127"/>
      <c r="CB362" s="127"/>
      <c r="CC362" s="127"/>
      <c r="CD362" s="127"/>
      <c r="CE362" s="127"/>
      <c r="CF362" s="127"/>
      <c r="CG362" s="127"/>
      <c r="CH362" s="127"/>
      <c r="CI362" s="127"/>
    </row>
    <row r="363" spans="1:87" x14ac:dyDescent="0.25">
      <c r="A363" s="1"/>
      <c r="B363" s="1"/>
      <c r="F363" s="1"/>
      <c r="G363" s="1"/>
      <c r="AJ363" s="127"/>
      <c r="AK363" s="127"/>
      <c r="AL363" s="127"/>
      <c r="AM363" s="127"/>
      <c r="AN363" s="127"/>
      <c r="AO363" s="127"/>
      <c r="AP363" s="127"/>
      <c r="AQ363" s="127"/>
      <c r="AR363" s="127"/>
      <c r="AS363" s="127"/>
      <c r="AT363" s="127"/>
      <c r="AU363" s="127"/>
      <c r="AV363" s="127"/>
      <c r="AW363" s="127"/>
      <c r="AX363" s="127"/>
      <c r="AY363" s="127"/>
      <c r="AZ363" s="127"/>
      <c r="BA363" s="127"/>
      <c r="BB363" s="127"/>
      <c r="BC363" s="127"/>
      <c r="BD363" s="127"/>
      <c r="BE363" s="127"/>
      <c r="BF363" s="127"/>
      <c r="BG363" s="127"/>
      <c r="BH363" s="127"/>
      <c r="BI363" s="127"/>
      <c r="BJ363" s="127"/>
      <c r="BK363" s="127"/>
      <c r="BL363" s="127"/>
      <c r="BM363" s="127"/>
      <c r="BN363" s="127"/>
      <c r="BO363" s="127"/>
      <c r="BP363" s="127"/>
      <c r="BQ363" s="127"/>
      <c r="BR363" s="127"/>
      <c r="BS363" s="127"/>
      <c r="BT363" s="127"/>
      <c r="BU363" s="127"/>
      <c r="BV363" s="127"/>
      <c r="BW363" s="127"/>
      <c r="BX363" s="127"/>
      <c r="BY363" s="127"/>
      <c r="BZ363" s="127"/>
      <c r="CA363" s="127"/>
      <c r="CB363" s="127"/>
      <c r="CC363" s="127"/>
      <c r="CD363" s="127"/>
      <c r="CE363" s="127"/>
      <c r="CF363" s="127"/>
      <c r="CG363" s="127"/>
      <c r="CH363" s="127"/>
      <c r="CI363" s="127"/>
    </row>
    <row r="364" spans="1:87" x14ac:dyDescent="0.25">
      <c r="A364" s="1"/>
      <c r="B364" s="1"/>
      <c r="F364" s="1"/>
      <c r="G364" s="1"/>
      <c r="AJ364" s="127"/>
      <c r="AK364" s="127"/>
      <c r="AL364" s="127"/>
      <c r="AM364" s="127"/>
      <c r="AN364" s="127"/>
      <c r="AO364" s="127"/>
      <c r="AP364" s="127"/>
      <c r="AQ364" s="127"/>
      <c r="AR364" s="127"/>
      <c r="AS364" s="127"/>
      <c r="AT364" s="127"/>
      <c r="AU364" s="127"/>
      <c r="AV364" s="127"/>
      <c r="AW364" s="127"/>
      <c r="AX364" s="127"/>
      <c r="AY364" s="127"/>
      <c r="AZ364" s="127"/>
      <c r="BA364" s="127"/>
      <c r="BB364" s="127"/>
      <c r="BC364" s="127"/>
      <c r="BD364" s="127"/>
      <c r="BE364" s="127"/>
      <c r="BF364" s="127"/>
      <c r="BG364" s="127"/>
      <c r="BH364" s="127"/>
      <c r="BI364" s="127"/>
      <c r="BJ364" s="127"/>
      <c r="BK364" s="127"/>
      <c r="BL364" s="127"/>
      <c r="BM364" s="127"/>
      <c r="BN364" s="127"/>
      <c r="BO364" s="127"/>
      <c r="BP364" s="127"/>
      <c r="BQ364" s="127"/>
      <c r="BR364" s="127"/>
      <c r="BS364" s="127"/>
      <c r="BT364" s="127"/>
      <c r="BU364" s="127"/>
      <c r="BV364" s="127"/>
      <c r="BW364" s="127"/>
      <c r="BX364" s="127"/>
      <c r="BY364" s="127"/>
      <c r="BZ364" s="127"/>
      <c r="CA364" s="127"/>
      <c r="CB364" s="127"/>
      <c r="CC364" s="127"/>
      <c r="CD364" s="127"/>
      <c r="CE364" s="127"/>
      <c r="CF364" s="127"/>
      <c r="CG364" s="127"/>
      <c r="CH364" s="127"/>
      <c r="CI364" s="127"/>
    </row>
    <row r="365" spans="1:87" x14ac:dyDescent="0.25">
      <c r="A365" s="1"/>
      <c r="B365" s="1"/>
      <c r="F365" s="1"/>
      <c r="G365" s="1"/>
      <c r="AJ365" s="127"/>
      <c r="AK365" s="127"/>
      <c r="AL365" s="127"/>
      <c r="AM365" s="127"/>
      <c r="AN365" s="127"/>
      <c r="AO365" s="127"/>
      <c r="AP365" s="127"/>
      <c r="AQ365" s="127"/>
      <c r="AR365" s="127"/>
      <c r="AS365" s="127"/>
      <c r="AT365" s="127"/>
      <c r="AU365" s="127"/>
      <c r="AV365" s="127"/>
      <c r="AW365" s="127"/>
      <c r="AX365" s="127"/>
      <c r="AY365" s="127"/>
      <c r="AZ365" s="127"/>
      <c r="BA365" s="127"/>
      <c r="BB365" s="127"/>
      <c r="BC365" s="127"/>
      <c r="BD365" s="127"/>
      <c r="BE365" s="127"/>
      <c r="BF365" s="127"/>
      <c r="BG365" s="127"/>
      <c r="BH365" s="127"/>
      <c r="BI365" s="127"/>
      <c r="BJ365" s="127"/>
      <c r="BK365" s="127"/>
      <c r="BL365" s="127"/>
      <c r="BM365" s="127"/>
      <c r="BN365" s="127"/>
      <c r="BO365" s="127"/>
      <c r="BP365" s="127"/>
      <c r="BQ365" s="127"/>
      <c r="BR365" s="127"/>
      <c r="BS365" s="127"/>
      <c r="BT365" s="127"/>
      <c r="BU365" s="127"/>
      <c r="BV365" s="127"/>
      <c r="BW365" s="127"/>
      <c r="BX365" s="127"/>
      <c r="BY365" s="127"/>
      <c r="BZ365" s="127"/>
      <c r="CA365" s="127"/>
      <c r="CB365" s="127"/>
      <c r="CC365" s="127"/>
      <c r="CD365" s="127"/>
      <c r="CE365" s="127"/>
      <c r="CF365" s="127"/>
      <c r="CG365" s="127"/>
      <c r="CH365" s="127"/>
      <c r="CI365" s="127"/>
    </row>
    <row r="366" spans="1:87" x14ac:dyDescent="0.25">
      <c r="A366" s="1"/>
      <c r="B366" s="1"/>
      <c r="F366" s="1"/>
      <c r="G366" s="1"/>
      <c r="AJ366" s="127"/>
      <c r="AK366" s="127"/>
      <c r="AL366" s="127"/>
      <c r="AM366" s="127"/>
      <c r="AN366" s="127"/>
      <c r="AO366" s="127"/>
      <c r="AP366" s="127"/>
      <c r="AQ366" s="127"/>
      <c r="AR366" s="127"/>
      <c r="AS366" s="127"/>
      <c r="AT366" s="127"/>
      <c r="AU366" s="127"/>
      <c r="AV366" s="127"/>
      <c r="AW366" s="127"/>
      <c r="AX366" s="127"/>
      <c r="AY366" s="127"/>
      <c r="AZ366" s="127"/>
      <c r="BA366" s="127"/>
      <c r="BB366" s="127"/>
      <c r="BC366" s="127"/>
      <c r="BD366" s="127"/>
      <c r="BE366" s="127"/>
      <c r="BF366" s="127"/>
      <c r="BG366" s="127"/>
      <c r="BH366" s="127"/>
      <c r="BI366" s="127"/>
      <c r="BJ366" s="127"/>
      <c r="BK366" s="127"/>
      <c r="BL366" s="127"/>
      <c r="BM366" s="127"/>
      <c r="BN366" s="127"/>
      <c r="BO366" s="127"/>
      <c r="BP366" s="127"/>
      <c r="BQ366" s="127"/>
      <c r="BR366" s="127"/>
      <c r="BS366" s="127"/>
      <c r="BT366" s="127"/>
      <c r="BU366" s="127"/>
      <c r="BV366" s="127"/>
      <c r="BW366" s="127"/>
      <c r="BX366" s="127"/>
      <c r="BY366" s="127"/>
      <c r="BZ366" s="127"/>
      <c r="CA366" s="127"/>
      <c r="CB366" s="127"/>
      <c r="CC366" s="127"/>
      <c r="CD366" s="127"/>
      <c r="CE366" s="127"/>
      <c r="CF366" s="127"/>
      <c r="CG366" s="127"/>
      <c r="CH366" s="127"/>
      <c r="CI366" s="127"/>
    </row>
    <row r="367" spans="1:87" x14ac:dyDescent="0.25">
      <c r="A367" s="1"/>
      <c r="B367" s="1"/>
      <c r="F367" s="1"/>
      <c r="G367" s="1"/>
      <c r="AJ367" s="127"/>
      <c r="AK367" s="127"/>
      <c r="AL367" s="127"/>
      <c r="AM367" s="127"/>
      <c r="AN367" s="127"/>
      <c r="AO367" s="127"/>
      <c r="AP367" s="127"/>
      <c r="AQ367" s="127"/>
      <c r="AR367" s="127"/>
      <c r="AS367" s="127"/>
      <c r="AT367" s="127"/>
      <c r="AU367" s="127"/>
      <c r="AV367" s="127"/>
      <c r="AW367" s="127"/>
      <c r="AX367" s="127"/>
      <c r="AY367" s="127"/>
      <c r="AZ367" s="127"/>
      <c r="BA367" s="127"/>
      <c r="BB367" s="127"/>
      <c r="BC367" s="127"/>
      <c r="BD367" s="127"/>
      <c r="BE367" s="127"/>
      <c r="BF367" s="127"/>
      <c r="BG367" s="127"/>
      <c r="BH367" s="127"/>
      <c r="BI367" s="127"/>
      <c r="BJ367" s="127"/>
      <c r="BK367" s="127"/>
      <c r="BL367" s="127"/>
      <c r="BM367" s="127"/>
      <c r="BN367" s="127"/>
      <c r="BO367" s="127"/>
      <c r="BP367" s="127"/>
      <c r="BQ367" s="127"/>
      <c r="BR367" s="127"/>
      <c r="BS367" s="127"/>
      <c r="BT367" s="127"/>
      <c r="BU367" s="127"/>
      <c r="BV367" s="127"/>
      <c r="BW367" s="127"/>
      <c r="BX367" s="127"/>
      <c r="BY367" s="127"/>
      <c r="BZ367" s="127"/>
      <c r="CA367" s="127"/>
      <c r="CB367" s="127"/>
      <c r="CC367" s="127"/>
      <c r="CD367" s="127"/>
      <c r="CE367" s="127"/>
      <c r="CF367" s="127"/>
      <c r="CG367" s="127"/>
      <c r="CH367" s="127"/>
      <c r="CI367" s="127"/>
    </row>
    <row r="368" spans="1:87" x14ac:dyDescent="0.25">
      <c r="A368" s="1"/>
      <c r="B368" s="1"/>
      <c r="F368" s="1"/>
      <c r="G368" s="1"/>
      <c r="AJ368" s="127"/>
      <c r="AK368" s="127"/>
      <c r="AL368" s="127"/>
      <c r="AM368" s="127"/>
      <c r="AN368" s="127"/>
      <c r="AO368" s="127"/>
      <c r="AP368" s="127"/>
      <c r="AQ368" s="127"/>
      <c r="AR368" s="127"/>
      <c r="AS368" s="127"/>
      <c r="AT368" s="127"/>
      <c r="AU368" s="127"/>
      <c r="AV368" s="127"/>
      <c r="AW368" s="127"/>
      <c r="AX368" s="127"/>
      <c r="AY368" s="127"/>
      <c r="AZ368" s="127"/>
      <c r="BA368" s="127"/>
      <c r="BB368" s="127"/>
      <c r="BC368" s="127"/>
      <c r="BD368" s="127"/>
      <c r="BE368" s="127"/>
      <c r="BF368" s="127"/>
      <c r="BG368" s="127"/>
      <c r="BH368" s="127"/>
      <c r="BI368" s="127"/>
      <c r="BJ368" s="127"/>
      <c r="BK368" s="127"/>
      <c r="BL368" s="127"/>
      <c r="BM368" s="127"/>
      <c r="BN368" s="127"/>
      <c r="BO368" s="127"/>
      <c r="BP368" s="127"/>
      <c r="BQ368" s="127"/>
      <c r="BR368" s="127"/>
      <c r="BS368" s="127"/>
      <c r="BT368" s="127"/>
      <c r="BU368" s="127"/>
      <c r="BV368" s="127"/>
      <c r="BW368" s="127"/>
      <c r="BX368" s="127"/>
      <c r="BY368" s="127"/>
      <c r="BZ368" s="127"/>
      <c r="CA368" s="127"/>
      <c r="CB368" s="127"/>
      <c r="CC368" s="127"/>
      <c r="CD368" s="127"/>
      <c r="CE368" s="127"/>
      <c r="CF368" s="127"/>
      <c r="CG368" s="127"/>
      <c r="CH368" s="127"/>
      <c r="CI368" s="127"/>
    </row>
    <row r="369" spans="1:87" x14ac:dyDescent="0.25">
      <c r="A369" s="1"/>
      <c r="B369" s="1"/>
      <c r="F369" s="1"/>
      <c r="G369" s="1"/>
      <c r="AJ369" s="127"/>
      <c r="AK369" s="127"/>
      <c r="AL369" s="127"/>
      <c r="AM369" s="127"/>
      <c r="AN369" s="127"/>
      <c r="AO369" s="127"/>
      <c r="AP369" s="127"/>
      <c r="AQ369" s="127"/>
      <c r="AR369" s="127"/>
      <c r="AS369" s="127"/>
      <c r="AT369" s="127"/>
      <c r="AU369" s="127"/>
      <c r="AV369" s="127"/>
      <c r="AW369" s="127"/>
      <c r="AX369" s="127"/>
      <c r="AY369" s="127"/>
      <c r="AZ369" s="127"/>
      <c r="BA369" s="127"/>
      <c r="BB369" s="127"/>
      <c r="BC369" s="127"/>
      <c r="BD369" s="127"/>
      <c r="BE369" s="127"/>
      <c r="BF369" s="127"/>
      <c r="BG369" s="127"/>
      <c r="BH369" s="127"/>
      <c r="BI369" s="127"/>
      <c r="BJ369" s="127"/>
      <c r="BK369" s="127"/>
      <c r="BL369" s="127"/>
      <c r="BM369" s="127"/>
      <c r="BN369" s="127"/>
      <c r="BO369" s="127"/>
      <c r="BP369" s="127"/>
      <c r="BQ369" s="127"/>
      <c r="BR369" s="127"/>
      <c r="BS369" s="127"/>
      <c r="BT369" s="127"/>
      <c r="BU369" s="127"/>
      <c r="BV369" s="127"/>
      <c r="BW369" s="127"/>
      <c r="BX369" s="127"/>
      <c r="BY369" s="127"/>
      <c r="BZ369" s="127"/>
      <c r="CA369" s="127"/>
      <c r="CB369" s="127"/>
      <c r="CC369" s="127"/>
      <c r="CD369" s="127"/>
      <c r="CE369" s="127"/>
      <c r="CF369" s="127"/>
      <c r="CG369" s="127"/>
      <c r="CH369" s="127"/>
      <c r="CI369" s="127"/>
    </row>
    <row r="370" spans="1:87" x14ac:dyDescent="0.25">
      <c r="A370" s="1"/>
      <c r="B370" s="1"/>
      <c r="F370" s="1"/>
      <c r="G370" s="1"/>
      <c r="AJ370" s="127"/>
      <c r="AK370" s="127"/>
      <c r="AL370" s="127"/>
      <c r="AM370" s="127"/>
      <c r="AN370" s="127"/>
      <c r="AO370" s="127"/>
      <c r="AP370" s="127"/>
      <c r="AQ370" s="127"/>
      <c r="AR370" s="127"/>
      <c r="AS370" s="127"/>
      <c r="AT370" s="127"/>
      <c r="AU370" s="127"/>
      <c r="AV370" s="127"/>
      <c r="AW370" s="127"/>
      <c r="AX370" s="127"/>
      <c r="AY370" s="127"/>
      <c r="AZ370" s="127"/>
      <c r="BA370" s="127"/>
      <c r="BB370" s="127"/>
      <c r="BC370" s="127"/>
      <c r="BD370" s="127"/>
      <c r="BE370" s="127"/>
      <c r="BF370" s="127"/>
      <c r="BG370" s="127"/>
      <c r="BH370" s="127"/>
      <c r="BI370" s="127"/>
      <c r="BJ370" s="127"/>
      <c r="BK370" s="127"/>
      <c r="BL370" s="127"/>
      <c r="BM370" s="127"/>
      <c r="BN370" s="127"/>
      <c r="BO370" s="127"/>
      <c r="BP370" s="127"/>
      <c r="BQ370" s="127"/>
      <c r="BR370" s="127"/>
      <c r="BS370" s="127"/>
      <c r="BT370" s="127"/>
      <c r="BU370" s="127"/>
      <c r="BV370" s="127"/>
      <c r="BW370" s="127"/>
      <c r="BX370" s="127"/>
      <c r="BY370" s="127"/>
      <c r="BZ370" s="127"/>
      <c r="CA370" s="127"/>
      <c r="CB370" s="127"/>
      <c r="CC370" s="127"/>
      <c r="CD370" s="127"/>
      <c r="CE370" s="127"/>
      <c r="CF370" s="127"/>
      <c r="CG370" s="127"/>
      <c r="CH370" s="127"/>
      <c r="CI370" s="127"/>
    </row>
    <row r="371" spans="1:87" x14ac:dyDescent="0.25">
      <c r="A371" s="1"/>
      <c r="B371" s="1"/>
      <c r="F371" s="1"/>
      <c r="G371" s="1"/>
      <c r="AJ371" s="127"/>
      <c r="AK371" s="127"/>
      <c r="AL371" s="127"/>
      <c r="AM371" s="127"/>
      <c r="AN371" s="127"/>
      <c r="AO371" s="127"/>
      <c r="AP371" s="127"/>
      <c r="AQ371" s="127"/>
      <c r="AR371" s="127"/>
      <c r="AS371" s="127"/>
      <c r="AT371" s="127"/>
      <c r="AU371" s="127"/>
      <c r="AV371" s="127"/>
      <c r="AW371" s="127"/>
      <c r="AX371" s="127"/>
      <c r="AY371" s="127"/>
      <c r="AZ371" s="127"/>
      <c r="BA371" s="127"/>
      <c r="BB371" s="127"/>
      <c r="BC371" s="127"/>
      <c r="BD371" s="127"/>
      <c r="BE371" s="127"/>
      <c r="BF371" s="127"/>
      <c r="BG371" s="127"/>
      <c r="BH371" s="127"/>
      <c r="BI371" s="127"/>
      <c r="BJ371" s="127"/>
      <c r="BK371" s="127"/>
      <c r="BL371" s="127"/>
      <c r="BM371" s="127"/>
      <c r="BN371" s="127"/>
      <c r="BO371" s="127"/>
      <c r="BP371" s="127"/>
      <c r="BQ371" s="127"/>
      <c r="BR371" s="127"/>
      <c r="BS371" s="127"/>
      <c r="BT371" s="127"/>
      <c r="BU371" s="127"/>
      <c r="BV371" s="127"/>
      <c r="BW371" s="127"/>
      <c r="BX371" s="127"/>
      <c r="BY371" s="127"/>
      <c r="BZ371" s="127"/>
      <c r="CA371" s="127"/>
      <c r="CB371" s="127"/>
      <c r="CC371" s="127"/>
      <c r="CD371" s="127"/>
      <c r="CE371" s="127"/>
      <c r="CF371" s="127"/>
      <c r="CG371" s="127"/>
      <c r="CH371" s="127"/>
      <c r="CI371" s="127"/>
    </row>
    <row r="372" spans="1:87" x14ac:dyDescent="0.25">
      <c r="A372" s="1"/>
      <c r="B372" s="1"/>
      <c r="F372" s="1"/>
      <c r="G372" s="1"/>
    </row>
    <row r="373" spans="1:87" x14ac:dyDescent="0.25">
      <c r="A373" s="1"/>
      <c r="B373" s="1"/>
      <c r="F373" s="1"/>
      <c r="G373" s="1"/>
    </row>
    <row r="374" spans="1:87" x14ac:dyDescent="0.25">
      <c r="A374" s="1"/>
      <c r="B374" s="1"/>
      <c r="F374" s="1"/>
      <c r="G374" s="1"/>
    </row>
    <row r="375" spans="1:87" x14ac:dyDescent="0.25">
      <c r="A375" s="1"/>
      <c r="B375" s="1"/>
      <c r="F375" s="1"/>
      <c r="G375" s="1"/>
    </row>
    <row r="376" spans="1:87" x14ac:dyDescent="0.25">
      <c r="A376" s="1"/>
      <c r="B376" s="1"/>
      <c r="F376" s="1"/>
      <c r="G376" s="1"/>
    </row>
    <row r="377" spans="1:87" x14ac:dyDescent="0.25">
      <c r="A377" s="1"/>
      <c r="B377" s="1"/>
      <c r="F377" s="1"/>
      <c r="G377" s="1"/>
    </row>
    <row r="378" spans="1:87" x14ac:dyDescent="0.25">
      <c r="A378" s="1"/>
      <c r="B378" s="1"/>
      <c r="F378" s="1"/>
      <c r="G378" s="1"/>
    </row>
    <row r="379" spans="1:87" x14ac:dyDescent="0.25">
      <c r="A379" s="1"/>
      <c r="B379" s="1"/>
      <c r="F379" s="1"/>
      <c r="G379" s="1"/>
    </row>
    <row r="380" spans="1:87" x14ac:dyDescent="0.25">
      <c r="A380" s="1"/>
      <c r="B380" s="1"/>
      <c r="F380" s="1"/>
      <c r="G380" s="1"/>
    </row>
    <row r="381" spans="1:87" x14ac:dyDescent="0.25">
      <c r="A381" s="1"/>
      <c r="B381" s="1"/>
      <c r="F381" s="1"/>
      <c r="G381" s="1"/>
    </row>
    <row r="382" spans="1:87" x14ac:dyDescent="0.25">
      <c r="A382" s="1"/>
      <c r="B382" s="1"/>
      <c r="F382" s="1"/>
      <c r="G382" s="1"/>
    </row>
    <row r="383" spans="1:87" x14ac:dyDescent="0.25">
      <c r="A383" s="1"/>
      <c r="B383" s="1"/>
      <c r="F383" s="1"/>
      <c r="G383" s="1"/>
    </row>
    <row r="384" spans="1:8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5">
    <mergeCell ref="R6:AG6"/>
    <mergeCell ref="A5:C5"/>
    <mergeCell ref="F5:J5"/>
    <mergeCell ref="L5:Q5"/>
    <mergeCell ref="R5:AG5"/>
  </mergeCells>
  <conditionalFormatting sqref="T8:T86">
    <cfRule type="cellIs" dxfId="18" priority="1" operator="equal">
      <formula>"F"</formula>
    </cfRule>
  </conditionalFormatting>
  <conditionalFormatting sqref="N8:P99">
    <cfRule type="cellIs" dxfId="17" priority="2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45057" r:id="rId4" name="ExecuteQueries"/>
      </mc:Fallback>
    </mc:AlternateContent>
    <mc:AlternateContent xmlns:mc="http://schemas.openxmlformats.org/markup-compatibility/2006">
      <mc:Choice Requires="x14">
        <control shapeId="45058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4</xdr:col>
                <xdr:colOff>247650</xdr:colOff>
                <xdr:row>2</xdr:row>
                <xdr:rowOff>104775</xdr:rowOff>
              </to>
            </anchor>
          </controlPr>
        </control>
      </mc:Choice>
      <mc:Fallback>
        <control shapeId="45058" r:id="rId6" name="ClearBt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92D050"/>
  </sheetPr>
  <dimension ref="A1:R412"/>
  <sheetViews>
    <sheetView workbookViewId="0">
      <selection activeCell="N26" sqref="N26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9.8554687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92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5">
        <v>37953</v>
      </c>
      <c r="B8" s="56" t="s">
        <v>184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22</v>
      </c>
      <c r="M8" s="17" t="str">
        <f>B8</f>
        <v>WksInPrd</v>
      </c>
      <c r="N8" s="18" t="str">
        <f>IF(VALUE(L8)=VALUE(O8), "P","F")</f>
        <v>P</v>
      </c>
      <c r="O8" s="3">
        <f>(G8-F8+1)/7</f>
        <v>4</v>
      </c>
      <c r="R8" t="s">
        <v>24</v>
      </c>
    </row>
    <row r="9" spans="1:18" ht="15.75" x14ac:dyDescent="0.25">
      <c r="A9" s="55">
        <v>37954</v>
      </c>
      <c r="B9" s="56" t="s">
        <v>184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22</v>
      </c>
      <c r="M9" s="17" t="str">
        <f t="shared" ref="M9:M72" si="0">B9</f>
        <v>WksInPrd</v>
      </c>
      <c r="N9" s="19" t="str">
        <f t="shared" ref="N9:N72" si="1">IF(VALUE(L9)=VALUE(O9), "P","F")</f>
        <v>P</v>
      </c>
      <c r="O9" s="3">
        <f t="shared" ref="O9:O72" si="2">(G9-F9+1)/7</f>
        <v>4</v>
      </c>
      <c r="R9" t="s">
        <v>25</v>
      </c>
    </row>
    <row r="10" spans="1:18" ht="15.75" x14ac:dyDescent="0.25">
      <c r="A10" s="55">
        <v>37955</v>
      </c>
      <c r="B10" s="56" t="s">
        <v>184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22</v>
      </c>
      <c r="M10" s="17" t="str">
        <f t="shared" si="0"/>
        <v>WksInPrd</v>
      </c>
      <c r="N10" s="19" t="str">
        <f t="shared" si="1"/>
        <v>P</v>
      </c>
      <c r="O10" s="3">
        <f t="shared" si="2"/>
        <v>4</v>
      </c>
      <c r="R10" t="s">
        <v>26</v>
      </c>
    </row>
    <row r="11" spans="1:18" ht="15.75" x14ac:dyDescent="0.25">
      <c r="A11" s="55">
        <v>37956</v>
      </c>
      <c r="B11" s="56" t="s">
        <v>184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22</v>
      </c>
      <c r="M11" s="17" t="str">
        <f t="shared" si="0"/>
        <v>WksInPrd</v>
      </c>
      <c r="N11" s="19" t="str">
        <f t="shared" si="1"/>
        <v>P</v>
      </c>
      <c r="O11" s="3">
        <f t="shared" si="2"/>
        <v>4</v>
      </c>
      <c r="R11" t="s">
        <v>27</v>
      </c>
    </row>
    <row r="12" spans="1:18" ht="15.75" x14ac:dyDescent="0.25">
      <c r="A12" s="55">
        <v>38320</v>
      </c>
      <c r="B12" s="56" t="s">
        <v>184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22</v>
      </c>
      <c r="M12" s="17" t="str">
        <f t="shared" si="0"/>
        <v>WksInPrd</v>
      </c>
      <c r="N12" s="19" t="str">
        <f t="shared" si="1"/>
        <v>P</v>
      </c>
      <c r="O12" s="3">
        <f t="shared" si="2"/>
        <v>4</v>
      </c>
      <c r="R12" t="s">
        <v>28</v>
      </c>
    </row>
    <row r="13" spans="1:18" ht="15.75" x14ac:dyDescent="0.25">
      <c r="A13" s="55">
        <v>38684</v>
      </c>
      <c r="B13" s="56" t="s">
        <v>184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22</v>
      </c>
      <c r="M13" s="17" t="str">
        <f t="shared" si="0"/>
        <v>WksInPrd</v>
      </c>
      <c r="N13" s="19" t="str">
        <f t="shared" si="1"/>
        <v>P</v>
      </c>
      <c r="O13" s="3">
        <v>4</v>
      </c>
      <c r="R13" t="s">
        <v>29</v>
      </c>
    </row>
    <row r="14" spans="1:18" ht="15.75" x14ac:dyDescent="0.25">
      <c r="A14" s="55">
        <v>46356</v>
      </c>
      <c r="B14" s="56" t="s">
        <v>184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22</v>
      </c>
      <c r="M14" s="17" t="str">
        <f t="shared" si="0"/>
        <v>WksInPrd</v>
      </c>
      <c r="N14" s="19" t="str">
        <f t="shared" si="1"/>
        <v>P</v>
      </c>
      <c r="O14" s="3">
        <f t="shared" si="2"/>
        <v>4</v>
      </c>
      <c r="R14" t="s">
        <v>30</v>
      </c>
    </row>
    <row r="15" spans="1:18" ht="15.75" x14ac:dyDescent="0.25">
      <c r="A15" s="55">
        <v>46720</v>
      </c>
      <c r="B15" s="56" t="s">
        <v>184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22</v>
      </c>
      <c r="M15" s="17" t="str">
        <f t="shared" si="0"/>
        <v>WksInPrd</v>
      </c>
      <c r="N15" s="19" t="str">
        <f t="shared" si="1"/>
        <v>P</v>
      </c>
      <c r="O15" s="3">
        <f t="shared" si="2"/>
        <v>4</v>
      </c>
      <c r="R15" t="s">
        <v>31</v>
      </c>
    </row>
    <row r="16" spans="1:18" ht="15.75" x14ac:dyDescent="0.25">
      <c r="A16" s="55">
        <v>47084</v>
      </c>
      <c r="B16" s="56" t="s">
        <v>184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21</v>
      </c>
      <c r="M16" s="17" t="str">
        <f t="shared" si="0"/>
        <v>WksInPrd</v>
      </c>
      <c r="N16" s="19" t="str">
        <f t="shared" si="1"/>
        <v>P</v>
      </c>
      <c r="O16" s="3">
        <f t="shared" si="2"/>
        <v>5</v>
      </c>
      <c r="R16" t="s">
        <v>32</v>
      </c>
    </row>
    <row r="17" spans="1:18" ht="15.75" x14ac:dyDescent="0.25">
      <c r="A17" s="55">
        <v>47455</v>
      </c>
      <c r="B17" s="56" t="s">
        <v>184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22</v>
      </c>
      <c r="M17" s="17" t="str">
        <f t="shared" si="0"/>
        <v>WksInPrd</v>
      </c>
      <c r="N17" s="19" t="str">
        <f t="shared" si="1"/>
        <v>P</v>
      </c>
      <c r="O17" s="3">
        <f t="shared" si="2"/>
        <v>4</v>
      </c>
      <c r="R17" t="s">
        <v>33</v>
      </c>
    </row>
    <row r="18" spans="1:18" ht="15.75" x14ac:dyDescent="0.25">
      <c r="A18" s="55">
        <v>47819</v>
      </c>
      <c r="B18" s="56" t="s">
        <v>184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22</v>
      </c>
      <c r="M18" s="17" t="str">
        <f t="shared" si="0"/>
        <v>WksInPrd</v>
      </c>
      <c r="N18" s="19" t="str">
        <f t="shared" si="1"/>
        <v>P</v>
      </c>
      <c r="O18" s="3">
        <f t="shared" si="2"/>
        <v>4</v>
      </c>
      <c r="R18" t="s">
        <v>34</v>
      </c>
    </row>
    <row r="19" spans="1:18" ht="15.75" x14ac:dyDescent="0.25">
      <c r="A19" s="55">
        <v>37255</v>
      </c>
      <c r="B19" s="56" t="s">
        <v>184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22</v>
      </c>
      <c r="M19" s="17" t="str">
        <f t="shared" si="0"/>
        <v>WksInPrd</v>
      </c>
      <c r="N19" s="19" t="str">
        <f t="shared" si="1"/>
        <v>P</v>
      </c>
      <c r="O19" s="3">
        <f t="shared" si="2"/>
        <v>4</v>
      </c>
      <c r="R19" t="s">
        <v>35</v>
      </c>
    </row>
    <row r="20" spans="1:18" ht="15.75" x14ac:dyDescent="0.25">
      <c r="A20" s="55">
        <v>37619</v>
      </c>
      <c r="B20" s="56" t="s">
        <v>184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22</v>
      </c>
      <c r="M20" s="17" t="str">
        <f t="shared" si="0"/>
        <v>WksInPrd</v>
      </c>
      <c r="N20" s="19" t="str">
        <f t="shared" si="1"/>
        <v>P</v>
      </c>
      <c r="O20" s="3">
        <f t="shared" si="2"/>
        <v>4</v>
      </c>
      <c r="R20" t="s">
        <v>36</v>
      </c>
    </row>
    <row r="21" spans="1:18" ht="15.75" x14ac:dyDescent="0.25">
      <c r="A21" s="55">
        <v>37983</v>
      </c>
      <c r="B21" s="56" t="s">
        <v>184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22</v>
      </c>
      <c r="M21" s="17" t="str">
        <f t="shared" si="0"/>
        <v>WksInPrd</v>
      </c>
      <c r="N21" s="19" t="str">
        <f t="shared" si="1"/>
        <v>P</v>
      </c>
      <c r="O21" s="3">
        <f t="shared" si="2"/>
        <v>4</v>
      </c>
      <c r="R21" t="s">
        <v>37</v>
      </c>
    </row>
    <row r="22" spans="1:18" ht="15.75" x14ac:dyDescent="0.25">
      <c r="A22" s="55">
        <v>38347</v>
      </c>
      <c r="B22" s="56" t="s">
        <v>184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22</v>
      </c>
      <c r="M22" s="17" t="str">
        <f t="shared" si="0"/>
        <v>WksInPrd</v>
      </c>
      <c r="N22" s="19" t="str">
        <f t="shared" si="1"/>
        <v>P</v>
      </c>
      <c r="O22" s="3">
        <f t="shared" si="2"/>
        <v>4</v>
      </c>
      <c r="R22" t="s">
        <v>38</v>
      </c>
    </row>
    <row r="23" spans="1:18" ht="15.75" x14ac:dyDescent="0.25">
      <c r="A23" s="55">
        <v>38711</v>
      </c>
      <c r="B23" s="56" t="s">
        <v>184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22</v>
      </c>
      <c r="M23" s="17" t="str">
        <f t="shared" si="0"/>
        <v>WksInPrd</v>
      </c>
      <c r="N23" s="19" t="str">
        <f t="shared" si="1"/>
        <v>P</v>
      </c>
      <c r="O23" s="3">
        <f t="shared" si="2"/>
        <v>4</v>
      </c>
      <c r="R23" t="s">
        <v>39</v>
      </c>
    </row>
    <row r="24" spans="1:18" ht="15.75" x14ac:dyDescent="0.25">
      <c r="A24" s="55">
        <v>39082</v>
      </c>
      <c r="B24" s="56" t="s">
        <v>184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21</v>
      </c>
      <c r="M24" s="17" t="str">
        <f t="shared" si="0"/>
        <v>WksInPrd</v>
      </c>
      <c r="N24" s="19" t="str">
        <f t="shared" si="1"/>
        <v>P</v>
      </c>
      <c r="O24" s="3">
        <f t="shared" si="2"/>
        <v>5</v>
      </c>
      <c r="R24" t="s">
        <v>40</v>
      </c>
    </row>
    <row r="25" spans="1:18" ht="15.75" x14ac:dyDescent="0.25">
      <c r="A25" s="55">
        <v>39446</v>
      </c>
      <c r="B25" s="56" t="s">
        <v>184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22</v>
      </c>
      <c r="M25" s="17" t="str">
        <f t="shared" si="0"/>
        <v>WksInPrd</v>
      </c>
      <c r="N25" s="19" t="str">
        <f t="shared" si="1"/>
        <v>P</v>
      </c>
      <c r="O25" s="3">
        <f t="shared" si="2"/>
        <v>4</v>
      </c>
    </row>
    <row r="26" spans="1:18" ht="15.75" x14ac:dyDescent="0.25">
      <c r="A26" s="55">
        <v>39810</v>
      </c>
      <c r="B26" s="56" t="s">
        <v>184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22</v>
      </c>
      <c r="M26" s="17" t="str">
        <f t="shared" si="0"/>
        <v>WksInPrd</v>
      </c>
      <c r="N26" s="19" t="str">
        <f t="shared" si="1"/>
        <v>P</v>
      </c>
      <c r="O26" s="3">
        <f t="shared" si="2"/>
        <v>4</v>
      </c>
      <c r="R26" t="s">
        <v>247</v>
      </c>
    </row>
    <row r="27" spans="1:18" ht="15.75" x14ac:dyDescent="0.25">
      <c r="A27" s="55">
        <v>40174</v>
      </c>
      <c r="B27" s="56" t="s">
        <v>184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22</v>
      </c>
      <c r="M27" s="17" t="str">
        <f t="shared" si="0"/>
        <v>WksInPrd</v>
      </c>
      <c r="N27" s="19" t="str">
        <f t="shared" si="1"/>
        <v>P</v>
      </c>
      <c r="O27" s="3">
        <f t="shared" si="2"/>
        <v>4</v>
      </c>
      <c r="R27" t="s">
        <v>242</v>
      </c>
    </row>
    <row r="28" spans="1:18" ht="15.75" x14ac:dyDescent="0.25">
      <c r="A28" s="55">
        <v>40538</v>
      </c>
      <c r="B28" s="56" t="s">
        <v>184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22</v>
      </c>
      <c r="M28" s="17" t="str">
        <f t="shared" si="0"/>
        <v>WksInPrd</v>
      </c>
      <c r="N28" s="19" t="str">
        <f t="shared" si="1"/>
        <v>P</v>
      </c>
      <c r="O28" s="3">
        <f t="shared" si="2"/>
        <v>4</v>
      </c>
      <c r="R28" t="s">
        <v>243</v>
      </c>
    </row>
    <row r="29" spans="1:18" ht="15.75" x14ac:dyDescent="0.25">
      <c r="A29" s="55">
        <v>40902</v>
      </c>
      <c r="B29" s="56" t="s">
        <v>184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22</v>
      </c>
      <c r="M29" s="17" t="str">
        <f t="shared" si="0"/>
        <v>WksInPrd</v>
      </c>
      <c r="N29" s="19" t="str">
        <f t="shared" si="1"/>
        <v>P</v>
      </c>
      <c r="O29" s="3">
        <f t="shared" si="2"/>
        <v>4</v>
      </c>
      <c r="R29" t="s">
        <v>244</v>
      </c>
    </row>
    <row r="30" spans="1:18" ht="15.75" x14ac:dyDescent="0.25">
      <c r="A30" s="55">
        <v>41273</v>
      </c>
      <c r="B30" s="56" t="s">
        <v>184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21</v>
      </c>
      <c r="M30" s="17" t="str">
        <f t="shared" si="0"/>
        <v>WksInPrd</v>
      </c>
      <c r="N30" s="19" t="str">
        <f t="shared" si="1"/>
        <v>P</v>
      </c>
      <c r="O30" s="3">
        <f t="shared" si="2"/>
        <v>5</v>
      </c>
      <c r="R30" t="s">
        <v>245</v>
      </c>
    </row>
    <row r="31" spans="1:18" ht="15.75" x14ac:dyDescent="0.25">
      <c r="A31" s="55">
        <v>41637</v>
      </c>
      <c r="B31" s="56" t="s">
        <v>184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22</v>
      </c>
      <c r="M31" s="17" t="str">
        <f t="shared" si="0"/>
        <v>WksInPrd</v>
      </c>
      <c r="N31" s="19" t="str">
        <f t="shared" si="1"/>
        <v>P</v>
      </c>
      <c r="O31" s="3">
        <f t="shared" si="2"/>
        <v>4</v>
      </c>
      <c r="R31" t="s">
        <v>246</v>
      </c>
    </row>
    <row r="32" spans="1:18" ht="15.75" x14ac:dyDescent="0.25">
      <c r="A32" s="55">
        <v>42001</v>
      </c>
      <c r="B32" s="56" t="s">
        <v>184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22</v>
      </c>
      <c r="M32" s="17" t="str">
        <f t="shared" si="0"/>
        <v>WksInPrd</v>
      </c>
      <c r="N32" s="19" t="str">
        <f t="shared" si="1"/>
        <v>P</v>
      </c>
      <c r="O32" s="3">
        <f t="shared" si="2"/>
        <v>4</v>
      </c>
    </row>
    <row r="33" spans="1:15" ht="15.75" x14ac:dyDescent="0.25">
      <c r="A33" s="55">
        <v>42365</v>
      </c>
      <c r="B33" s="56" t="s">
        <v>184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22</v>
      </c>
      <c r="M33" s="17" t="str">
        <f t="shared" si="0"/>
        <v>WksInPrd</v>
      </c>
      <c r="N33" s="19" t="str">
        <f t="shared" si="1"/>
        <v>P</v>
      </c>
      <c r="O33" s="3">
        <f t="shared" si="2"/>
        <v>4</v>
      </c>
    </row>
    <row r="34" spans="1:15" ht="15.75" x14ac:dyDescent="0.25">
      <c r="A34" s="55">
        <v>42729</v>
      </c>
      <c r="B34" s="56" t="s">
        <v>184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22</v>
      </c>
      <c r="M34" s="17" t="str">
        <f t="shared" si="0"/>
        <v>WksInPrd</v>
      </c>
      <c r="N34" s="19" t="str">
        <f t="shared" si="1"/>
        <v>P</v>
      </c>
      <c r="O34" s="3">
        <f t="shared" si="2"/>
        <v>4</v>
      </c>
    </row>
    <row r="35" spans="1:15" ht="15.75" x14ac:dyDescent="0.25">
      <c r="A35" s="55">
        <v>37255</v>
      </c>
      <c r="B35" s="56" t="s">
        <v>184</v>
      </c>
      <c r="C35" s="56" t="s">
        <v>109</v>
      </c>
      <c r="F35" s="1">
        <v>37228</v>
      </c>
      <c r="G35" s="1">
        <v>37255</v>
      </c>
      <c r="H35" t="s">
        <v>77</v>
      </c>
      <c r="I35" t="s">
        <v>14</v>
      </c>
      <c r="J35" t="s">
        <v>12</v>
      </c>
      <c r="L35" t="s">
        <v>22</v>
      </c>
      <c r="M35" s="17" t="str">
        <f t="shared" si="0"/>
        <v>WksInPrd</v>
      </c>
      <c r="N35" s="19" t="str">
        <f t="shared" si="1"/>
        <v>P</v>
      </c>
      <c r="O35" s="3">
        <f t="shared" si="2"/>
        <v>4</v>
      </c>
    </row>
    <row r="36" spans="1:15" ht="15.75" x14ac:dyDescent="0.25">
      <c r="A36" s="55">
        <v>37619</v>
      </c>
      <c r="B36" s="56" t="s">
        <v>184</v>
      </c>
      <c r="C36" s="56" t="s">
        <v>109</v>
      </c>
      <c r="F36" s="1">
        <v>37592</v>
      </c>
      <c r="G36" s="1">
        <v>37619</v>
      </c>
      <c r="H36" t="s">
        <v>78</v>
      </c>
      <c r="I36" t="s">
        <v>14</v>
      </c>
      <c r="J36" t="s">
        <v>12</v>
      </c>
      <c r="L36" t="s">
        <v>22</v>
      </c>
      <c r="M36" s="17" t="str">
        <f t="shared" si="0"/>
        <v>WksInPrd</v>
      </c>
      <c r="N36" s="19" t="str">
        <f t="shared" si="1"/>
        <v>P</v>
      </c>
      <c r="O36" s="3">
        <f t="shared" si="2"/>
        <v>4</v>
      </c>
    </row>
    <row r="37" spans="1:15" ht="15.75" x14ac:dyDescent="0.25">
      <c r="A37" s="55">
        <v>37983</v>
      </c>
      <c r="B37" s="56" t="s">
        <v>184</v>
      </c>
      <c r="C37" s="56" t="s">
        <v>109</v>
      </c>
      <c r="F37" s="1">
        <v>37956</v>
      </c>
      <c r="G37" s="1">
        <v>37983</v>
      </c>
      <c r="H37" t="s">
        <v>80</v>
      </c>
      <c r="I37" t="s">
        <v>14</v>
      </c>
      <c r="J37" t="s">
        <v>12</v>
      </c>
      <c r="L37" t="s">
        <v>22</v>
      </c>
      <c r="M37" s="17" t="str">
        <f t="shared" si="0"/>
        <v>WksInPrd</v>
      </c>
      <c r="N37" s="19" t="str">
        <f t="shared" si="1"/>
        <v>P</v>
      </c>
      <c r="O37" s="3">
        <f t="shared" si="2"/>
        <v>4</v>
      </c>
    </row>
    <row r="38" spans="1:15" ht="15.75" x14ac:dyDescent="0.25">
      <c r="A38" s="55">
        <v>38347</v>
      </c>
      <c r="B38" s="56" t="s">
        <v>184</v>
      </c>
      <c r="C38" s="56" t="s">
        <v>109</v>
      </c>
      <c r="F38" s="1">
        <v>38320</v>
      </c>
      <c r="G38" s="1">
        <v>38347</v>
      </c>
      <c r="H38" t="s">
        <v>82</v>
      </c>
      <c r="I38" t="s">
        <v>14</v>
      </c>
      <c r="J38" t="s">
        <v>12</v>
      </c>
      <c r="L38" t="s">
        <v>22</v>
      </c>
      <c r="M38" s="17" t="str">
        <f t="shared" si="0"/>
        <v>WksInPrd</v>
      </c>
      <c r="N38" s="19" t="str">
        <f t="shared" si="1"/>
        <v>P</v>
      </c>
      <c r="O38" s="3">
        <f t="shared" si="2"/>
        <v>4</v>
      </c>
    </row>
    <row r="39" spans="1:15" ht="15.75" x14ac:dyDescent="0.25">
      <c r="A39" s="55">
        <v>38711</v>
      </c>
      <c r="B39" s="56" t="s">
        <v>184</v>
      </c>
      <c r="C39" s="56" t="s">
        <v>109</v>
      </c>
      <c r="F39" s="1">
        <v>38684</v>
      </c>
      <c r="G39" s="1">
        <v>38711</v>
      </c>
      <c r="H39" t="s">
        <v>84</v>
      </c>
      <c r="I39" t="s">
        <v>14</v>
      </c>
      <c r="J39" t="s">
        <v>12</v>
      </c>
      <c r="L39" t="s">
        <v>22</v>
      </c>
      <c r="M39" s="17" t="str">
        <f t="shared" si="0"/>
        <v>WksInPrd</v>
      </c>
      <c r="N39" s="19" t="str">
        <f t="shared" si="1"/>
        <v>P</v>
      </c>
      <c r="O39" s="3">
        <f t="shared" si="2"/>
        <v>4</v>
      </c>
    </row>
    <row r="40" spans="1:15" ht="15.75" x14ac:dyDescent="0.25">
      <c r="A40" s="55">
        <v>39082</v>
      </c>
      <c r="B40" s="56" t="s">
        <v>184</v>
      </c>
      <c r="C40" s="56" t="s">
        <v>109</v>
      </c>
      <c r="F40" s="1">
        <v>39048</v>
      </c>
      <c r="G40" s="1">
        <v>39082</v>
      </c>
      <c r="H40" t="s">
        <v>86</v>
      </c>
      <c r="I40" t="s">
        <v>14</v>
      </c>
      <c r="J40" t="s">
        <v>12</v>
      </c>
      <c r="L40" t="s">
        <v>21</v>
      </c>
      <c r="M40" s="17" t="str">
        <f t="shared" si="0"/>
        <v>WksInPrd</v>
      </c>
      <c r="N40" s="19" t="str">
        <f t="shared" si="1"/>
        <v>P</v>
      </c>
      <c r="O40" s="3">
        <f t="shared" si="2"/>
        <v>5</v>
      </c>
    </row>
    <row r="41" spans="1:15" ht="15.75" x14ac:dyDescent="0.25">
      <c r="A41" s="55">
        <v>39446</v>
      </c>
      <c r="B41" s="56" t="s">
        <v>184</v>
      </c>
      <c r="C41" s="56" t="s">
        <v>109</v>
      </c>
      <c r="F41" s="1">
        <v>39419</v>
      </c>
      <c r="G41" s="1">
        <v>39446</v>
      </c>
      <c r="H41" t="s">
        <v>87</v>
      </c>
      <c r="I41" t="s">
        <v>14</v>
      </c>
      <c r="J41" t="s">
        <v>12</v>
      </c>
      <c r="L41" t="s">
        <v>22</v>
      </c>
      <c r="M41" s="17" t="str">
        <f t="shared" si="0"/>
        <v>WksInPrd</v>
      </c>
      <c r="N41" s="19" t="str">
        <f t="shared" si="1"/>
        <v>P</v>
      </c>
      <c r="O41" s="3">
        <f t="shared" si="2"/>
        <v>4</v>
      </c>
    </row>
    <row r="42" spans="1:15" ht="15.75" x14ac:dyDescent="0.25">
      <c r="A42" s="55">
        <v>39810</v>
      </c>
      <c r="B42" s="56" t="s">
        <v>184</v>
      </c>
      <c r="C42" s="56" t="s">
        <v>109</v>
      </c>
      <c r="E42" s="2" t="s">
        <v>71</v>
      </c>
      <c r="F42" s="1">
        <v>39783</v>
      </c>
      <c r="G42" s="1">
        <v>39810</v>
      </c>
      <c r="H42" t="s">
        <v>88</v>
      </c>
      <c r="I42" t="s">
        <v>14</v>
      </c>
      <c r="J42" t="s">
        <v>12</v>
      </c>
      <c r="L42" t="s">
        <v>22</v>
      </c>
      <c r="M42" s="17" t="str">
        <f t="shared" si="0"/>
        <v>WksInPrd</v>
      </c>
      <c r="N42" s="19" t="str">
        <f t="shared" si="1"/>
        <v>P</v>
      </c>
      <c r="O42" s="3">
        <f t="shared" si="2"/>
        <v>4</v>
      </c>
    </row>
    <row r="43" spans="1:15" ht="15.75" x14ac:dyDescent="0.25">
      <c r="A43" s="55">
        <v>40174</v>
      </c>
      <c r="B43" s="56" t="s">
        <v>184</v>
      </c>
      <c r="C43" s="56" t="s">
        <v>109</v>
      </c>
      <c r="F43" s="1">
        <v>40147</v>
      </c>
      <c r="G43" s="1">
        <v>40174</v>
      </c>
      <c r="H43" t="s">
        <v>89</v>
      </c>
      <c r="I43" t="s">
        <v>14</v>
      </c>
      <c r="J43" t="s">
        <v>12</v>
      </c>
      <c r="L43" t="s">
        <v>22</v>
      </c>
      <c r="M43" s="17" t="str">
        <f t="shared" si="0"/>
        <v>WksInPrd</v>
      </c>
      <c r="N43" s="19" t="str">
        <f t="shared" si="1"/>
        <v>P</v>
      </c>
      <c r="O43" s="3">
        <f t="shared" si="2"/>
        <v>4</v>
      </c>
    </row>
    <row r="44" spans="1:15" ht="15.75" x14ac:dyDescent="0.25">
      <c r="A44" s="55">
        <v>40538</v>
      </c>
      <c r="B44" s="56" t="s">
        <v>184</v>
      </c>
      <c r="C44" s="56" t="s">
        <v>109</v>
      </c>
      <c r="F44" s="1">
        <v>40511</v>
      </c>
      <c r="G44" s="1">
        <v>40538</v>
      </c>
      <c r="H44" t="s">
        <v>90</v>
      </c>
      <c r="I44" t="s">
        <v>14</v>
      </c>
      <c r="J44" t="s">
        <v>12</v>
      </c>
      <c r="L44" t="s">
        <v>22</v>
      </c>
      <c r="M44" s="17" t="str">
        <f t="shared" si="0"/>
        <v>WksInPrd</v>
      </c>
      <c r="N44" s="19" t="str">
        <f t="shared" si="1"/>
        <v>P</v>
      </c>
      <c r="O44" s="3">
        <f t="shared" si="2"/>
        <v>4</v>
      </c>
    </row>
    <row r="45" spans="1:15" ht="15.75" x14ac:dyDescent="0.25">
      <c r="A45" s="55">
        <v>40902</v>
      </c>
      <c r="B45" s="56" t="s">
        <v>184</v>
      </c>
      <c r="C45" s="56" t="s">
        <v>109</v>
      </c>
      <c r="F45" s="1">
        <v>40875</v>
      </c>
      <c r="G45" s="1">
        <v>40902</v>
      </c>
      <c r="H45" t="s">
        <v>91</v>
      </c>
      <c r="I45" t="s">
        <v>14</v>
      </c>
      <c r="J45" t="s">
        <v>12</v>
      </c>
      <c r="L45" t="s">
        <v>22</v>
      </c>
      <c r="M45" s="17" t="str">
        <f t="shared" si="0"/>
        <v>WksInPrd</v>
      </c>
      <c r="N45" s="19" t="str">
        <f t="shared" si="1"/>
        <v>P</v>
      </c>
      <c r="O45" s="3">
        <f t="shared" si="2"/>
        <v>4</v>
      </c>
    </row>
    <row r="46" spans="1:15" ht="15.75" x14ac:dyDescent="0.25">
      <c r="A46" s="55">
        <v>41273</v>
      </c>
      <c r="B46" s="56" t="s">
        <v>184</v>
      </c>
      <c r="C46" s="56" t="s">
        <v>109</v>
      </c>
      <c r="F46" s="1">
        <v>41239</v>
      </c>
      <c r="G46" s="1">
        <v>41273</v>
      </c>
      <c r="H46" t="s">
        <v>53</v>
      </c>
      <c r="I46" t="s">
        <v>14</v>
      </c>
      <c r="J46" t="s">
        <v>12</v>
      </c>
      <c r="L46" t="s">
        <v>21</v>
      </c>
      <c r="M46" s="17" t="str">
        <f t="shared" si="0"/>
        <v>WksInPrd</v>
      </c>
      <c r="N46" s="19" t="str">
        <f t="shared" si="1"/>
        <v>P</v>
      </c>
      <c r="O46" s="3">
        <f t="shared" si="2"/>
        <v>5</v>
      </c>
    </row>
    <row r="47" spans="1:15" ht="15.75" x14ac:dyDescent="0.25">
      <c r="A47" s="55">
        <v>41637</v>
      </c>
      <c r="B47" s="56" t="s">
        <v>184</v>
      </c>
      <c r="C47" s="56" t="s">
        <v>109</v>
      </c>
      <c r="F47" s="1">
        <v>41610</v>
      </c>
      <c r="G47" s="1">
        <v>41637</v>
      </c>
      <c r="H47" t="s">
        <v>67</v>
      </c>
      <c r="I47" t="s">
        <v>14</v>
      </c>
      <c r="J47" t="s">
        <v>12</v>
      </c>
      <c r="L47" t="s">
        <v>22</v>
      </c>
      <c r="M47" s="17" t="str">
        <f t="shared" si="0"/>
        <v>WksInPrd</v>
      </c>
      <c r="N47" s="19" t="str">
        <f t="shared" si="1"/>
        <v>P</v>
      </c>
      <c r="O47" s="3">
        <f t="shared" si="2"/>
        <v>4</v>
      </c>
    </row>
    <row r="48" spans="1:15" ht="15.75" x14ac:dyDescent="0.25">
      <c r="A48" s="55">
        <v>42001</v>
      </c>
      <c r="B48" s="56" t="s">
        <v>184</v>
      </c>
      <c r="C48" s="56" t="s">
        <v>109</v>
      </c>
      <c r="F48" s="1">
        <v>41974</v>
      </c>
      <c r="G48" s="1">
        <v>42001</v>
      </c>
      <c r="H48" t="s">
        <v>92</v>
      </c>
      <c r="I48" t="s">
        <v>14</v>
      </c>
      <c r="J48" t="s">
        <v>12</v>
      </c>
      <c r="L48" t="s">
        <v>22</v>
      </c>
      <c r="M48" s="17" t="str">
        <f t="shared" si="0"/>
        <v>WksInPrd</v>
      </c>
      <c r="N48" s="19" t="str">
        <f t="shared" si="1"/>
        <v>P</v>
      </c>
      <c r="O48" s="3">
        <f t="shared" si="2"/>
        <v>4</v>
      </c>
    </row>
    <row r="49" spans="1:15" ht="15.75" x14ac:dyDescent="0.25">
      <c r="A49" s="55">
        <v>42365</v>
      </c>
      <c r="B49" s="56" t="s">
        <v>184</v>
      </c>
      <c r="C49" s="56" t="s">
        <v>109</v>
      </c>
      <c r="F49" s="1">
        <v>42338</v>
      </c>
      <c r="G49" s="1">
        <v>42365</v>
      </c>
      <c r="H49" t="s">
        <v>93</v>
      </c>
      <c r="I49" t="s">
        <v>14</v>
      </c>
      <c r="J49" t="s">
        <v>12</v>
      </c>
      <c r="L49" t="s">
        <v>22</v>
      </c>
      <c r="M49" s="17" t="str">
        <f t="shared" si="0"/>
        <v>WksInPrd</v>
      </c>
      <c r="N49" s="19" t="str">
        <f t="shared" si="1"/>
        <v>P</v>
      </c>
      <c r="O49" s="3">
        <f t="shared" si="2"/>
        <v>4</v>
      </c>
    </row>
    <row r="50" spans="1:15" ht="15.75" x14ac:dyDescent="0.25">
      <c r="A50" s="55">
        <v>42729</v>
      </c>
      <c r="B50" s="56" t="s">
        <v>184</v>
      </c>
      <c r="C50" s="56" t="s">
        <v>109</v>
      </c>
      <c r="F50" s="1">
        <v>42702</v>
      </c>
      <c r="G50" s="1">
        <v>42729</v>
      </c>
      <c r="H50" t="s">
        <v>16</v>
      </c>
      <c r="I50" t="s">
        <v>14</v>
      </c>
      <c r="J50" t="s">
        <v>12</v>
      </c>
      <c r="L50" t="s">
        <v>22</v>
      </c>
      <c r="M50" s="17" t="str">
        <f t="shared" si="0"/>
        <v>WksInPrd</v>
      </c>
      <c r="N50" s="19" t="str">
        <f t="shared" si="1"/>
        <v>P</v>
      </c>
      <c r="O50" s="3">
        <f t="shared" si="2"/>
        <v>4</v>
      </c>
    </row>
    <row r="51" spans="1:15" ht="15.75" x14ac:dyDescent="0.25">
      <c r="A51" s="55">
        <v>39048</v>
      </c>
      <c r="B51" s="56" t="s">
        <v>184</v>
      </c>
      <c r="C51" s="56" t="s">
        <v>111</v>
      </c>
      <c r="F51" s="1">
        <v>39048</v>
      </c>
      <c r="G51" s="1">
        <v>39082</v>
      </c>
      <c r="H51" t="s">
        <v>86</v>
      </c>
      <c r="I51" t="s">
        <v>14</v>
      </c>
      <c r="J51" t="s">
        <v>12</v>
      </c>
      <c r="L51" t="s">
        <v>21</v>
      </c>
      <c r="M51" s="17" t="str">
        <f t="shared" si="0"/>
        <v>WksInPrd</v>
      </c>
      <c r="N51" s="19" t="str">
        <f t="shared" si="1"/>
        <v>P</v>
      </c>
      <c r="O51" s="3">
        <f t="shared" si="2"/>
        <v>5</v>
      </c>
    </row>
    <row r="52" spans="1:15" ht="15.75" x14ac:dyDescent="0.25">
      <c r="A52" s="55">
        <v>43066</v>
      </c>
      <c r="B52" s="56" t="s">
        <v>184</v>
      </c>
      <c r="C52" s="56" t="s">
        <v>111</v>
      </c>
      <c r="F52" s="1">
        <v>43066</v>
      </c>
      <c r="G52" s="1">
        <v>43100</v>
      </c>
      <c r="H52" t="s">
        <v>70</v>
      </c>
      <c r="I52" t="s">
        <v>14</v>
      </c>
      <c r="J52" t="s">
        <v>12</v>
      </c>
      <c r="L52" t="s">
        <v>21</v>
      </c>
      <c r="M52" s="17" t="str">
        <f t="shared" si="0"/>
        <v>WksInPrd</v>
      </c>
      <c r="N52" s="19" t="str">
        <f t="shared" si="1"/>
        <v>P</v>
      </c>
      <c r="O52" s="3">
        <f t="shared" si="2"/>
        <v>5</v>
      </c>
    </row>
    <row r="53" spans="1:15" ht="15.75" x14ac:dyDescent="0.25">
      <c r="A53" s="55">
        <v>47084</v>
      </c>
      <c r="B53" s="56" t="s">
        <v>184</v>
      </c>
      <c r="C53" s="56" t="s">
        <v>111</v>
      </c>
      <c r="F53" s="1">
        <v>47084</v>
      </c>
      <c r="G53" s="1">
        <v>47118</v>
      </c>
      <c r="H53" t="s">
        <v>103</v>
      </c>
      <c r="I53" t="s">
        <v>14</v>
      </c>
      <c r="J53" t="s">
        <v>12</v>
      </c>
      <c r="L53" t="s">
        <v>21</v>
      </c>
      <c r="M53" s="17" t="str">
        <f t="shared" si="0"/>
        <v>WksInPrd</v>
      </c>
      <c r="N53" s="19" t="str">
        <f t="shared" si="1"/>
        <v>P</v>
      </c>
      <c r="O53" s="3">
        <f t="shared" si="2"/>
        <v>5</v>
      </c>
    </row>
    <row r="54" spans="1:15" ht="15.75" x14ac:dyDescent="0.25">
      <c r="A54" s="55">
        <v>39082</v>
      </c>
      <c r="B54" s="56" t="s">
        <v>184</v>
      </c>
      <c r="C54" s="56" t="s">
        <v>112</v>
      </c>
      <c r="F54" s="1">
        <v>39048</v>
      </c>
      <c r="G54" s="1">
        <v>39082</v>
      </c>
      <c r="H54" t="s">
        <v>86</v>
      </c>
      <c r="I54" t="s">
        <v>14</v>
      </c>
      <c r="J54" t="s">
        <v>12</v>
      </c>
      <c r="L54" t="s">
        <v>21</v>
      </c>
      <c r="M54" s="17" t="str">
        <f t="shared" si="0"/>
        <v>WksInPrd</v>
      </c>
      <c r="N54" s="19" t="str">
        <f t="shared" si="1"/>
        <v>P</v>
      </c>
      <c r="O54" s="3">
        <f t="shared" si="2"/>
        <v>5</v>
      </c>
    </row>
    <row r="55" spans="1:15" ht="15.75" x14ac:dyDescent="0.25">
      <c r="A55" s="55">
        <v>43100</v>
      </c>
      <c r="B55" s="56" t="s">
        <v>184</v>
      </c>
      <c r="C55" s="56" t="s">
        <v>112</v>
      </c>
      <c r="F55" s="1">
        <v>43066</v>
      </c>
      <c r="G55" s="1">
        <v>43100</v>
      </c>
      <c r="H55" t="s">
        <v>70</v>
      </c>
      <c r="I55" t="s">
        <v>14</v>
      </c>
      <c r="J55" t="s">
        <v>12</v>
      </c>
      <c r="L55" t="s">
        <v>21</v>
      </c>
      <c r="M55" s="17" t="str">
        <f t="shared" si="0"/>
        <v>WksInPrd</v>
      </c>
      <c r="N55" s="19" t="str">
        <f t="shared" si="1"/>
        <v>P</v>
      </c>
      <c r="O55" s="3">
        <f t="shared" si="2"/>
        <v>5</v>
      </c>
    </row>
    <row r="56" spans="1:15" ht="15.75" x14ac:dyDescent="0.25">
      <c r="A56" s="55">
        <v>47118</v>
      </c>
      <c r="B56" s="56" t="s">
        <v>184</v>
      </c>
      <c r="C56" s="56" t="s">
        <v>112</v>
      </c>
      <c r="F56" s="1">
        <v>47084</v>
      </c>
      <c r="G56" s="1">
        <v>47118</v>
      </c>
      <c r="H56" t="s">
        <v>103</v>
      </c>
      <c r="I56" t="s">
        <v>14</v>
      </c>
      <c r="J56" t="s">
        <v>12</v>
      </c>
      <c r="L56" t="s">
        <v>21</v>
      </c>
      <c r="M56" s="17" t="str">
        <f t="shared" si="0"/>
        <v>WksInPrd</v>
      </c>
      <c r="N56" s="19" t="str">
        <f t="shared" si="1"/>
        <v>P</v>
      </c>
      <c r="O56" s="3">
        <f t="shared" si="2"/>
        <v>5</v>
      </c>
    </row>
    <row r="57" spans="1:15" ht="15.75" x14ac:dyDescent="0.25">
      <c r="A57" s="55">
        <v>39048</v>
      </c>
      <c r="B57" s="56" t="s">
        <v>184</v>
      </c>
      <c r="C57" s="56" t="s">
        <v>111</v>
      </c>
      <c r="F57" s="1">
        <v>39048</v>
      </c>
      <c r="G57" s="1">
        <v>39082</v>
      </c>
      <c r="H57" t="s">
        <v>86</v>
      </c>
      <c r="I57" t="s">
        <v>14</v>
      </c>
      <c r="J57" t="s">
        <v>12</v>
      </c>
      <c r="L57" t="s">
        <v>21</v>
      </c>
      <c r="M57" s="17" t="str">
        <f t="shared" si="0"/>
        <v>WksInPrd</v>
      </c>
      <c r="N57" s="19" t="str">
        <f t="shared" si="1"/>
        <v>P</v>
      </c>
      <c r="O57" s="3">
        <f t="shared" si="2"/>
        <v>5</v>
      </c>
    </row>
    <row r="58" spans="1:15" ht="15.75" x14ac:dyDescent="0.25">
      <c r="A58" s="55">
        <v>43066</v>
      </c>
      <c r="B58" s="56" t="s">
        <v>184</v>
      </c>
      <c r="C58" s="56" t="s">
        <v>111</v>
      </c>
      <c r="F58" s="1">
        <v>43066</v>
      </c>
      <c r="G58" s="1">
        <v>43100</v>
      </c>
      <c r="H58" t="s">
        <v>70</v>
      </c>
      <c r="I58" t="s">
        <v>14</v>
      </c>
      <c r="J58" t="s">
        <v>12</v>
      </c>
      <c r="L58" t="s">
        <v>21</v>
      </c>
      <c r="M58" s="17" t="str">
        <f t="shared" si="0"/>
        <v>WksInPrd</v>
      </c>
      <c r="N58" s="19" t="str">
        <f t="shared" si="1"/>
        <v>P</v>
      </c>
      <c r="O58" s="3">
        <f t="shared" si="2"/>
        <v>5</v>
      </c>
    </row>
    <row r="59" spans="1:15" ht="15.75" x14ac:dyDescent="0.25">
      <c r="A59" s="55">
        <v>47084</v>
      </c>
      <c r="B59" s="56" t="s">
        <v>184</v>
      </c>
      <c r="C59" s="56" t="s">
        <v>111</v>
      </c>
      <c r="F59" s="1">
        <v>47084</v>
      </c>
      <c r="G59" s="1">
        <v>47118</v>
      </c>
      <c r="H59" t="s">
        <v>103</v>
      </c>
      <c r="I59" t="s">
        <v>14</v>
      </c>
      <c r="J59" t="s">
        <v>12</v>
      </c>
      <c r="L59" t="s">
        <v>21</v>
      </c>
      <c r="M59" s="17" t="str">
        <f t="shared" si="0"/>
        <v>WksInPrd</v>
      </c>
      <c r="N59" s="19" t="str">
        <f t="shared" si="1"/>
        <v>P</v>
      </c>
      <c r="O59" s="3">
        <f t="shared" si="2"/>
        <v>5</v>
      </c>
    </row>
    <row r="60" spans="1:15" ht="15.75" x14ac:dyDescent="0.25">
      <c r="A60" s="55">
        <v>39082</v>
      </c>
      <c r="B60" s="56" t="s">
        <v>184</v>
      </c>
      <c r="C60" s="56" t="s">
        <v>112</v>
      </c>
      <c r="F60" s="1">
        <v>39048</v>
      </c>
      <c r="G60" s="1">
        <v>39082</v>
      </c>
      <c r="H60" t="s">
        <v>86</v>
      </c>
      <c r="I60" t="s">
        <v>14</v>
      </c>
      <c r="J60" t="s">
        <v>12</v>
      </c>
      <c r="L60" t="s">
        <v>21</v>
      </c>
      <c r="M60" s="17" t="str">
        <f t="shared" si="0"/>
        <v>WksInPrd</v>
      </c>
      <c r="N60" s="19" t="str">
        <f t="shared" si="1"/>
        <v>P</v>
      </c>
      <c r="O60" s="3">
        <f t="shared" si="2"/>
        <v>5</v>
      </c>
    </row>
    <row r="61" spans="1:15" ht="15.75" x14ac:dyDescent="0.25">
      <c r="A61" s="55">
        <v>43100</v>
      </c>
      <c r="B61" s="56" t="s">
        <v>184</v>
      </c>
      <c r="C61" s="56" t="s">
        <v>112</v>
      </c>
      <c r="F61" s="1">
        <v>43066</v>
      </c>
      <c r="G61" s="1">
        <v>43100</v>
      </c>
      <c r="H61" t="s">
        <v>70</v>
      </c>
      <c r="I61" t="s">
        <v>14</v>
      </c>
      <c r="J61" t="s">
        <v>12</v>
      </c>
      <c r="L61" t="s">
        <v>21</v>
      </c>
      <c r="M61" s="17" t="str">
        <f t="shared" si="0"/>
        <v>WksInPrd</v>
      </c>
      <c r="N61" s="19" t="str">
        <f t="shared" si="1"/>
        <v>P</v>
      </c>
      <c r="O61" s="3">
        <f t="shared" si="2"/>
        <v>5</v>
      </c>
    </row>
    <row r="62" spans="1:15" ht="15.75" x14ac:dyDescent="0.25">
      <c r="A62" s="55">
        <v>47118</v>
      </c>
      <c r="B62" s="56" t="s">
        <v>184</v>
      </c>
      <c r="C62" s="56" t="s">
        <v>112</v>
      </c>
      <c r="F62" s="1">
        <v>47084</v>
      </c>
      <c r="G62" s="1">
        <v>47118</v>
      </c>
      <c r="H62" t="s">
        <v>103</v>
      </c>
      <c r="I62" t="s">
        <v>14</v>
      </c>
      <c r="J62" t="s">
        <v>12</v>
      </c>
      <c r="L62" t="s">
        <v>21</v>
      </c>
      <c r="M62" s="17" t="str">
        <f t="shared" si="0"/>
        <v>WksInPrd</v>
      </c>
      <c r="N62" s="19" t="str">
        <f t="shared" si="1"/>
        <v>P</v>
      </c>
      <c r="O62" s="3">
        <f t="shared" si="2"/>
        <v>5</v>
      </c>
    </row>
    <row r="63" spans="1:15" ht="15.75" x14ac:dyDescent="0.25">
      <c r="A63" s="55">
        <v>39048</v>
      </c>
      <c r="B63" s="56" t="s">
        <v>184</v>
      </c>
      <c r="C63" s="56" t="s">
        <v>111</v>
      </c>
      <c r="F63" s="1">
        <v>39048</v>
      </c>
      <c r="G63" s="1">
        <v>39082</v>
      </c>
      <c r="H63" t="s">
        <v>86</v>
      </c>
      <c r="I63" t="s">
        <v>14</v>
      </c>
      <c r="J63" t="s">
        <v>12</v>
      </c>
      <c r="L63" t="s">
        <v>21</v>
      </c>
      <c r="M63" s="17" t="str">
        <f t="shared" si="0"/>
        <v>WksInPrd</v>
      </c>
      <c r="N63" s="19" t="str">
        <f t="shared" si="1"/>
        <v>P</v>
      </c>
      <c r="O63" s="3">
        <f t="shared" si="2"/>
        <v>5</v>
      </c>
    </row>
    <row r="64" spans="1:15" ht="15.75" x14ac:dyDescent="0.25">
      <c r="A64" s="55">
        <v>43066</v>
      </c>
      <c r="B64" s="56" t="s">
        <v>184</v>
      </c>
      <c r="C64" s="56" t="s">
        <v>111</v>
      </c>
      <c r="F64" s="1">
        <v>43066</v>
      </c>
      <c r="G64" s="1">
        <v>43100</v>
      </c>
      <c r="H64" t="s">
        <v>70</v>
      </c>
      <c r="I64" t="s">
        <v>14</v>
      </c>
      <c r="J64" t="s">
        <v>12</v>
      </c>
      <c r="L64" t="s">
        <v>21</v>
      </c>
      <c r="M64" s="17" t="str">
        <f t="shared" si="0"/>
        <v>WksInPrd</v>
      </c>
      <c r="N64" s="19" t="str">
        <f t="shared" si="1"/>
        <v>P</v>
      </c>
      <c r="O64" s="3">
        <f t="shared" si="2"/>
        <v>5</v>
      </c>
    </row>
    <row r="65" spans="1:15" ht="15.75" x14ac:dyDescent="0.25">
      <c r="A65" s="55">
        <v>47084</v>
      </c>
      <c r="B65" s="56" t="s">
        <v>184</v>
      </c>
      <c r="C65" s="56" t="s">
        <v>111</v>
      </c>
      <c r="F65" s="1">
        <v>47084</v>
      </c>
      <c r="G65" s="1">
        <v>47118</v>
      </c>
      <c r="H65" t="s">
        <v>103</v>
      </c>
      <c r="I65" t="s">
        <v>14</v>
      </c>
      <c r="J65" t="s">
        <v>12</v>
      </c>
      <c r="L65" t="s">
        <v>21</v>
      </c>
      <c r="M65" s="17" t="str">
        <f t="shared" si="0"/>
        <v>WksInPrd</v>
      </c>
      <c r="N65" s="19" t="str">
        <f t="shared" si="1"/>
        <v>P</v>
      </c>
      <c r="O65" s="3">
        <f t="shared" si="2"/>
        <v>5</v>
      </c>
    </row>
    <row r="66" spans="1:15" ht="15.75" x14ac:dyDescent="0.25">
      <c r="A66" s="55">
        <v>39082</v>
      </c>
      <c r="B66" s="56" t="s">
        <v>184</v>
      </c>
      <c r="C66" s="56" t="s">
        <v>112</v>
      </c>
      <c r="F66" s="1">
        <v>39048</v>
      </c>
      <c r="G66" s="1">
        <v>39082</v>
      </c>
      <c r="H66" t="s">
        <v>86</v>
      </c>
      <c r="I66" t="s">
        <v>14</v>
      </c>
      <c r="J66" t="s">
        <v>12</v>
      </c>
      <c r="L66" t="s">
        <v>21</v>
      </c>
      <c r="M66" s="17" t="str">
        <f t="shared" si="0"/>
        <v>WksInPrd</v>
      </c>
      <c r="N66" s="19" t="str">
        <f t="shared" si="1"/>
        <v>P</v>
      </c>
      <c r="O66" s="3">
        <f t="shared" si="2"/>
        <v>5</v>
      </c>
    </row>
    <row r="67" spans="1:15" ht="15.75" x14ac:dyDescent="0.25">
      <c r="A67" s="55">
        <v>43100</v>
      </c>
      <c r="B67" s="56" t="s">
        <v>184</v>
      </c>
      <c r="C67" s="56" t="s">
        <v>112</v>
      </c>
      <c r="F67" s="1">
        <v>43066</v>
      </c>
      <c r="G67" s="1">
        <v>43100</v>
      </c>
      <c r="H67" t="s">
        <v>70</v>
      </c>
      <c r="I67" t="s">
        <v>14</v>
      </c>
      <c r="J67" t="s">
        <v>12</v>
      </c>
      <c r="L67" t="s">
        <v>21</v>
      </c>
      <c r="M67" s="17" t="str">
        <f t="shared" si="0"/>
        <v>WksInPrd</v>
      </c>
      <c r="N67" s="19" t="str">
        <f t="shared" si="1"/>
        <v>P</v>
      </c>
      <c r="O67" s="3">
        <f t="shared" si="2"/>
        <v>5</v>
      </c>
    </row>
    <row r="68" spans="1:15" ht="15.75" x14ac:dyDescent="0.25">
      <c r="A68" s="55">
        <v>47118</v>
      </c>
      <c r="B68" s="56" t="s">
        <v>184</v>
      </c>
      <c r="C68" s="56" t="s">
        <v>112</v>
      </c>
      <c r="F68" s="1">
        <v>47084</v>
      </c>
      <c r="G68" s="1">
        <v>47118</v>
      </c>
      <c r="H68" t="s">
        <v>103</v>
      </c>
      <c r="I68" t="s">
        <v>14</v>
      </c>
      <c r="J68" t="s">
        <v>12</v>
      </c>
      <c r="L68" t="s">
        <v>21</v>
      </c>
      <c r="M68" s="17" t="str">
        <f t="shared" si="0"/>
        <v>WksInPrd</v>
      </c>
      <c r="N68" s="19" t="str">
        <f t="shared" si="1"/>
        <v>P</v>
      </c>
      <c r="O68" s="3">
        <f t="shared" si="2"/>
        <v>5</v>
      </c>
    </row>
    <row r="69" spans="1:15" ht="15.75" x14ac:dyDescent="0.25">
      <c r="A69" s="1">
        <v>44291</v>
      </c>
      <c r="B69" s="56" t="s">
        <v>184</v>
      </c>
      <c r="C69" s="57" t="s">
        <v>138</v>
      </c>
      <c r="F69" s="1">
        <v>44277</v>
      </c>
      <c r="G69" s="1">
        <v>44304</v>
      </c>
      <c r="H69" t="s">
        <v>74</v>
      </c>
      <c r="I69" t="s">
        <v>12</v>
      </c>
      <c r="J69" t="s">
        <v>17</v>
      </c>
      <c r="L69" t="s">
        <v>22</v>
      </c>
      <c r="M69" s="17" t="str">
        <f t="shared" si="0"/>
        <v>WksInPrd</v>
      </c>
      <c r="N69" s="19" t="str">
        <f t="shared" si="1"/>
        <v>P</v>
      </c>
      <c r="O69" s="3">
        <f t="shared" si="2"/>
        <v>4</v>
      </c>
    </row>
    <row r="70" spans="1:15" ht="15.75" x14ac:dyDescent="0.25">
      <c r="A70" s="1">
        <v>41164</v>
      </c>
      <c r="B70" s="56" t="s">
        <v>184</v>
      </c>
      <c r="C70" s="57" t="s">
        <v>138</v>
      </c>
      <c r="F70" s="1">
        <v>41155</v>
      </c>
      <c r="G70" s="1">
        <v>41182</v>
      </c>
      <c r="H70" t="s">
        <v>53</v>
      </c>
      <c r="I70" t="s">
        <v>144</v>
      </c>
      <c r="J70" t="s">
        <v>54</v>
      </c>
      <c r="L70" t="s">
        <v>22</v>
      </c>
      <c r="M70" s="17" t="str">
        <f t="shared" si="0"/>
        <v>WksInPrd</v>
      </c>
      <c r="N70" s="19" t="str">
        <f t="shared" si="1"/>
        <v>P</v>
      </c>
      <c r="O70" s="3">
        <f t="shared" si="2"/>
        <v>4</v>
      </c>
    </row>
    <row r="71" spans="1:15" ht="15.75" x14ac:dyDescent="0.25">
      <c r="A71" s="1">
        <v>39247</v>
      </c>
      <c r="B71" s="56" t="s">
        <v>184</v>
      </c>
      <c r="C71" s="57" t="s">
        <v>138</v>
      </c>
      <c r="F71" s="1">
        <v>39223</v>
      </c>
      <c r="G71" s="1">
        <v>39250</v>
      </c>
      <c r="H71" t="s">
        <v>87</v>
      </c>
      <c r="I71" t="s">
        <v>146</v>
      </c>
      <c r="J71" t="s">
        <v>143</v>
      </c>
      <c r="L71" t="s">
        <v>22</v>
      </c>
      <c r="M71" s="17" t="str">
        <f t="shared" si="0"/>
        <v>WksInPrd</v>
      </c>
      <c r="N71" s="19" t="str">
        <f t="shared" si="1"/>
        <v>P</v>
      </c>
      <c r="O71" s="3">
        <f t="shared" si="2"/>
        <v>4</v>
      </c>
    </row>
    <row r="72" spans="1:15" ht="15.75" x14ac:dyDescent="0.25">
      <c r="A72" s="1">
        <v>46938</v>
      </c>
      <c r="B72" s="56" t="s">
        <v>184</v>
      </c>
      <c r="C72" s="57" t="s">
        <v>138</v>
      </c>
      <c r="F72" s="1">
        <v>46916</v>
      </c>
      <c r="G72" s="1">
        <v>46943</v>
      </c>
      <c r="H72" t="s">
        <v>103</v>
      </c>
      <c r="I72" t="s">
        <v>151</v>
      </c>
      <c r="J72" t="s">
        <v>143</v>
      </c>
      <c r="L72" t="s">
        <v>22</v>
      </c>
      <c r="M72" s="17" t="str">
        <f t="shared" si="0"/>
        <v>WksInPrd</v>
      </c>
      <c r="N72" s="19" t="str">
        <f t="shared" si="1"/>
        <v>P</v>
      </c>
      <c r="O72" s="3">
        <f t="shared" si="2"/>
        <v>4</v>
      </c>
    </row>
    <row r="73" spans="1:15" ht="15.75" x14ac:dyDescent="0.25">
      <c r="A73" s="1">
        <v>36983</v>
      </c>
      <c r="B73" s="56" t="s">
        <v>184</v>
      </c>
      <c r="C73" s="57" t="s">
        <v>138</v>
      </c>
      <c r="F73" s="1">
        <v>36976</v>
      </c>
      <c r="G73" s="1">
        <v>37003</v>
      </c>
      <c r="H73" t="s">
        <v>77</v>
      </c>
      <c r="I73" t="s">
        <v>12</v>
      </c>
      <c r="J73" t="s">
        <v>17</v>
      </c>
      <c r="L73" t="s">
        <v>22</v>
      </c>
      <c r="M73" s="17" t="str">
        <f t="shared" ref="M73:M99" si="3">B73</f>
        <v>WksInPrd</v>
      </c>
      <c r="N73" s="19" t="str">
        <f t="shared" ref="N73:N99" si="4">IF(VALUE(L73)=VALUE(O73), "P","F")</f>
        <v>P</v>
      </c>
      <c r="O73" s="3">
        <f t="shared" ref="O73:O99" si="5">(G73-F73+1)/7</f>
        <v>4</v>
      </c>
    </row>
    <row r="74" spans="1:15" ht="15.75" x14ac:dyDescent="0.25">
      <c r="A74" s="1">
        <v>41196</v>
      </c>
      <c r="B74" s="56" t="s">
        <v>184</v>
      </c>
      <c r="C74" s="57" t="s">
        <v>138</v>
      </c>
      <c r="F74" s="1">
        <v>41183</v>
      </c>
      <c r="G74" s="1">
        <v>41210</v>
      </c>
      <c r="H74" t="s">
        <v>53</v>
      </c>
      <c r="I74" t="s">
        <v>150</v>
      </c>
      <c r="J74" t="s">
        <v>12</v>
      </c>
      <c r="L74" t="s">
        <v>22</v>
      </c>
      <c r="M74" s="17" t="str">
        <f t="shared" si="3"/>
        <v>WksInPrd</v>
      </c>
      <c r="N74" s="19" t="str">
        <f t="shared" si="4"/>
        <v>P</v>
      </c>
      <c r="O74" s="3">
        <f t="shared" si="5"/>
        <v>4</v>
      </c>
    </row>
    <row r="75" spans="1:15" ht="15.75" x14ac:dyDescent="0.25">
      <c r="A75" s="1">
        <v>36772</v>
      </c>
      <c r="B75" s="56" t="s">
        <v>184</v>
      </c>
      <c r="C75" s="57" t="s">
        <v>138</v>
      </c>
      <c r="F75" s="1">
        <v>36752</v>
      </c>
      <c r="G75" s="1">
        <v>36779</v>
      </c>
      <c r="H75" t="s">
        <v>76</v>
      </c>
      <c r="I75" t="s">
        <v>141</v>
      </c>
      <c r="J75" t="s">
        <v>54</v>
      </c>
      <c r="L75" t="s">
        <v>22</v>
      </c>
      <c r="M75" s="17" t="str">
        <f t="shared" si="3"/>
        <v>WksInPrd</v>
      </c>
      <c r="N75" s="19" t="str">
        <f t="shared" si="4"/>
        <v>P</v>
      </c>
      <c r="O75" s="3">
        <f t="shared" si="5"/>
        <v>4</v>
      </c>
    </row>
    <row r="76" spans="1:15" ht="15.75" x14ac:dyDescent="0.25">
      <c r="A76" s="1">
        <v>44785</v>
      </c>
      <c r="B76" s="56" t="s">
        <v>184</v>
      </c>
      <c r="C76" s="57" t="s">
        <v>138</v>
      </c>
      <c r="F76" s="1">
        <v>44781</v>
      </c>
      <c r="G76" s="1">
        <v>44808</v>
      </c>
      <c r="H76" t="s">
        <v>95</v>
      </c>
      <c r="I76" t="s">
        <v>141</v>
      </c>
      <c r="J76" t="s">
        <v>54</v>
      </c>
      <c r="L76" t="s">
        <v>22</v>
      </c>
      <c r="M76" s="17" t="str">
        <f t="shared" si="3"/>
        <v>WksInPrd</v>
      </c>
      <c r="N76" s="19" t="str">
        <f t="shared" si="4"/>
        <v>P</v>
      </c>
      <c r="O76" s="3">
        <f t="shared" si="5"/>
        <v>4</v>
      </c>
    </row>
    <row r="77" spans="1:15" ht="15.75" x14ac:dyDescent="0.25">
      <c r="A77" s="1">
        <v>42876</v>
      </c>
      <c r="B77" s="56" t="s">
        <v>184</v>
      </c>
      <c r="C77" s="57" t="s">
        <v>138</v>
      </c>
      <c r="F77" s="1">
        <v>42870</v>
      </c>
      <c r="G77" s="1">
        <v>42897</v>
      </c>
      <c r="H77" t="s">
        <v>70</v>
      </c>
      <c r="I77" t="s">
        <v>146</v>
      </c>
      <c r="J77" t="s">
        <v>143</v>
      </c>
      <c r="L77" t="s">
        <v>22</v>
      </c>
      <c r="M77" s="17" t="str">
        <f t="shared" si="3"/>
        <v>WksInPrd</v>
      </c>
      <c r="N77" s="19" t="str">
        <f t="shared" si="4"/>
        <v>P</v>
      </c>
      <c r="O77" s="3">
        <f t="shared" si="5"/>
        <v>4</v>
      </c>
    </row>
    <row r="78" spans="1:15" ht="15.75" x14ac:dyDescent="0.25">
      <c r="A78" s="1">
        <v>39091</v>
      </c>
      <c r="B78" s="56" t="s">
        <v>184</v>
      </c>
      <c r="C78" s="57" t="s">
        <v>138</v>
      </c>
      <c r="F78" s="1">
        <v>39083</v>
      </c>
      <c r="G78" s="1">
        <v>39110</v>
      </c>
      <c r="H78" t="s">
        <v>87</v>
      </c>
      <c r="I78" t="s">
        <v>17</v>
      </c>
      <c r="J78" t="s">
        <v>17</v>
      </c>
      <c r="L78" t="s">
        <v>22</v>
      </c>
      <c r="M78" s="17" t="str">
        <f t="shared" si="3"/>
        <v>WksInPrd</v>
      </c>
      <c r="N78" s="19" t="str">
        <f t="shared" si="4"/>
        <v>P</v>
      </c>
      <c r="O78" s="3">
        <f t="shared" si="5"/>
        <v>4</v>
      </c>
    </row>
    <row r="79" spans="1:15" ht="15.75" x14ac:dyDescent="0.25">
      <c r="A79" s="1">
        <v>38972</v>
      </c>
      <c r="B79" s="56" t="s">
        <v>184</v>
      </c>
      <c r="C79" s="57" t="s">
        <v>138</v>
      </c>
      <c r="F79" s="1">
        <v>38964</v>
      </c>
      <c r="G79" s="1">
        <v>38991</v>
      </c>
      <c r="H79" t="s">
        <v>86</v>
      </c>
      <c r="I79" t="s">
        <v>144</v>
      </c>
      <c r="J79" t="s">
        <v>54</v>
      </c>
      <c r="L79" t="s">
        <v>22</v>
      </c>
      <c r="M79" s="17" t="str">
        <f t="shared" si="3"/>
        <v>WksInPrd</v>
      </c>
      <c r="N79" s="19" t="str">
        <f t="shared" si="4"/>
        <v>P</v>
      </c>
      <c r="O79" s="3">
        <f t="shared" si="5"/>
        <v>4</v>
      </c>
    </row>
    <row r="80" spans="1:15" ht="15.75" x14ac:dyDescent="0.25">
      <c r="A80" s="1">
        <v>38974</v>
      </c>
      <c r="B80" s="56" t="s">
        <v>184</v>
      </c>
      <c r="C80" s="57" t="s">
        <v>138</v>
      </c>
      <c r="F80" s="1">
        <v>38964</v>
      </c>
      <c r="G80" s="1">
        <v>38991</v>
      </c>
      <c r="H80" t="s">
        <v>86</v>
      </c>
      <c r="I80" t="s">
        <v>144</v>
      </c>
      <c r="J80" t="s">
        <v>54</v>
      </c>
      <c r="L80" t="s">
        <v>22</v>
      </c>
      <c r="M80" s="17" t="str">
        <f t="shared" si="3"/>
        <v>WksInPrd</v>
      </c>
      <c r="N80" s="19" t="str">
        <f t="shared" si="4"/>
        <v>P</v>
      </c>
      <c r="O80" s="3">
        <f t="shared" si="5"/>
        <v>4</v>
      </c>
    </row>
    <row r="81" spans="1:15" ht="15.75" x14ac:dyDescent="0.25">
      <c r="A81" s="1">
        <v>43106</v>
      </c>
      <c r="B81" s="56" t="s">
        <v>184</v>
      </c>
      <c r="C81" s="57" t="s">
        <v>138</v>
      </c>
      <c r="F81" s="1">
        <v>43101</v>
      </c>
      <c r="G81" s="1">
        <v>43128</v>
      </c>
      <c r="H81" t="s">
        <v>72</v>
      </c>
      <c r="I81" t="s">
        <v>17</v>
      </c>
      <c r="J81" t="s">
        <v>17</v>
      </c>
      <c r="L81" t="s">
        <v>22</v>
      </c>
      <c r="M81" s="17" t="str">
        <f t="shared" si="3"/>
        <v>WksInPrd</v>
      </c>
      <c r="N81" s="19" t="str">
        <f t="shared" si="4"/>
        <v>P</v>
      </c>
      <c r="O81" s="3">
        <f t="shared" si="5"/>
        <v>4</v>
      </c>
    </row>
    <row r="82" spans="1:15" ht="15.75" x14ac:dyDescent="0.25">
      <c r="A82" s="1">
        <v>37097</v>
      </c>
      <c r="B82" s="56" t="s">
        <v>184</v>
      </c>
      <c r="C82" s="57" t="s">
        <v>138</v>
      </c>
      <c r="F82" s="1">
        <v>37088</v>
      </c>
      <c r="G82" s="1">
        <v>37115</v>
      </c>
      <c r="H82" t="s">
        <v>77</v>
      </c>
      <c r="I82" t="s">
        <v>148</v>
      </c>
      <c r="J82" t="s">
        <v>54</v>
      </c>
      <c r="L82" t="s">
        <v>22</v>
      </c>
      <c r="M82" s="17" t="str">
        <f t="shared" si="3"/>
        <v>WksInPrd</v>
      </c>
      <c r="N82" s="19" t="str">
        <f t="shared" si="4"/>
        <v>P</v>
      </c>
      <c r="O82" s="3">
        <f t="shared" si="5"/>
        <v>4</v>
      </c>
    </row>
    <row r="83" spans="1:15" ht="15.75" x14ac:dyDescent="0.25">
      <c r="A83" s="1">
        <v>46486</v>
      </c>
      <c r="B83" s="56" t="s">
        <v>184</v>
      </c>
      <c r="C83" s="57" t="s">
        <v>138</v>
      </c>
      <c r="F83" s="1">
        <v>46468</v>
      </c>
      <c r="G83" s="1">
        <v>46495</v>
      </c>
      <c r="H83" t="s">
        <v>101</v>
      </c>
      <c r="I83" t="s">
        <v>12</v>
      </c>
      <c r="J83" t="s">
        <v>17</v>
      </c>
      <c r="L83" t="s">
        <v>22</v>
      </c>
      <c r="M83" s="17" t="str">
        <f t="shared" si="3"/>
        <v>WksInPrd</v>
      </c>
      <c r="N83" s="19" t="str">
        <f t="shared" si="4"/>
        <v>P</v>
      </c>
      <c r="O83" s="3">
        <f t="shared" si="5"/>
        <v>4</v>
      </c>
    </row>
    <row r="84" spans="1:15" ht="15.75" x14ac:dyDescent="0.25">
      <c r="A84" s="1">
        <v>41136</v>
      </c>
      <c r="B84" s="56" t="s">
        <v>184</v>
      </c>
      <c r="C84" s="57" t="s">
        <v>138</v>
      </c>
      <c r="F84" s="1">
        <v>41127</v>
      </c>
      <c r="G84" s="1">
        <v>41154</v>
      </c>
      <c r="H84" t="s">
        <v>53</v>
      </c>
      <c r="I84" t="s">
        <v>141</v>
      </c>
      <c r="J84" t="s">
        <v>54</v>
      </c>
      <c r="L84" t="s">
        <v>22</v>
      </c>
      <c r="M84" s="17" t="str">
        <f t="shared" si="3"/>
        <v>WksInPrd</v>
      </c>
      <c r="N84" s="19" t="str">
        <f t="shared" si="4"/>
        <v>P</v>
      </c>
      <c r="O84" s="3">
        <f t="shared" si="5"/>
        <v>4</v>
      </c>
    </row>
    <row r="85" spans="1:15" ht="15.75" x14ac:dyDescent="0.25">
      <c r="A85" s="1">
        <v>45908</v>
      </c>
      <c r="B85" s="56" t="s">
        <v>184</v>
      </c>
      <c r="C85" s="57" t="s">
        <v>138</v>
      </c>
      <c r="F85" s="1">
        <v>45908</v>
      </c>
      <c r="G85" s="1">
        <v>45935</v>
      </c>
      <c r="H85" t="s">
        <v>97</v>
      </c>
      <c r="I85" t="s">
        <v>144</v>
      </c>
      <c r="J85" t="s">
        <v>54</v>
      </c>
      <c r="L85" t="s">
        <v>22</v>
      </c>
      <c r="M85" s="17" t="str">
        <f t="shared" si="3"/>
        <v>WksInPrd</v>
      </c>
      <c r="N85" s="19" t="str">
        <f t="shared" si="4"/>
        <v>P</v>
      </c>
      <c r="O85" s="3">
        <f t="shared" si="5"/>
        <v>4</v>
      </c>
    </row>
    <row r="86" spans="1:15" ht="15.75" x14ac:dyDescent="0.25">
      <c r="A86" s="1">
        <v>39434</v>
      </c>
      <c r="B86" s="56" t="s">
        <v>184</v>
      </c>
      <c r="C86" s="57" t="s">
        <v>138</v>
      </c>
      <c r="F86" s="1">
        <v>39419</v>
      </c>
      <c r="G86" s="1">
        <v>39446</v>
      </c>
      <c r="H86" t="s">
        <v>87</v>
      </c>
      <c r="I86" t="s">
        <v>14</v>
      </c>
      <c r="J86" t="s">
        <v>12</v>
      </c>
      <c r="L86" t="s">
        <v>22</v>
      </c>
      <c r="M86" s="17" t="str">
        <f t="shared" si="3"/>
        <v>WksInPrd</v>
      </c>
      <c r="N86" s="19" t="str">
        <f t="shared" si="4"/>
        <v>P</v>
      </c>
      <c r="O86" s="3">
        <f t="shared" si="5"/>
        <v>4</v>
      </c>
    </row>
    <row r="87" spans="1:15" ht="15.75" x14ac:dyDescent="0.25">
      <c r="A87" s="1">
        <v>37178</v>
      </c>
      <c r="B87" s="56" t="s">
        <v>184</v>
      </c>
      <c r="C87" s="57" t="s">
        <v>138</v>
      </c>
      <c r="F87" s="1">
        <v>37172</v>
      </c>
      <c r="G87" s="1">
        <v>37199</v>
      </c>
      <c r="H87" t="s">
        <v>77</v>
      </c>
      <c r="I87" t="s">
        <v>150</v>
      </c>
      <c r="J87" t="s">
        <v>12</v>
      </c>
      <c r="L87" t="s">
        <v>22</v>
      </c>
      <c r="M87" s="17" t="str">
        <f t="shared" si="3"/>
        <v>WksInPrd</v>
      </c>
      <c r="N87" s="19" t="str">
        <f t="shared" si="4"/>
        <v>P</v>
      </c>
      <c r="O87" s="3">
        <f t="shared" si="5"/>
        <v>4</v>
      </c>
    </row>
    <row r="88" spans="1:15" ht="15.75" x14ac:dyDescent="0.25">
      <c r="A88" s="1">
        <v>39317</v>
      </c>
      <c r="B88" s="56" t="s">
        <v>184</v>
      </c>
      <c r="C88" s="57" t="s">
        <v>138</v>
      </c>
      <c r="F88" s="1">
        <v>39307</v>
      </c>
      <c r="G88" s="1">
        <v>39334</v>
      </c>
      <c r="H88" t="s">
        <v>87</v>
      </c>
      <c r="I88" t="s">
        <v>141</v>
      </c>
      <c r="J88" t="s">
        <v>54</v>
      </c>
      <c r="L88" t="s">
        <v>22</v>
      </c>
      <c r="M88" s="17" t="str">
        <f t="shared" si="3"/>
        <v>WksInPrd</v>
      </c>
      <c r="N88" s="19" t="str">
        <f t="shared" si="4"/>
        <v>P</v>
      </c>
      <c r="O88" s="3">
        <f t="shared" si="5"/>
        <v>4</v>
      </c>
    </row>
    <row r="89" spans="1:15" ht="15.75" x14ac:dyDescent="0.25">
      <c r="A89" s="1">
        <v>40619</v>
      </c>
      <c r="B89" s="56" t="s">
        <v>184</v>
      </c>
      <c r="C89" s="57" t="s">
        <v>138</v>
      </c>
      <c r="F89" s="1">
        <v>40595</v>
      </c>
      <c r="G89" s="1">
        <v>40622</v>
      </c>
      <c r="H89" t="s">
        <v>91</v>
      </c>
      <c r="I89" t="s">
        <v>54</v>
      </c>
      <c r="J89" t="s">
        <v>17</v>
      </c>
      <c r="L89" t="s">
        <v>22</v>
      </c>
      <c r="M89" s="17" t="str">
        <f t="shared" si="3"/>
        <v>WksInPrd</v>
      </c>
      <c r="N89" s="19" t="str">
        <f t="shared" si="4"/>
        <v>P</v>
      </c>
      <c r="O89" s="3">
        <f t="shared" si="5"/>
        <v>4</v>
      </c>
    </row>
    <row r="90" spans="1:15" ht="15.75" x14ac:dyDescent="0.25">
      <c r="A90" s="1">
        <v>40480</v>
      </c>
      <c r="B90" s="56" t="s">
        <v>184</v>
      </c>
      <c r="C90" s="57" t="s">
        <v>138</v>
      </c>
      <c r="F90" s="1">
        <v>40455</v>
      </c>
      <c r="G90" s="1">
        <v>40482</v>
      </c>
      <c r="H90" t="s">
        <v>90</v>
      </c>
      <c r="I90" t="s">
        <v>150</v>
      </c>
      <c r="J90" t="s">
        <v>12</v>
      </c>
      <c r="L90" t="s">
        <v>22</v>
      </c>
      <c r="M90" s="17" t="str">
        <f t="shared" si="3"/>
        <v>WksInPrd</v>
      </c>
      <c r="N90" s="19" t="str">
        <f t="shared" si="4"/>
        <v>P</v>
      </c>
      <c r="O90" s="3">
        <f t="shared" si="5"/>
        <v>4</v>
      </c>
    </row>
    <row r="91" spans="1:15" ht="15.75" x14ac:dyDescent="0.25">
      <c r="A91" s="1">
        <v>45146</v>
      </c>
      <c r="B91" s="56" t="s">
        <v>184</v>
      </c>
      <c r="C91" s="57" t="s">
        <v>138</v>
      </c>
      <c r="F91" s="1">
        <v>45145</v>
      </c>
      <c r="G91" s="1">
        <v>45172</v>
      </c>
      <c r="H91" t="s">
        <v>96</v>
      </c>
      <c r="I91" t="s">
        <v>141</v>
      </c>
      <c r="J91" t="s">
        <v>54</v>
      </c>
      <c r="L91" t="s">
        <v>22</v>
      </c>
      <c r="M91" s="17" t="str">
        <f t="shared" si="3"/>
        <v>WksInPrd</v>
      </c>
      <c r="N91" s="19" t="str">
        <f t="shared" si="4"/>
        <v>P</v>
      </c>
      <c r="O91" s="3">
        <f t="shared" si="5"/>
        <v>4</v>
      </c>
    </row>
    <row r="92" spans="1:15" ht="15.75" x14ac:dyDescent="0.25">
      <c r="A92" s="1">
        <v>37226</v>
      </c>
      <c r="B92" s="56" t="s">
        <v>184</v>
      </c>
      <c r="C92" s="57" t="s">
        <v>138</v>
      </c>
      <c r="F92" s="1">
        <v>37200</v>
      </c>
      <c r="G92" s="1">
        <v>37227</v>
      </c>
      <c r="H92" t="s">
        <v>77</v>
      </c>
      <c r="I92" t="s">
        <v>13</v>
      </c>
      <c r="J92" t="s">
        <v>12</v>
      </c>
      <c r="L92" t="s">
        <v>22</v>
      </c>
      <c r="M92" s="17" t="str">
        <f t="shared" si="3"/>
        <v>WksInPrd</v>
      </c>
      <c r="N92" s="19" t="str">
        <f t="shared" si="4"/>
        <v>P</v>
      </c>
      <c r="O92" s="3">
        <f t="shared" si="5"/>
        <v>4</v>
      </c>
    </row>
    <row r="93" spans="1:15" ht="15.75" x14ac:dyDescent="0.25">
      <c r="A93" s="1">
        <v>41868</v>
      </c>
      <c r="B93" s="56" t="s">
        <v>184</v>
      </c>
      <c r="C93" s="57" t="s">
        <v>138</v>
      </c>
      <c r="F93" s="1">
        <v>41862</v>
      </c>
      <c r="G93" s="1">
        <v>41889</v>
      </c>
      <c r="H93" t="s">
        <v>92</v>
      </c>
      <c r="I93" t="s">
        <v>141</v>
      </c>
      <c r="J93" t="s">
        <v>54</v>
      </c>
      <c r="L93" t="s">
        <v>22</v>
      </c>
      <c r="M93" s="17" t="str">
        <f t="shared" si="3"/>
        <v>WksInPrd</v>
      </c>
      <c r="N93" s="19" t="str">
        <f t="shared" si="4"/>
        <v>P</v>
      </c>
      <c r="O93" s="3">
        <f t="shared" si="5"/>
        <v>4</v>
      </c>
    </row>
    <row r="94" spans="1:15" ht="15.75" x14ac:dyDescent="0.25">
      <c r="A94" s="1">
        <v>39129</v>
      </c>
      <c r="B94" s="56" t="s">
        <v>184</v>
      </c>
      <c r="C94" s="57" t="s">
        <v>138</v>
      </c>
      <c r="F94" s="1">
        <v>39111</v>
      </c>
      <c r="G94" s="1">
        <v>39138</v>
      </c>
      <c r="H94" t="s">
        <v>87</v>
      </c>
      <c r="I94" t="s">
        <v>143</v>
      </c>
      <c r="J94" t="s">
        <v>17</v>
      </c>
      <c r="L94" t="s">
        <v>22</v>
      </c>
      <c r="M94" s="17" t="str">
        <f t="shared" si="3"/>
        <v>WksInPrd</v>
      </c>
      <c r="N94" s="19" t="str">
        <f t="shared" si="4"/>
        <v>P</v>
      </c>
      <c r="O94" s="3">
        <f t="shared" si="5"/>
        <v>4</v>
      </c>
    </row>
    <row r="95" spans="1:15" ht="15.75" x14ac:dyDescent="0.25">
      <c r="A95" s="1">
        <v>45388</v>
      </c>
      <c r="B95" s="56" t="s">
        <v>184</v>
      </c>
      <c r="C95" s="57" t="s">
        <v>138</v>
      </c>
      <c r="F95" s="1">
        <v>45376</v>
      </c>
      <c r="G95" s="1">
        <v>45403</v>
      </c>
      <c r="H95" t="s">
        <v>56</v>
      </c>
      <c r="I95" t="s">
        <v>12</v>
      </c>
      <c r="J95" t="s">
        <v>17</v>
      </c>
      <c r="L95" t="s">
        <v>22</v>
      </c>
      <c r="M95" s="17" t="str">
        <f t="shared" si="3"/>
        <v>WksInPrd</v>
      </c>
      <c r="N95" s="19" t="str">
        <f t="shared" si="4"/>
        <v>P</v>
      </c>
      <c r="O95" s="3">
        <f t="shared" si="5"/>
        <v>4</v>
      </c>
    </row>
    <row r="96" spans="1:15" ht="15.75" x14ac:dyDescent="0.25">
      <c r="A96" s="1">
        <v>43212</v>
      </c>
      <c r="B96" s="56" t="s">
        <v>184</v>
      </c>
      <c r="C96" s="57" t="s">
        <v>138</v>
      </c>
      <c r="F96" s="1">
        <v>43185</v>
      </c>
      <c r="G96" s="1">
        <v>43212</v>
      </c>
      <c r="H96" t="s">
        <v>72</v>
      </c>
      <c r="I96" t="s">
        <v>12</v>
      </c>
      <c r="J96" t="s">
        <v>17</v>
      </c>
      <c r="L96" t="s">
        <v>22</v>
      </c>
      <c r="M96" s="17" t="str">
        <f t="shared" si="3"/>
        <v>WksInPrd</v>
      </c>
      <c r="N96" s="19" t="str">
        <f t="shared" si="4"/>
        <v>P</v>
      </c>
      <c r="O96" s="3">
        <f t="shared" si="5"/>
        <v>4</v>
      </c>
    </row>
    <row r="97" spans="1:15" ht="15.75" x14ac:dyDescent="0.25">
      <c r="A97" s="1">
        <v>44954</v>
      </c>
      <c r="B97" s="56" t="s">
        <v>184</v>
      </c>
      <c r="C97" s="57" t="s">
        <v>138</v>
      </c>
      <c r="F97" s="1">
        <v>44949</v>
      </c>
      <c r="G97" s="1">
        <v>44976</v>
      </c>
      <c r="H97" t="s">
        <v>96</v>
      </c>
      <c r="I97" t="s">
        <v>143</v>
      </c>
      <c r="J97" t="s">
        <v>17</v>
      </c>
      <c r="L97" t="s">
        <v>22</v>
      </c>
      <c r="M97" s="17" t="str">
        <f t="shared" si="3"/>
        <v>WksInPrd</v>
      </c>
      <c r="N97" s="19" t="str">
        <f t="shared" si="4"/>
        <v>P</v>
      </c>
      <c r="O97" s="3">
        <f t="shared" si="5"/>
        <v>4</v>
      </c>
    </row>
    <row r="98" spans="1:15" ht="15.75" x14ac:dyDescent="0.25">
      <c r="A98" s="1">
        <v>40198</v>
      </c>
      <c r="B98" s="56" t="s">
        <v>184</v>
      </c>
      <c r="C98" s="57" t="s">
        <v>138</v>
      </c>
      <c r="F98" s="1">
        <v>40175</v>
      </c>
      <c r="G98" s="1">
        <v>40202</v>
      </c>
      <c r="H98" t="s">
        <v>90</v>
      </c>
      <c r="I98" t="s">
        <v>17</v>
      </c>
      <c r="J98" t="s">
        <v>17</v>
      </c>
      <c r="L98" t="s">
        <v>22</v>
      </c>
      <c r="M98" s="17" t="str">
        <f t="shared" si="3"/>
        <v>WksInPrd</v>
      </c>
      <c r="N98" s="19" t="str">
        <f t="shared" si="4"/>
        <v>P</v>
      </c>
      <c r="O98" s="3">
        <f t="shared" si="5"/>
        <v>4</v>
      </c>
    </row>
    <row r="99" spans="1:15" ht="15.75" x14ac:dyDescent="0.25">
      <c r="A99" s="1">
        <v>42741</v>
      </c>
      <c r="B99" s="56" t="s">
        <v>184</v>
      </c>
      <c r="C99" s="57" t="s">
        <v>138</v>
      </c>
      <c r="F99" s="1">
        <v>42730</v>
      </c>
      <c r="G99" s="1">
        <v>42757</v>
      </c>
      <c r="H99" t="s">
        <v>70</v>
      </c>
      <c r="I99" t="s">
        <v>17</v>
      </c>
      <c r="J99" t="s">
        <v>17</v>
      </c>
      <c r="L99" t="s">
        <v>22</v>
      </c>
      <c r="M99" s="17" t="str">
        <f t="shared" si="3"/>
        <v>WksInPrd</v>
      </c>
      <c r="N99" s="19" t="str">
        <f t="shared" si="4"/>
        <v>P</v>
      </c>
      <c r="O99" s="3">
        <f t="shared" si="5"/>
        <v>4</v>
      </c>
    </row>
    <row r="100" spans="1:15" x14ac:dyDescent="0.25">
      <c r="A100" s="1"/>
      <c r="B100" s="3"/>
      <c r="F100" s="1"/>
      <c r="G100" s="1"/>
      <c r="M100" s="1"/>
    </row>
    <row r="101" spans="1:15" x14ac:dyDescent="0.25">
      <c r="A101" s="1"/>
      <c r="B101" s="3"/>
      <c r="F101" s="1"/>
      <c r="G101" s="1"/>
      <c r="M101" s="1"/>
    </row>
    <row r="102" spans="1:15" x14ac:dyDescent="0.25">
      <c r="A102" s="1"/>
      <c r="B102" s="3"/>
      <c r="F102" s="1"/>
      <c r="G102" s="1"/>
      <c r="M102" s="1"/>
    </row>
    <row r="103" spans="1:15" x14ac:dyDescent="0.25">
      <c r="A103" s="1"/>
      <c r="B103" s="3"/>
      <c r="F103" s="1"/>
      <c r="G103" s="1"/>
      <c r="M103" s="1"/>
    </row>
    <row r="104" spans="1:15" x14ac:dyDescent="0.25">
      <c r="A104" s="1"/>
      <c r="B104" s="3"/>
      <c r="F104" s="1"/>
      <c r="G104" s="1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99">
    <cfRule type="cellIs" dxfId="16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5297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5297" r:id="rId4" name="ExecuteQueries"/>
      </mc:Fallback>
    </mc:AlternateContent>
    <mc:AlternateContent xmlns:mc="http://schemas.openxmlformats.org/markup-compatibility/2006">
      <mc:Choice Requires="x14">
        <control shapeId="55298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400050</xdr:colOff>
                <xdr:row>2</xdr:row>
                <xdr:rowOff>104775</xdr:rowOff>
              </to>
            </anchor>
          </controlPr>
        </control>
      </mc:Choice>
      <mc:Fallback>
        <control shapeId="55298" r:id="rId6" name="ClearB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</sheetPr>
  <dimension ref="A1:AV418"/>
  <sheetViews>
    <sheetView topLeftCell="G1" workbookViewId="0">
      <selection activeCell="N25" sqref="N25"/>
    </sheetView>
  </sheetViews>
  <sheetFormatPr defaultRowHeight="15" x14ac:dyDescent="0.25"/>
  <cols>
    <col min="1" max="1" width="10.7109375" bestFit="1" customWidth="1"/>
    <col min="2" max="2" width="19.42578125" customWidth="1"/>
    <col min="3" max="3" width="25.42578125" customWidth="1"/>
    <col min="4" max="4" width="5.425781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4.28515625" customWidth="1"/>
    <col min="13" max="13" width="12.5703125" bestFit="1" customWidth="1"/>
    <col min="16" max="19" width="13" customWidth="1"/>
    <col min="20" max="26" width="11.42578125" customWidth="1"/>
    <col min="28" max="28" width="11.28515625" bestFit="1" customWidth="1"/>
    <col min="32" max="32" width="11.42578125" bestFit="1" customWidth="1"/>
    <col min="33" max="33" width="11.140625" bestFit="1" customWidth="1"/>
    <col min="35" max="35" width="11.140625" customWidth="1"/>
  </cols>
  <sheetData>
    <row r="1" spans="1:48" x14ac:dyDescent="0.25">
      <c r="E1"/>
      <c r="K1"/>
      <c r="L1" t="s">
        <v>237</v>
      </c>
    </row>
    <row r="2" spans="1:48" x14ac:dyDescent="0.25">
      <c r="E2"/>
      <c r="H2" t="s">
        <v>20</v>
      </c>
      <c r="I2" s="5">
        <v>79</v>
      </c>
      <c r="K2"/>
    </row>
    <row r="3" spans="1:48" x14ac:dyDescent="0.25">
      <c r="E3"/>
      <c r="K3"/>
    </row>
    <row r="4" spans="1:48" s="2" customFormat="1" ht="15.75" thickBot="1" x14ac:dyDescent="0.3"/>
    <row r="5" spans="1:4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0"/>
      <c r="Q5" s="160"/>
      <c r="R5" s="160"/>
      <c r="S5" s="160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</row>
    <row r="6" spans="1:4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17" t="s">
        <v>1140</v>
      </c>
      <c r="P6" s="13" t="s">
        <v>726</v>
      </c>
      <c r="Q6" s="122" t="s">
        <v>727</v>
      </c>
      <c r="R6" s="122" t="s">
        <v>728</v>
      </c>
      <c r="S6" s="14" t="s">
        <v>729</v>
      </c>
      <c r="T6" s="12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</row>
    <row r="7" spans="1:48" s="2" customFormat="1" ht="15" customHeight="1" x14ac:dyDescent="0.25">
      <c r="F7" s="6"/>
      <c r="G7" s="6"/>
      <c r="M7" s="15"/>
      <c r="N7" s="16"/>
      <c r="O7" s="118"/>
      <c r="P7" s="15"/>
      <c r="Q7" s="118"/>
      <c r="R7" s="118"/>
      <c r="S7" s="16"/>
      <c r="T7" s="106" t="s">
        <v>584</v>
      </c>
      <c r="U7" s="106" t="s">
        <v>575</v>
      </c>
      <c r="V7" s="106" t="s">
        <v>576</v>
      </c>
      <c r="W7" s="106" t="s">
        <v>577</v>
      </c>
      <c r="X7" s="106" t="s">
        <v>585</v>
      </c>
      <c r="Y7" s="106" t="s">
        <v>578</v>
      </c>
      <c r="Z7" s="106" t="s">
        <v>579</v>
      </c>
      <c r="AA7" s="106" t="s">
        <v>587</v>
      </c>
      <c r="AB7" s="106" t="s">
        <v>580</v>
      </c>
      <c r="AC7" s="106" t="s">
        <v>581</v>
      </c>
      <c r="AD7" s="106" t="s">
        <v>586</v>
      </c>
      <c r="AE7" s="106" t="s">
        <v>582</v>
      </c>
      <c r="AF7" s="106" t="s">
        <v>583</v>
      </c>
      <c r="AG7" s="114" t="s">
        <v>725</v>
      </c>
    </row>
    <row r="8" spans="1:48" ht="15.75" x14ac:dyDescent="0.25">
      <c r="A8" s="50">
        <v>41274</v>
      </c>
      <c r="B8" s="56" t="str">
        <f>$L$1</f>
        <v>DaysInQtr</v>
      </c>
      <c r="C8" s="56"/>
      <c r="D8" s="111"/>
      <c r="F8" s="1">
        <v>41274</v>
      </c>
      <c r="G8" s="1">
        <v>41301</v>
      </c>
      <c r="H8" t="s">
        <v>67</v>
      </c>
      <c r="I8" t="s">
        <v>17</v>
      </c>
      <c r="J8" t="s">
        <v>17</v>
      </c>
      <c r="L8" t="s">
        <v>15</v>
      </c>
      <c r="M8" s="17" t="str">
        <f>B8</f>
        <v>DaysInQtr</v>
      </c>
      <c r="N8" s="18" t="str">
        <f>IF(VALUE(O8) =VALUE(L8), "P", "F")</f>
        <v>P</v>
      </c>
      <c r="O8" s="119">
        <f>IF(J8 = "01", (A8-P8) + 1, IF(J8 = "02", (A8-Q8) + 1, IF(J8 ="03", (A8 - R8) + 1, IF(J8 = "04", (A8 - S8) + 1, "FFF"))))</f>
        <v>1</v>
      </c>
      <c r="P8" s="123" t="str">
        <f>T8</f>
        <v>12/31/2012</v>
      </c>
      <c r="Q8" s="94" t="str">
        <f>X8</f>
        <v>4/22/2013</v>
      </c>
      <c r="R8" s="124" t="str">
        <f>AA8</f>
        <v>7/15/2013</v>
      </c>
      <c r="S8" s="125" t="str">
        <f>AD8</f>
        <v>10/ 7/2013</v>
      </c>
      <c r="T8" s="120" t="s">
        <v>730</v>
      </c>
      <c r="U8" s="103" t="s">
        <v>731</v>
      </c>
      <c r="V8" s="104" t="s">
        <v>732</v>
      </c>
      <c r="W8" s="105" t="s">
        <v>733</v>
      </c>
      <c r="X8" s="97" t="s">
        <v>734</v>
      </c>
      <c r="Y8" s="97" t="s">
        <v>735</v>
      </c>
      <c r="Z8" s="97" t="s">
        <v>736</v>
      </c>
      <c r="AA8" s="97" t="s">
        <v>737</v>
      </c>
      <c r="AB8" s="97" t="s">
        <v>738</v>
      </c>
      <c r="AC8" s="97" t="s">
        <v>739</v>
      </c>
      <c r="AD8" s="97" t="s">
        <v>740</v>
      </c>
      <c r="AE8" s="97" t="s">
        <v>741</v>
      </c>
      <c r="AF8" s="97" t="s">
        <v>742</v>
      </c>
      <c r="AG8" s="10" t="s">
        <v>743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ht="15.75" x14ac:dyDescent="0.25">
      <c r="A9" s="50">
        <v>41638</v>
      </c>
      <c r="B9" s="56" t="str">
        <f t="shared" ref="B9:B72" si="0">$L$1</f>
        <v>DaysInQtr</v>
      </c>
      <c r="C9" s="56"/>
      <c r="D9" s="111"/>
      <c r="F9" s="1">
        <v>41638</v>
      </c>
      <c r="G9" s="1">
        <v>41665</v>
      </c>
      <c r="H9" t="s">
        <v>92</v>
      </c>
      <c r="I9" t="s">
        <v>17</v>
      </c>
      <c r="J9" t="s">
        <v>17</v>
      </c>
      <c r="L9" t="s">
        <v>15</v>
      </c>
      <c r="M9" s="17" t="str">
        <f t="shared" ref="M9:M72" si="1">B9</f>
        <v>DaysInQtr</v>
      </c>
      <c r="N9" s="18" t="str">
        <f t="shared" ref="N9:N40" si="2">IF(VALUE(O9) =VALUE(L9), "P", "F")</f>
        <v>P</v>
      </c>
      <c r="O9" s="119">
        <f t="shared" ref="O9:O40" si="3">IF(J9 = "01", (A9-P9) + 1, IF(J9 = "02", (A9-Q9) + 1, IF(J9 ="03", (A9 - R9) + 1, IF(J9 = "04", (A9 - S9) + 1, "FFF"))))</f>
        <v>1</v>
      </c>
      <c r="P9" s="123" t="str">
        <f t="shared" ref="P9:P72" si="4">T9</f>
        <v>12/30/2013</v>
      </c>
      <c r="Q9" s="94" t="str">
        <f t="shared" ref="Q9:Q72" si="5">X9</f>
        <v>4/21/2014</v>
      </c>
      <c r="R9" s="124" t="str">
        <f t="shared" ref="R9:R72" si="6">AA9</f>
        <v>7/14/2014</v>
      </c>
      <c r="S9" s="125" t="str">
        <f t="shared" ref="S9:S72" si="7">AD9</f>
        <v>10/ 6/2014</v>
      </c>
      <c r="T9" s="120" t="s">
        <v>744</v>
      </c>
      <c r="U9" s="103" t="s">
        <v>745</v>
      </c>
      <c r="V9" s="104" t="s">
        <v>746</v>
      </c>
      <c r="W9" s="105" t="s">
        <v>747</v>
      </c>
      <c r="X9" s="97" t="s">
        <v>748</v>
      </c>
      <c r="Y9" s="97" t="s">
        <v>749</v>
      </c>
      <c r="Z9" s="97" t="s">
        <v>750</v>
      </c>
      <c r="AA9" s="97" t="s">
        <v>751</v>
      </c>
      <c r="AB9" s="97" t="s">
        <v>752</v>
      </c>
      <c r="AC9" s="97" t="s">
        <v>753</v>
      </c>
      <c r="AD9" s="97" t="s">
        <v>754</v>
      </c>
      <c r="AE9" s="97" t="s">
        <v>755</v>
      </c>
      <c r="AF9" s="97" t="s">
        <v>756</v>
      </c>
      <c r="AG9" s="10" t="s">
        <v>757</v>
      </c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 ht="15.75" x14ac:dyDescent="0.25">
      <c r="A10" s="50">
        <v>42368</v>
      </c>
      <c r="B10" s="56" t="str">
        <f t="shared" si="0"/>
        <v>DaysInQtr</v>
      </c>
      <c r="C10" s="56"/>
      <c r="D10" s="111"/>
      <c r="F10" s="1">
        <v>42366</v>
      </c>
      <c r="G10" s="1">
        <v>42393</v>
      </c>
      <c r="H10" t="s">
        <v>16</v>
      </c>
      <c r="I10" t="s">
        <v>17</v>
      </c>
      <c r="J10" t="s">
        <v>17</v>
      </c>
      <c r="L10" t="s">
        <v>23</v>
      </c>
      <c r="M10" s="17" t="str">
        <f t="shared" si="1"/>
        <v>DaysInQtr</v>
      </c>
      <c r="N10" s="18" t="str">
        <f t="shared" si="2"/>
        <v>P</v>
      </c>
      <c r="O10" s="119">
        <f t="shared" si="3"/>
        <v>3</v>
      </c>
      <c r="P10" s="123" t="str">
        <f t="shared" si="4"/>
        <v>12/28/2015</v>
      </c>
      <c r="Q10" s="94" t="str">
        <f t="shared" si="5"/>
        <v>4/18/2016</v>
      </c>
      <c r="R10" s="124" t="str">
        <f t="shared" si="6"/>
        <v>7/11/2016</v>
      </c>
      <c r="S10" s="125" t="str">
        <f t="shared" si="7"/>
        <v>10/ 3/2016</v>
      </c>
      <c r="T10" s="120" t="s">
        <v>758</v>
      </c>
      <c r="U10" s="103" t="s">
        <v>759</v>
      </c>
      <c r="V10" s="104" t="s">
        <v>760</v>
      </c>
      <c r="W10" s="105" t="s">
        <v>761</v>
      </c>
      <c r="X10" s="97" t="s">
        <v>762</v>
      </c>
      <c r="Y10" s="97" t="s">
        <v>763</v>
      </c>
      <c r="Z10" s="97" t="s">
        <v>764</v>
      </c>
      <c r="AA10" s="97" t="s">
        <v>765</v>
      </c>
      <c r="AB10" s="97" t="s">
        <v>766</v>
      </c>
      <c r="AC10" s="97" t="s">
        <v>767</v>
      </c>
      <c r="AD10" s="97" t="s">
        <v>768</v>
      </c>
      <c r="AE10" s="97" t="s">
        <v>769</v>
      </c>
      <c r="AF10" s="97" t="s">
        <v>770</v>
      </c>
      <c r="AG10" s="10" t="s">
        <v>771</v>
      </c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 ht="15.75" x14ac:dyDescent="0.25">
      <c r="A11" s="50">
        <v>42369</v>
      </c>
      <c r="B11" s="56" t="str">
        <f t="shared" si="0"/>
        <v>DaysInQtr</v>
      </c>
      <c r="C11" s="56"/>
      <c r="D11" s="111"/>
      <c r="F11" s="1">
        <v>42366</v>
      </c>
      <c r="G11" s="1">
        <v>42393</v>
      </c>
      <c r="H11" t="s">
        <v>16</v>
      </c>
      <c r="I11" t="s">
        <v>17</v>
      </c>
      <c r="J11" t="s">
        <v>17</v>
      </c>
      <c r="L11" t="s">
        <v>22</v>
      </c>
      <c r="M11" s="17" t="str">
        <f t="shared" si="1"/>
        <v>DaysInQtr</v>
      </c>
      <c r="N11" s="18" t="str">
        <f t="shared" si="2"/>
        <v>P</v>
      </c>
      <c r="O11" s="119">
        <f t="shared" si="3"/>
        <v>4</v>
      </c>
      <c r="P11" s="123" t="str">
        <f t="shared" si="4"/>
        <v>12/28/2015</v>
      </c>
      <c r="Q11" s="94" t="str">
        <f t="shared" si="5"/>
        <v>4/18/2016</v>
      </c>
      <c r="R11" s="124" t="str">
        <f t="shared" si="6"/>
        <v>7/11/2016</v>
      </c>
      <c r="S11" s="125" t="str">
        <f t="shared" si="7"/>
        <v>10/ 3/2016</v>
      </c>
      <c r="T11" s="120" t="s">
        <v>758</v>
      </c>
      <c r="U11" s="103" t="s">
        <v>759</v>
      </c>
      <c r="V11" s="104" t="s">
        <v>760</v>
      </c>
      <c r="W11" s="105" t="s">
        <v>761</v>
      </c>
      <c r="X11" s="97" t="s">
        <v>762</v>
      </c>
      <c r="Y11" s="97" t="s">
        <v>763</v>
      </c>
      <c r="Z11" s="97" t="s">
        <v>764</v>
      </c>
      <c r="AA11" s="97" t="s">
        <v>765</v>
      </c>
      <c r="AB11" s="97" t="s">
        <v>766</v>
      </c>
      <c r="AC11" s="97" t="s">
        <v>767</v>
      </c>
      <c r="AD11" s="97" t="s">
        <v>768</v>
      </c>
      <c r="AE11" s="97" t="s">
        <v>769</v>
      </c>
      <c r="AF11" s="97" t="s">
        <v>770</v>
      </c>
      <c r="AG11" s="10" t="s">
        <v>771</v>
      </c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 ht="15.75" x14ac:dyDescent="0.25">
      <c r="A12" s="30">
        <v>42491</v>
      </c>
      <c r="B12" s="56" t="str">
        <f t="shared" si="0"/>
        <v>DaysInQtr</v>
      </c>
      <c r="C12" s="56"/>
      <c r="D12" s="111"/>
      <c r="F12" s="1">
        <v>42478</v>
      </c>
      <c r="G12" s="1">
        <v>42505</v>
      </c>
      <c r="H12" t="s">
        <v>16</v>
      </c>
      <c r="I12" t="s">
        <v>142</v>
      </c>
      <c r="J12" t="s">
        <v>143</v>
      </c>
      <c r="L12" t="s">
        <v>1108</v>
      </c>
      <c r="M12" s="17" t="str">
        <f t="shared" si="1"/>
        <v>DaysInQtr</v>
      </c>
      <c r="N12" s="18" t="str">
        <f t="shared" si="2"/>
        <v>P</v>
      </c>
      <c r="O12" s="119">
        <f t="shared" si="3"/>
        <v>14</v>
      </c>
      <c r="P12" s="123" t="str">
        <f t="shared" si="4"/>
        <v>12/28/2015</v>
      </c>
      <c r="Q12" s="94" t="str">
        <f t="shared" si="5"/>
        <v>4/18/2016</v>
      </c>
      <c r="R12" s="124" t="str">
        <f t="shared" si="6"/>
        <v>7/11/2016</v>
      </c>
      <c r="S12" s="125" t="str">
        <f t="shared" si="7"/>
        <v>10/ 3/2016</v>
      </c>
      <c r="T12" s="121" t="s">
        <v>758</v>
      </c>
      <c r="U12" s="98" t="s">
        <v>759</v>
      </c>
      <c r="V12" s="99" t="s">
        <v>760</v>
      </c>
      <c r="W12" s="100" t="s">
        <v>761</v>
      </c>
      <c r="X12" s="107" t="s">
        <v>762</v>
      </c>
      <c r="Y12" s="101" t="s">
        <v>763</v>
      </c>
      <c r="Z12" s="101" t="s">
        <v>764</v>
      </c>
      <c r="AA12" s="107" t="s">
        <v>765</v>
      </c>
      <c r="AB12" s="101" t="s">
        <v>766</v>
      </c>
      <c r="AC12" s="101" t="s">
        <v>767</v>
      </c>
      <c r="AD12" s="107" t="s">
        <v>768</v>
      </c>
      <c r="AE12" s="101" t="s">
        <v>769</v>
      </c>
      <c r="AF12" s="101" t="s">
        <v>770</v>
      </c>
      <c r="AG12" s="109" t="s">
        <v>771</v>
      </c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 ht="15.75" x14ac:dyDescent="0.25">
      <c r="A13" s="30">
        <v>42860</v>
      </c>
      <c r="B13" s="56" t="str">
        <f t="shared" si="0"/>
        <v>DaysInQtr</v>
      </c>
      <c r="C13" s="56"/>
      <c r="D13" s="111"/>
      <c r="F13" s="1">
        <v>42842</v>
      </c>
      <c r="G13" s="1">
        <v>42869</v>
      </c>
      <c r="H13" t="s">
        <v>70</v>
      </c>
      <c r="I13" t="s">
        <v>142</v>
      </c>
      <c r="J13" t="s">
        <v>143</v>
      </c>
      <c r="L13" t="s">
        <v>1109</v>
      </c>
      <c r="M13" s="17" t="str">
        <f t="shared" si="1"/>
        <v>DaysInQtr</v>
      </c>
      <c r="N13" s="18" t="str">
        <f t="shared" si="2"/>
        <v>P</v>
      </c>
      <c r="O13" s="119">
        <f t="shared" si="3"/>
        <v>19</v>
      </c>
      <c r="P13" s="123" t="str">
        <f t="shared" si="4"/>
        <v>12/26/2016</v>
      </c>
      <c r="Q13" s="94" t="str">
        <f t="shared" si="5"/>
        <v>4/17/2017</v>
      </c>
      <c r="R13" s="124" t="str">
        <f t="shared" si="6"/>
        <v>7/10/2017</v>
      </c>
      <c r="S13" s="125" t="str">
        <f t="shared" si="7"/>
        <v>10/ 2/2017</v>
      </c>
      <c r="T13" s="121" t="s">
        <v>772</v>
      </c>
      <c r="U13" s="98" t="s">
        <v>773</v>
      </c>
      <c r="V13" s="99" t="s">
        <v>774</v>
      </c>
      <c r="W13" s="100" t="s">
        <v>775</v>
      </c>
      <c r="X13" s="107" t="s">
        <v>776</v>
      </c>
      <c r="Y13" s="101" t="s">
        <v>777</v>
      </c>
      <c r="Z13" s="101" t="s">
        <v>778</v>
      </c>
      <c r="AA13" s="107" t="s">
        <v>779</v>
      </c>
      <c r="AB13" s="101" t="s">
        <v>780</v>
      </c>
      <c r="AC13" s="101" t="s">
        <v>781</v>
      </c>
      <c r="AD13" s="107" t="s">
        <v>782</v>
      </c>
      <c r="AE13" s="101" t="s">
        <v>783</v>
      </c>
      <c r="AF13" s="101" t="s">
        <v>784</v>
      </c>
      <c r="AG13" s="109" t="s">
        <v>785</v>
      </c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 ht="15.75" x14ac:dyDescent="0.25">
      <c r="A14" s="55">
        <v>37953</v>
      </c>
      <c r="B14" s="56" t="str">
        <f t="shared" si="0"/>
        <v>DaysInQtr</v>
      </c>
      <c r="C14" s="56" t="s">
        <v>108</v>
      </c>
      <c r="D14" s="111"/>
      <c r="F14" s="1">
        <v>37928</v>
      </c>
      <c r="G14" s="1">
        <v>37955</v>
      </c>
      <c r="H14" t="s">
        <v>80</v>
      </c>
      <c r="I14" t="s">
        <v>13</v>
      </c>
      <c r="J14" t="s">
        <v>12</v>
      </c>
      <c r="L14" t="s">
        <v>238</v>
      </c>
      <c r="M14" s="17" t="str">
        <f t="shared" si="1"/>
        <v>DaysInQtr</v>
      </c>
      <c r="N14" s="18" t="str">
        <f t="shared" si="2"/>
        <v>P</v>
      </c>
      <c r="O14" s="119">
        <f t="shared" si="3"/>
        <v>54</v>
      </c>
      <c r="P14" s="123" t="str">
        <f t="shared" si="4"/>
        <v>12/30/2002</v>
      </c>
      <c r="Q14" s="94" t="str">
        <f t="shared" si="5"/>
        <v>4/21/2003</v>
      </c>
      <c r="R14" s="124" t="str">
        <f t="shared" si="6"/>
        <v>7/14/2003</v>
      </c>
      <c r="S14" s="125" t="str">
        <f t="shared" si="7"/>
        <v>10/ 6/2003</v>
      </c>
      <c r="T14" s="121" t="s">
        <v>786</v>
      </c>
      <c r="U14" s="98" t="s">
        <v>787</v>
      </c>
      <c r="V14" s="99" t="s">
        <v>788</v>
      </c>
      <c r="W14" s="100" t="s">
        <v>789</v>
      </c>
      <c r="X14" s="107" t="s">
        <v>790</v>
      </c>
      <c r="Y14" s="101" t="s">
        <v>791</v>
      </c>
      <c r="Z14" s="101" t="s">
        <v>792</v>
      </c>
      <c r="AA14" s="107" t="s">
        <v>793</v>
      </c>
      <c r="AB14" s="101" t="s">
        <v>794</v>
      </c>
      <c r="AC14" s="101" t="s">
        <v>795</v>
      </c>
      <c r="AD14" s="107" t="s">
        <v>796</v>
      </c>
      <c r="AE14" s="101" t="s">
        <v>797</v>
      </c>
      <c r="AF14" s="101" t="s">
        <v>798</v>
      </c>
      <c r="AG14" s="109" t="s">
        <v>799</v>
      </c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ht="15.75" x14ac:dyDescent="0.25">
      <c r="A15" s="55">
        <v>37954</v>
      </c>
      <c r="B15" s="56" t="str">
        <f t="shared" si="0"/>
        <v>DaysInQtr</v>
      </c>
      <c r="C15" s="56" t="s">
        <v>108</v>
      </c>
      <c r="D15" s="111"/>
      <c r="F15" s="1">
        <v>37928</v>
      </c>
      <c r="G15" s="1">
        <v>37955</v>
      </c>
      <c r="H15" t="s">
        <v>80</v>
      </c>
      <c r="I15" t="s">
        <v>13</v>
      </c>
      <c r="J15" t="s">
        <v>12</v>
      </c>
      <c r="L15" t="s">
        <v>239</v>
      </c>
      <c r="M15" s="17" t="str">
        <f t="shared" si="1"/>
        <v>DaysInQtr</v>
      </c>
      <c r="N15" s="18" t="str">
        <f t="shared" si="2"/>
        <v>P</v>
      </c>
      <c r="O15" s="119">
        <f t="shared" si="3"/>
        <v>55</v>
      </c>
      <c r="P15" s="123" t="str">
        <f t="shared" si="4"/>
        <v>12/30/2002</v>
      </c>
      <c r="Q15" s="94" t="str">
        <f t="shared" si="5"/>
        <v>4/21/2003</v>
      </c>
      <c r="R15" s="124" t="str">
        <f t="shared" si="6"/>
        <v>7/14/2003</v>
      </c>
      <c r="S15" s="125" t="str">
        <f t="shared" si="7"/>
        <v>10/ 6/2003</v>
      </c>
      <c r="T15" s="121" t="s">
        <v>786</v>
      </c>
      <c r="U15" s="98" t="s">
        <v>787</v>
      </c>
      <c r="V15" s="99" t="s">
        <v>788</v>
      </c>
      <c r="W15" s="100" t="s">
        <v>789</v>
      </c>
      <c r="X15" s="107" t="s">
        <v>790</v>
      </c>
      <c r="Y15" s="101" t="s">
        <v>791</v>
      </c>
      <c r="Z15" s="101" t="s">
        <v>792</v>
      </c>
      <c r="AA15" s="107" t="s">
        <v>793</v>
      </c>
      <c r="AB15" s="101" t="s">
        <v>794</v>
      </c>
      <c r="AC15" s="101" t="s">
        <v>795</v>
      </c>
      <c r="AD15" s="107" t="s">
        <v>796</v>
      </c>
      <c r="AE15" s="101" t="s">
        <v>797</v>
      </c>
      <c r="AF15" s="101" t="s">
        <v>798</v>
      </c>
      <c r="AG15" s="109" t="s">
        <v>799</v>
      </c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ht="15.75" x14ac:dyDescent="0.25">
      <c r="A16" s="55">
        <v>37955</v>
      </c>
      <c r="B16" s="56" t="str">
        <f t="shared" si="0"/>
        <v>DaysInQtr</v>
      </c>
      <c r="C16" s="56" t="s">
        <v>108</v>
      </c>
      <c r="D16" s="111"/>
      <c r="F16" s="1">
        <v>37928</v>
      </c>
      <c r="G16" s="1">
        <v>37955</v>
      </c>
      <c r="H16" t="s">
        <v>80</v>
      </c>
      <c r="I16" t="s">
        <v>13</v>
      </c>
      <c r="J16" t="s">
        <v>12</v>
      </c>
      <c r="L16" t="s">
        <v>240</v>
      </c>
      <c r="M16" s="17" t="str">
        <f t="shared" si="1"/>
        <v>DaysInQtr</v>
      </c>
      <c r="N16" s="18" t="str">
        <f t="shared" si="2"/>
        <v>P</v>
      </c>
      <c r="O16" s="119">
        <f t="shared" si="3"/>
        <v>56</v>
      </c>
      <c r="P16" s="123" t="str">
        <f t="shared" si="4"/>
        <v>12/30/2002</v>
      </c>
      <c r="Q16" s="94" t="str">
        <f t="shared" si="5"/>
        <v>4/21/2003</v>
      </c>
      <c r="R16" s="124" t="str">
        <f t="shared" si="6"/>
        <v>7/14/2003</v>
      </c>
      <c r="S16" s="125" t="str">
        <f t="shared" si="7"/>
        <v>10/ 6/2003</v>
      </c>
      <c r="T16" s="121" t="s">
        <v>786</v>
      </c>
      <c r="U16" s="98" t="s">
        <v>787</v>
      </c>
      <c r="V16" s="99" t="s">
        <v>788</v>
      </c>
      <c r="W16" s="100" t="s">
        <v>789</v>
      </c>
      <c r="X16" s="107" t="s">
        <v>790</v>
      </c>
      <c r="Y16" s="101" t="s">
        <v>791</v>
      </c>
      <c r="Z16" s="101" t="s">
        <v>792</v>
      </c>
      <c r="AA16" s="107" t="s">
        <v>793</v>
      </c>
      <c r="AB16" s="101" t="s">
        <v>794</v>
      </c>
      <c r="AC16" s="101" t="s">
        <v>795</v>
      </c>
      <c r="AD16" s="107" t="s">
        <v>796</v>
      </c>
      <c r="AE16" s="101" t="s">
        <v>797</v>
      </c>
      <c r="AF16" s="101" t="s">
        <v>798</v>
      </c>
      <c r="AG16" s="109" t="s">
        <v>799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</row>
    <row r="17" spans="1:48" ht="15.75" x14ac:dyDescent="0.25">
      <c r="A17" s="55">
        <v>37956</v>
      </c>
      <c r="B17" s="56" t="str">
        <f t="shared" si="0"/>
        <v>DaysInQtr</v>
      </c>
      <c r="C17" s="56" t="s">
        <v>108</v>
      </c>
      <c r="D17" s="111"/>
      <c r="F17" s="1">
        <v>37956</v>
      </c>
      <c r="G17" s="1">
        <v>37983</v>
      </c>
      <c r="H17" t="s">
        <v>80</v>
      </c>
      <c r="I17" t="s">
        <v>14</v>
      </c>
      <c r="J17" t="s">
        <v>12</v>
      </c>
      <c r="L17" t="s">
        <v>241</v>
      </c>
      <c r="M17" s="17" t="str">
        <f t="shared" si="1"/>
        <v>DaysInQtr</v>
      </c>
      <c r="N17" s="18" t="str">
        <f t="shared" si="2"/>
        <v>P</v>
      </c>
      <c r="O17" s="119">
        <f t="shared" si="3"/>
        <v>57</v>
      </c>
      <c r="P17" s="123" t="str">
        <f t="shared" si="4"/>
        <v>12/30/2002</v>
      </c>
      <c r="Q17" s="94" t="str">
        <f t="shared" si="5"/>
        <v>4/21/2003</v>
      </c>
      <c r="R17" s="124" t="str">
        <f t="shared" si="6"/>
        <v>7/14/2003</v>
      </c>
      <c r="S17" s="125" t="str">
        <f t="shared" si="7"/>
        <v>10/ 6/2003</v>
      </c>
      <c r="T17" s="121" t="s">
        <v>786</v>
      </c>
      <c r="U17" s="98" t="s">
        <v>787</v>
      </c>
      <c r="V17" s="99" t="s">
        <v>788</v>
      </c>
      <c r="W17" s="100" t="s">
        <v>789</v>
      </c>
      <c r="X17" s="107" t="s">
        <v>790</v>
      </c>
      <c r="Y17" s="101" t="s">
        <v>791</v>
      </c>
      <c r="Z17" s="101" t="s">
        <v>792</v>
      </c>
      <c r="AA17" s="107" t="s">
        <v>793</v>
      </c>
      <c r="AB17" s="101" t="s">
        <v>794</v>
      </c>
      <c r="AC17" s="101" t="s">
        <v>795</v>
      </c>
      <c r="AD17" s="107" t="s">
        <v>796</v>
      </c>
      <c r="AE17" s="101" t="s">
        <v>797</v>
      </c>
      <c r="AF17" s="101" t="s">
        <v>798</v>
      </c>
      <c r="AG17" s="109" t="s">
        <v>799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</row>
    <row r="18" spans="1:48" ht="15.75" x14ac:dyDescent="0.25">
      <c r="A18" s="55">
        <v>38320</v>
      </c>
      <c r="B18" s="56" t="str">
        <f t="shared" si="0"/>
        <v>DaysInQtr</v>
      </c>
      <c r="C18" s="56" t="s">
        <v>108</v>
      </c>
      <c r="D18" s="111"/>
      <c r="F18" s="1">
        <v>38320</v>
      </c>
      <c r="G18" s="1">
        <v>38347</v>
      </c>
      <c r="H18" t="s">
        <v>82</v>
      </c>
      <c r="I18" t="s">
        <v>14</v>
      </c>
      <c r="J18" t="s">
        <v>12</v>
      </c>
      <c r="L18" t="s">
        <v>241</v>
      </c>
      <c r="M18" s="17" t="str">
        <f t="shared" si="1"/>
        <v>DaysInQtr</v>
      </c>
      <c r="N18" s="18" t="str">
        <f t="shared" si="2"/>
        <v>P</v>
      </c>
      <c r="O18" s="119">
        <f t="shared" si="3"/>
        <v>57</v>
      </c>
      <c r="P18" s="123" t="str">
        <f t="shared" si="4"/>
        <v>12/29/2003</v>
      </c>
      <c r="Q18" s="94" t="str">
        <f t="shared" si="5"/>
        <v>4/19/2004</v>
      </c>
      <c r="R18" s="124" t="str">
        <f t="shared" si="6"/>
        <v>7/12/2004</v>
      </c>
      <c r="S18" s="125" t="str">
        <f t="shared" si="7"/>
        <v>10/ 4/2004</v>
      </c>
      <c r="T18" s="121" t="s">
        <v>800</v>
      </c>
      <c r="U18" s="98" t="s">
        <v>801</v>
      </c>
      <c r="V18" s="99" t="s">
        <v>802</v>
      </c>
      <c r="W18" s="100" t="s">
        <v>803</v>
      </c>
      <c r="X18" s="107" t="s">
        <v>804</v>
      </c>
      <c r="Y18" s="101" t="s">
        <v>805</v>
      </c>
      <c r="Z18" s="101" t="s">
        <v>806</v>
      </c>
      <c r="AA18" s="107" t="s">
        <v>807</v>
      </c>
      <c r="AB18" s="101" t="s">
        <v>808</v>
      </c>
      <c r="AC18" s="101" t="s">
        <v>809</v>
      </c>
      <c r="AD18" s="107" t="s">
        <v>810</v>
      </c>
      <c r="AE18" s="101" t="s">
        <v>811</v>
      </c>
      <c r="AF18" s="101" t="s">
        <v>812</v>
      </c>
      <c r="AG18" s="109" t="s">
        <v>813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</row>
    <row r="19" spans="1:48" ht="15.75" x14ac:dyDescent="0.25">
      <c r="A19" s="55">
        <v>38684</v>
      </c>
      <c r="B19" s="56" t="str">
        <f t="shared" si="0"/>
        <v>DaysInQtr</v>
      </c>
      <c r="C19" s="56" t="s">
        <v>108</v>
      </c>
      <c r="D19" s="111"/>
      <c r="F19" s="1">
        <v>38684</v>
      </c>
      <c r="G19" s="1">
        <v>38711</v>
      </c>
      <c r="H19" t="s">
        <v>84</v>
      </c>
      <c r="I19" t="s">
        <v>14</v>
      </c>
      <c r="J19" t="s">
        <v>12</v>
      </c>
      <c r="L19" t="s">
        <v>241</v>
      </c>
      <c r="M19" s="17" t="str">
        <f t="shared" si="1"/>
        <v>DaysInQtr</v>
      </c>
      <c r="N19" s="18" t="str">
        <f t="shared" si="2"/>
        <v>P</v>
      </c>
      <c r="O19" s="119">
        <f t="shared" si="3"/>
        <v>57</v>
      </c>
      <c r="P19" s="123" t="str">
        <f t="shared" si="4"/>
        <v>12/27/2004</v>
      </c>
      <c r="Q19" s="94" t="str">
        <f t="shared" si="5"/>
        <v>4/18/2005</v>
      </c>
      <c r="R19" s="124" t="str">
        <f t="shared" si="6"/>
        <v>7/11/2005</v>
      </c>
      <c r="S19" s="125" t="str">
        <f t="shared" si="7"/>
        <v>10/ 3/2005</v>
      </c>
      <c r="T19" s="121" t="s">
        <v>814</v>
      </c>
      <c r="U19" s="98" t="s">
        <v>815</v>
      </c>
      <c r="V19" s="99" t="s">
        <v>816</v>
      </c>
      <c r="W19" s="100" t="s">
        <v>817</v>
      </c>
      <c r="X19" s="107" t="s">
        <v>818</v>
      </c>
      <c r="Y19" s="101" t="s">
        <v>819</v>
      </c>
      <c r="Z19" s="101" t="s">
        <v>820</v>
      </c>
      <c r="AA19" s="107" t="s">
        <v>821</v>
      </c>
      <c r="AB19" s="101" t="s">
        <v>822</v>
      </c>
      <c r="AC19" s="101" t="s">
        <v>823</v>
      </c>
      <c r="AD19" s="107" t="s">
        <v>824</v>
      </c>
      <c r="AE19" s="101" t="s">
        <v>825</v>
      </c>
      <c r="AF19" s="101" t="s">
        <v>826</v>
      </c>
      <c r="AG19" s="109" t="s">
        <v>827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</row>
    <row r="20" spans="1:48" ht="15.75" x14ac:dyDescent="0.25">
      <c r="A20" s="55">
        <v>46356</v>
      </c>
      <c r="B20" s="56" t="str">
        <f t="shared" si="0"/>
        <v>DaysInQtr</v>
      </c>
      <c r="C20" s="56" t="s">
        <v>108</v>
      </c>
      <c r="D20" s="111"/>
      <c r="F20" s="1">
        <v>46356</v>
      </c>
      <c r="G20" s="1">
        <v>46383</v>
      </c>
      <c r="H20" t="s">
        <v>99</v>
      </c>
      <c r="I20" t="s">
        <v>14</v>
      </c>
      <c r="J20" t="s">
        <v>12</v>
      </c>
      <c r="L20" t="s">
        <v>241</v>
      </c>
      <c r="M20" s="17" t="str">
        <f t="shared" si="1"/>
        <v>DaysInQtr</v>
      </c>
      <c r="N20" s="18" t="str">
        <f t="shared" si="2"/>
        <v>P</v>
      </c>
      <c r="O20" s="119">
        <f t="shared" si="3"/>
        <v>57</v>
      </c>
      <c r="P20" s="123" t="str">
        <f t="shared" si="4"/>
        <v>12/29/2025</v>
      </c>
      <c r="Q20" s="94" t="str">
        <f t="shared" si="5"/>
        <v>4/20/2026</v>
      </c>
      <c r="R20" s="124" t="str">
        <f t="shared" si="6"/>
        <v>7/13/2026</v>
      </c>
      <c r="S20" s="125" t="str">
        <f t="shared" si="7"/>
        <v>10/ 5/2026</v>
      </c>
      <c r="T20" s="121" t="s">
        <v>828</v>
      </c>
      <c r="U20" s="98" t="s">
        <v>829</v>
      </c>
      <c r="V20" s="99" t="s">
        <v>830</v>
      </c>
      <c r="W20" s="100" t="s">
        <v>831</v>
      </c>
      <c r="X20" s="107" t="s">
        <v>832</v>
      </c>
      <c r="Y20" s="101" t="s">
        <v>833</v>
      </c>
      <c r="Z20" s="101" t="s">
        <v>834</v>
      </c>
      <c r="AA20" s="107" t="s">
        <v>835</v>
      </c>
      <c r="AB20" s="101" t="s">
        <v>836</v>
      </c>
      <c r="AC20" s="101" t="s">
        <v>837</v>
      </c>
      <c r="AD20" s="107" t="s">
        <v>838</v>
      </c>
      <c r="AE20" s="101" t="s">
        <v>839</v>
      </c>
      <c r="AF20" s="101" t="s">
        <v>840</v>
      </c>
      <c r="AG20" s="109" t="s">
        <v>841</v>
      </c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</row>
    <row r="21" spans="1:48" ht="15.75" x14ac:dyDescent="0.25">
      <c r="A21" s="55">
        <v>46720</v>
      </c>
      <c r="B21" s="56" t="str">
        <f t="shared" si="0"/>
        <v>DaysInQtr</v>
      </c>
      <c r="C21" s="56" t="s">
        <v>108</v>
      </c>
      <c r="D21" s="111"/>
      <c r="F21" s="1">
        <v>46720</v>
      </c>
      <c r="G21" s="1">
        <v>46747</v>
      </c>
      <c r="H21" t="s">
        <v>101</v>
      </c>
      <c r="I21" t="s">
        <v>14</v>
      </c>
      <c r="J21" t="s">
        <v>12</v>
      </c>
      <c r="L21" t="s">
        <v>241</v>
      </c>
      <c r="M21" s="17" t="str">
        <f t="shared" si="1"/>
        <v>DaysInQtr</v>
      </c>
      <c r="N21" s="18" t="str">
        <f t="shared" si="2"/>
        <v>P</v>
      </c>
      <c r="O21" s="119">
        <f t="shared" si="3"/>
        <v>57</v>
      </c>
      <c r="P21" s="123" t="str">
        <f t="shared" si="4"/>
        <v>12/28/2026</v>
      </c>
      <c r="Q21" s="94" t="str">
        <f t="shared" si="5"/>
        <v>4/19/2027</v>
      </c>
      <c r="R21" s="124" t="str">
        <f t="shared" si="6"/>
        <v>7/12/2027</v>
      </c>
      <c r="S21" s="125" t="str">
        <f t="shared" si="7"/>
        <v>10/ 4/2027</v>
      </c>
      <c r="T21" s="121" t="s">
        <v>842</v>
      </c>
      <c r="U21" s="98" t="s">
        <v>843</v>
      </c>
      <c r="V21" s="99" t="s">
        <v>844</v>
      </c>
      <c r="W21" s="100" t="s">
        <v>845</v>
      </c>
      <c r="X21" s="107" t="s">
        <v>846</v>
      </c>
      <c r="Y21" s="101" t="s">
        <v>847</v>
      </c>
      <c r="Z21" s="101" t="s">
        <v>848</v>
      </c>
      <c r="AA21" s="107" t="s">
        <v>849</v>
      </c>
      <c r="AB21" s="101" t="s">
        <v>850</v>
      </c>
      <c r="AC21" s="101" t="s">
        <v>851</v>
      </c>
      <c r="AD21" s="107" t="s">
        <v>852</v>
      </c>
      <c r="AE21" s="101" t="s">
        <v>853</v>
      </c>
      <c r="AF21" s="101" t="s">
        <v>854</v>
      </c>
      <c r="AG21" s="109" t="s">
        <v>855</v>
      </c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</row>
    <row r="22" spans="1:48" ht="15.75" x14ac:dyDescent="0.25">
      <c r="A22" s="55">
        <v>47084</v>
      </c>
      <c r="B22" s="56" t="str">
        <f t="shared" si="0"/>
        <v>DaysInQtr</v>
      </c>
      <c r="C22" s="56" t="s">
        <v>108</v>
      </c>
      <c r="D22" s="111"/>
      <c r="F22" s="1">
        <v>47084</v>
      </c>
      <c r="G22" s="1">
        <v>47118</v>
      </c>
      <c r="H22" t="s">
        <v>103</v>
      </c>
      <c r="I22" t="s">
        <v>14</v>
      </c>
      <c r="J22" t="s">
        <v>12</v>
      </c>
      <c r="L22" t="s">
        <v>241</v>
      </c>
      <c r="M22" s="17" t="str">
        <f t="shared" si="1"/>
        <v>DaysInQtr</v>
      </c>
      <c r="N22" s="18" t="str">
        <f t="shared" si="2"/>
        <v>P</v>
      </c>
      <c r="O22" s="119">
        <f t="shared" si="3"/>
        <v>57</v>
      </c>
      <c r="P22" s="123" t="str">
        <f t="shared" si="4"/>
        <v>12/27/2027</v>
      </c>
      <c r="Q22" s="94" t="str">
        <f t="shared" si="5"/>
        <v>4/17/2028</v>
      </c>
      <c r="R22" s="124" t="str">
        <f t="shared" si="6"/>
        <v>7/10/2028</v>
      </c>
      <c r="S22" s="125" t="str">
        <f t="shared" si="7"/>
        <v>10/ 2/2028</v>
      </c>
      <c r="T22" s="121" t="s">
        <v>856</v>
      </c>
      <c r="U22" s="98" t="s">
        <v>857</v>
      </c>
      <c r="V22" s="102" t="s">
        <v>858</v>
      </c>
      <c r="W22" s="100" t="s">
        <v>859</v>
      </c>
      <c r="X22" s="107" t="s">
        <v>860</v>
      </c>
      <c r="Y22" s="101" t="s">
        <v>861</v>
      </c>
      <c r="Z22" s="101" t="s">
        <v>862</v>
      </c>
      <c r="AA22" s="107" t="s">
        <v>863</v>
      </c>
      <c r="AB22" s="101" t="s">
        <v>864</v>
      </c>
      <c r="AC22" s="101" t="s">
        <v>865</v>
      </c>
      <c r="AD22" s="107" t="s">
        <v>866</v>
      </c>
      <c r="AE22" s="101" t="s">
        <v>867</v>
      </c>
      <c r="AF22" s="101" t="s">
        <v>868</v>
      </c>
      <c r="AG22" s="109" t="s">
        <v>869</v>
      </c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</row>
    <row r="23" spans="1:48" ht="15.75" x14ac:dyDescent="0.25">
      <c r="A23" s="55">
        <v>47455</v>
      </c>
      <c r="B23" s="56" t="str">
        <f t="shared" si="0"/>
        <v>DaysInQtr</v>
      </c>
      <c r="C23" s="56" t="s">
        <v>108</v>
      </c>
      <c r="D23" s="111"/>
      <c r="F23" s="1">
        <v>47455</v>
      </c>
      <c r="G23" s="1">
        <v>47482</v>
      </c>
      <c r="H23" t="s">
        <v>105</v>
      </c>
      <c r="I23" t="s">
        <v>14</v>
      </c>
      <c r="J23" t="s">
        <v>12</v>
      </c>
      <c r="L23" t="s">
        <v>241</v>
      </c>
      <c r="M23" s="17" t="str">
        <f t="shared" si="1"/>
        <v>DaysInQtr</v>
      </c>
      <c r="N23" s="18" t="str">
        <f t="shared" si="2"/>
        <v>P</v>
      </c>
      <c r="O23" s="119">
        <f t="shared" si="3"/>
        <v>57</v>
      </c>
      <c r="P23" s="123" t="str">
        <f t="shared" si="4"/>
        <v>1/ 1/2029</v>
      </c>
      <c r="Q23" s="94" t="str">
        <f t="shared" si="5"/>
        <v>4/23/2029</v>
      </c>
      <c r="R23" s="124" t="str">
        <f t="shared" si="6"/>
        <v>7/16/2029</v>
      </c>
      <c r="S23" s="125" t="str">
        <f t="shared" si="7"/>
        <v>10/ 8/2029</v>
      </c>
      <c r="T23" s="121" t="s">
        <v>870</v>
      </c>
      <c r="U23" s="98" t="s">
        <v>871</v>
      </c>
      <c r="V23" s="102" t="s">
        <v>872</v>
      </c>
      <c r="W23" s="100" t="s">
        <v>873</v>
      </c>
      <c r="X23" s="107" t="s">
        <v>874</v>
      </c>
      <c r="Y23" s="101" t="s">
        <v>875</v>
      </c>
      <c r="Z23" s="101" t="s">
        <v>876</v>
      </c>
      <c r="AA23" s="107" t="s">
        <v>877</v>
      </c>
      <c r="AB23" s="101" t="s">
        <v>878</v>
      </c>
      <c r="AC23" s="101" t="s">
        <v>879</v>
      </c>
      <c r="AD23" s="107" t="s">
        <v>880</v>
      </c>
      <c r="AE23" s="101" t="s">
        <v>881</v>
      </c>
      <c r="AF23" s="101" t="s">
        <v>882</v>
      </c>
      <c r="AG23" s="109" t="s">
        <v>883</v>
      </c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</row>
    <row r="24" spans="1:48" ht="15.75" x14ac:dyDescent="0.25">
      <c r="A24" s="55">
        <v>47819</v>
      </c>
      <c r="B24" s="56" t="str">
        <f t="shared" si="0"/>
        <v>DaysInQtr</v>
      </c>
      <c r="C24" s="56" t="s">
        <v>108</v>
      </c>
      <c r="D24" s="111"/>
      <c r="F24" s="1">
        <v>47819</v>
      </c>
      <c r="G24" s="1">
        <v>47846</v>
      </c>
      <c r="H24" t="s">
        <v>107</v>
      </c>
      <c r="I24" t="s">
        <v>14</v>
      </c>
      <c r="J24" t="s">
        <v>12</v>
      </c>
      <c r="L24" t="s">
        <v>241</v>
      </c>
      <c r="M24" s="17" t="str">
        <f t="shared" si="1"/>
        <v>DaysInQtr</v>
      </c>
      <c r="N24" s="18" t="str">
        <f t="shared" si="2"/>
        <v>P</v>
      </c>
      <c r="O24" s="119">
        <f t="shared" si="3"/>
        <v>57</v>
      </c>
      <c r="P24" s="123" t="str">
        <f t="shared" si="4"/>
        <v>12/31/2029</v>
      </c>
      <c r="Q24" s="94" t="str">
        <f t="shared" si="5"/>
        <v>4/22/2030</v>
      </c>
      <c r="R24" s="124" t="str">
        <f t="shared" si="6"/>
        <v>7/15/2030</v>
      </c>
      <c r="S24" s="125" t="str">
        <f t="shared" si="7"/>
        <v>10/ 7/2030</v>
      </c>
      <c r="T24" s="121" t="s">
        <v>884</v>
      </c>
      <c r="U24" s="98" t="s">
        <v>885</v>
      </c>
      <c r="V24" s="102" t="s">
        <v>886</v>
      </c>
      <c r="W24" s="100" t="s">
        <v>887</v>
      </c>
      <c r="X24" s="107" t="s">
        <v>888</v>
      </c>
      <c r="Y24" s="101" t="s">
        <v>889</v>
      </c>
      <c r="Z24" s="101" t="s">
        <v>890</v>
      </c>
      <c r="AA24" s="107" t="s">
        <v>891</v>
      </c>
      <c r="AB24" s="101" t="s">
        <v>892</v>
      </c>
      <c r="AC24" s="101" t="s">
        <v>893</v>
      </c>
      <c r="AD24" s="107" t="s">
        <v>894</v>
      </c>
      <c r="AE24" s="101" t="s">
        <v>895</v>
      </c>
      <c r="AF24" s="101" t="s">
        <v>896</v>
      </c>
      <c r="AG24" s="109" t="s">
        <v>897</v>
      </c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</row>
    <row r="25" spans="1:48" ht="15.75" x14ac:dyDescent="0.25">
      <c r="A25" s="55">
        <v>37255</v>
      </c>
      <c r="B25" s="56" t="str">
        <f t="shared" si="0"/>
        <v>DaysInQtr</v>
      </c>
      <c r="C25" s="56" t="s">
        <v>109</v>
      </c>
      <c r="D25" s="111"/>
      <c r="F25" s="1">
        <v>37228</v>
      </c>
      <c r="G25" s="1">
        <v>37255</v>
      </c>
      <c r="H25" t="s">
        <v>77</v>
      </c>
      <c r="I25" t="s">
        <v>14</v>
      </c>
      <c r="J25" t="s">
        <v>12</v>
      </c>
      <c r="L25" t="s">
        <v>1110</v>
      </c>
      <c r="M25" s="17" t="str">
        <f t="shared" si="1"/>
        <v>DaysInQtr</v>
      </c>
      <c r="N25" s="18" t="str">
        <f t="shared" si="2"/>
        <v>P</v>
      </c>
      <c r="O25" s="119">
        <f t="shared" si="3"/>
        <v>84</v>
      </c>
      <c r="P25" s="123" t="str">
        <f t="shared" si="4"/>
        <v>1/ 1/2001</v>
      </c>
      <c r="Q25" s="94" t="str">
        <f t="shared" si="5"/>
        <v>4/23/2001</v>
      </c>
      <c r="R25" s="124" t="str">
        <f t="shared" si="6"/>
        <v>7/16/2001</v>
      </c>
      <c r="S25" s="125" t="str">
        <f t="shared" si="7"/>
        <v>10/ 8/2001</v>
      </c>
      <c r="T25" s="121" t="s">
        <v>898</v>
      </c>
      <c r="U25" s="98" t="s">
        <v>899</v>
      </c>
      <c r="V25" s="102" t="s">
        <v>900</v>
      </c>
      <c r="W25" s="100" t="s">
        <v>901</v>
      </c>
      <c r="X25" s="107" t="s">
        <v>902</v>
      </c>
      <c r="Y25" s="101" t="s">
        <v>903</v>
      </c>
      <c r="Z25" s="101" t="s">
        <v>904</v>
      </c>
      <c r="AA25" s="107" t="s">
        <v>905</v>
      </c>
      <c r="AB25" s="101" t="s">
        <v>906</v>
      </c>
      <c r="AC25" s="101" t="s">
        <v>907</v>
      </c>
      <c r="AD25" s="107" t="s">
        <v>908</v>
      </c>
      <c r="AE25" s="101" t="s">
        <v>909</v>
      </c>
      <c r="AF25" s="101" t="s">
        <v>910</v>
      </c>
      <c r="AG25" s="109" t="s">
        <v>911</v>
      </c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</row>
    <row r="26" spans="1:48" ht="15.75" x14ac:dyDescent="0.25">
      <c r="A26" s="55">
        <v>37619</v>
      </c>
      <c r="B26" s="56" t="str">
        <f t="shared" si="0"/>
        <v>DaysInQtr</v>
      </c>
      <c r="C26" s="56" t="s">
        <v>109</v>
      </c>
      <c r="D26" s="111"/>
      <c r="F26" s="1">
        <v>37592</v>
      </c>
      <c r="G26" s="1">
        <v>37619</v>
      </c>
      <c r="H26" t="s">
        <v>78</v>
      </c>
      <c r="I26" t="s">
        <v>14</v>
      </c>
      <c r="J26" t="s">
        <v>12</v>
      </c>
      <c r="L26" t="s">
        <v>1110</v>
      </c>
      <c r="M26" s="17" t="str">
        <f t="shared" si="1"/>
        <v>DaysInQtr</v>
      </c>
      <c r="N26" s="18" t="str">
        <f t="shared" si="2"/>
        <v>P</v>
      </c>
      <c r="O26" s="119">
        <f t="shared" si="3"/>
        <v>84</v>
      </c>
      <c r="P26" s="123" t="str">
        <f t="shared" si="4"/>
        <v>12/31/2001</v>
      </c>
      <c r="Q26" s="94" t="str">
        <f t="shared" si="5"/>
        <v>4/22/2002</v>
      </c>
      <c r="R26" s="124" t="str">
        <f t="shared" si="6"/>
        <v>7/15/2002</v>
      </c>
      <c r="S26" s="125" t="str">
        <f t="shared" si="7"/>
        <v>10/ 7/2002</v>
      </c>
      <c r="T26" s="121" t="s">
        <v>912</v>
      </c>
      <c r="U26" s="98" t="s">
        <v>913</v>
      </c>
      <c r="V26" s="102" t="s">
        <v>914</v>
      </c>
      <c r="W26" s="100" t="s">
        <v>915</v>
      </c>
      <c r="X26" s="107" t="s">
        <v>916</v>
      </c>
      <c r="Y26" s="101" t="s">
        <v>917</v>
      </c>
      <c r="Z26" s="101" t="s">
        <v>918</v>
      </c>
      <c r="AA26" s="107" t="s">
        <v>919</v>
      </c>
      <c r="AB26" s="101" t="s">
        <v>920</v>
      </c>
      <c r="AC26" s="101" t="s">
        <v>921</v>
      </c>
      <c r="AD26" s="107" t="s">
        <v>922</v>
      </c>
      <c r="AE26" s="101" t="s">
        <v>923</v>
      </c>
      <c r="AF26" s="101" t="s">
        <v>924</v>
      </c>
      <c r="AG26" s="109" t="s">
        <v>925</v>
      </c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</row>
    <row r="27" spans="1:48" ht="15.75" x14ac:dyDescent="0.25">
      <c r="A27" s="55">
        <v>37983</v>
      </c>
      <c r="B27" s="56" t="str">
        <f t="shared" si="0"/>
        <v>DaysInQtr</v>
      </c>
      <c r="C27" s="56" t="s">
        <v>109</v>
      </c>
      <c r="D27" s="111"/>
      <c r="F27" s="1">
        <v>37956</v>
      </c>
      <c r="G27" s="1">
        <v>37983</v>
      </c>
      <c r="H27" t="s">
        <v>80</v>
      </c>
      <c r="I27" t="s">
        <v>14</v>
      </c>
      <c r="J27" t="s">
        <v>12</v>
      </c>
      <c r="L27" t="s">
        <v>1110</v>
      </c>
      <c r="M27" s="17" t="str">
        <f t="shared" si="1"/>
        <v>DaysInQtr</v>
      </c>
      <c r="N27" s="18" t="str">
        <f t="shared" si="2"/>
        <v>P</v>
      </c>
      <c r="O27" s="119">
        <f t="shared" si="3"/>
        <v>84</v>
      </c>
      <c r="P27" s="123" t="str">
        <f t="shared" si="4"/>
        <v>12/30/2002</v>
      </c>
      <c r="Q27" s="94" t="str">
        <f t="shared" si="5"/>
        <v>4/21/2003</v>
      </c>
      <c r="R27" s="124" t="str">
        <f t="shared" si="6"/>
        <v>7/14/2003</v>
      </c>
      <c r="S27" s="125" t="str">
        <f t="shared" si="7"/>
        <v>10/ 6/2003</v>
      </c>
      <c r="T27" s="121" t="s">
        <v>786</v>
      </c>
      <c r="U27" s="98" t="s">
        <v>787</v>
      </c>
      <c r="V27" s="102" t="s">
        <v>788</v>
      </c>
      <c r="W27" s="100" t="s">
        <v>789</v>
      </c>
      <c r="X27" s="107" t="s">
        <v>790</v>
      </c>
      <c r="Y27" s="101" t="s">
        <v>791</v>
      </c>
      <c r="Z27" s="101" t="s">
        <v>792</v>
      </c>
      <c r="AA27" s="107" t="s">
        <v>793</v>
      </c>
      <c r="AB27" s="101" t="s">
        <v>794</v>
      </c>
      <c r="AC27" s="101" t="s">
        <v>795</v>
      </c>
      <c r="AD27" s="107" t="s">
        <v>796</v>
      </c>
      <c r="AE27" s="101" t="s">
        <v>797</v>
      </c>
      <c r="AF27" s="101" t="s">
        <v>798</v>
      </c>
      <c r="AG27" s="109" t="s">
        <v>799</v>
      </c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</row>
    <row r="28" spans="1:48" ht="15.75" x14ac:dyDescent="0.25">
      <c r="A28" s="55">
        <v>38347</v>
      </c>
      <c r="B28" s="56" t="str">
        <f t="shared" si="0"/>
        <v>DaysInQtr</v>
      </c>
      <c r="C28" s="56" t="s">
        <v>109</v>
      </c>
      <c r="D28" s="111"/>
      <c r="F28" s="1">
        <v>38320</v>
      </c>
      <c r="G28" s="1">
        <v>38347</v>
      </c>
      <c r="H28" t="s">
        <v>82</v>
      </c>
      <c r="I28" t="s">
        <v>14</v>
      </c>
      <c r="J28" t="s">
        <v>12</v>
      </c>
      <c r="L28" t="s">
        <v>1110</v>
      </c>
      <c r="M28" s="17" t="str">
        <f t="shared" si="1"/>
        <v>DaysInQtr</v>
      </c>
      <c r="N28" s="18" t="str">
        <f t="shared" si="2"/>
        <v>P</v>
      </c>
      <c r="O28" s="119">
        <f t="shared" si="3"/>
        <v>84</v>
      </c>
      <c r="P28" s="123" t="str">
        <f t="shared" si="4"/>
        <v>12/29/2003</v>
      </c>
      <c r="Q28" s="94" t="str">
        <f t="shared" si="5"/>
        <v>4/19/2004</v>
      </c>
      <c r="R28" s="124" t="str">
        <f t="shared" si="6"/>
        <v>7/12/2004</v>
      </c>
      <c r="S28" s="125" t="str">
        <f t="shared" si="7"/>
        <v>10/ 4/2004</v>
      </c>
      <c r="T28" s="121" t="s">
        <v>800</v>
      </c>
      <c r="U28" s="98" t="s">
        <v>801</v>
      </c>
      <c r="V28" s="102" t="s">
        <v>802</v>
      </c>
      <c r="W28" s="100" t="s">
        <v>803</v>
      </c>
      <c r="X28" s="107" t="s">
        <v>804</v>
      </c>
      <c r="Y28" s="101" t="s">
        <v>805</v>
      </c>
      <c r="Z28" s="101" t="s">
        <v>806</v>
      </c>
      <c r="AA28" s="107" t="s">
        <v>807</v>
      </c>
      <c r="AB28" s="101" t="s">
        <v>808</v>
      </c>
      <c r="AC28" s="101" t="s">
        <v>809</v>
      </c>
      <c r="AD28" s="107" t="s">
        <v>810</v>
      </c>
      <c r="AE28" s="101" t="s">
        <v>811</v>
      </c>
      <c r="AF28" s="101" t="s">
        <v>812</v>
      </c>
      <c r="AG28" s="109" t="s">
        <v>813</v>
      </c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</row>
    <row r="29" spans="1:48" ht="15.75" x14ac:dyDescent="0.25">
      <c r="A29" s="55">
        <v>38711</v>
      </c>
      <c r="B29" s="56" t="str">
        <f t="shared" si="0"/>
        <v>DaysInQtr</v>
      </c>
      <c r="C29" s="56" t="s">
        <v>109</v>
      </c>
      <c r="D29" s="111"/>
      <c r="F29" s="1">
        <v>38684</v>
      </c>
      <c r="G29" s="1">
        <v>38711</v>
      </c>
      <c r="H29" t="s">
        <v>84</v>
      </c>
      <c r="I29" t="s">
        <v>14</v>
      </c>
      <c r="J29" t="s">
        <v>12</v>
      </c>
      <c r="L29" t="s">
        <v>1110</v>
      </c>
      <c r="M29" s="17" t="str">
        <f t="shared" si="1"/>
        <v>DaysInQtr</v>
      </c>
      <c r="N29" s="18" t="str">
        <f t="shared" si="2"/>
        <v>P</v>
      </c>
      <c r="O29" s="119">
        <f t="shared" si="3"/>
        <v>84</v>
      </c>
      <c r="P29" s="123" t="str">
        <f t="shared" si="4"/>
        <v>12/27/2004</v>
      </c>
      <c r="Q29" s="94" t="str">
        <f t="shared" si="5"/>
        <v>4/18/2005</v>
      </c>
      <c r="R29" s="124" t="str">
        <f t="shared" si="6"/>
        <v>7/11/2005</v>
      </c>
      <c r="S29" s="125" t="str">
        <f t="shared" si="7"/>
        <v>10/ 3/2005</v>
      </c>
      <c r="T29" s="121" t="s">
        <v>814</v>
      </c>
      <c r="U29" s="98" t="s">
        <v>815</v>
      </c>
      <c r="V29" s="102" t="s">
        <v>816</v>
      </c>
      <c r="W29" s="100" t="s">
        <v>817</v>
      </c>
      <c r="X29" s="107" t="s">
        <v>818</v>
      </c>
      <c r="Y29" s="101" t="s">
        <v>819</v>
      </c>
      <c r="Z29" s="101" t="s">
        <v>820</v>
      </c>
      <c r="AA29" s="107" t="s">
        <v>821</v>
      </c>
      <c r="AB29" s="101" t="s">
        <v>822</v>
      </c>
      <c r="AC29" s="101" t="s">
        <v>823</v>
      </c>
      <c r="AD29" s="107" t="s">
        <v>824</v>
      </c>
      <c r="AE29" s="101" t="s">
        <v>825</v>
      </c>
      <c r="AF29" s="101" t="s">
        <v>826</v>
      </c>
      <c r="AG29" s="109" t="s">
        <v>827</v>
      </c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</row>
    <row r="30" spans="1:48" ht="15.75" x14ac:dyDescent="0.25">
      <c r="A30" s="55">
        <v>39082</v>
      </c>
      <c r="B30" s="56" t="str">
        <f t="shared" si="0"/>
        <v>DaysInQtr</v>
      </c>
      <c r="C30" s="56" t="s">
        <v>109</v>
      </c>
      <c r="D30" s="111"/>
      <c r="F30" s="1">
        <v>39048</v>
      </c>
      <c r="G30" s="1">
        <v>39082</v>
      </c>
      <c r="H30" t="s">
        <v>86</v>
      </c>
      <c r="I30" t="s">
        <v>14</v>
      </c>
      <c r="J30" t="s">
        <v>12</v>
      </c>
      <c r="L30" t="s">
        <v>1111</v>
      </c>
      <c r="M30" s="17" t="str">
        <f t="shared" si="1"/>
        <v>DaysInQtr</v>
      </c>
      <c r="N30" s="18" t="str">
        <f t="shared" si="2"/>
        <v>P</v>
      </c>
      <c r="O30" s="119">
        <f t="shared" si="3"/>
        <v>91</v>
      </c>
      <c r="P30" s="123" t="str">
        <f t="shared" si="4"/>
        <v>12/26/2005</v>
      </c>
      <c r="Q30" s="94" t="str">
        <f t="shared" si="5"/>
        <v>4/17/2006</v>
      </c>
      <c r="R30" s="124" t="str">
        <f t="shared" si="6"/>
        <v>7/10/2006</v>
      </c>
      <c r="S30" s="125" t="str">
        <f t="shared" si="7"/>
        <v>10/ 2/2006</v>
      </c>
      <c r="T30" s="121" t="s">
        <v>926</v>
      </c>
      <c r="U30" s="98" t="s">
        <v>927</v>
      </c>
      <c r="V30" s="102" t="s">
        <v>928</v>
      </c>
      <c r="W30" s="100" t="s">
        <v>929</v>
      </c>
      <c r="X30" s="107" t="s">
        <v>930</v>
      </c>
      <c r="Y30" s="101" t="s">
        <v>931</v>
      </c>
      <c r="Z30" s="101" t="s">
        <v>932</v>
      </c>
      <c r="AA30" s="107" t="s">
        <v>933</v>
      </c>
      <c r="AB30" s="101" t="s">
        <v>934</v>
      </c>
      <c r="AC30" s="101" t="s">
        <v>935</v>
      </c>
      <c r="AD30" s="107" t="s">
        <v>936</v>
      </c>
      <c r="AE30" s="101" t="s">
        <v>937</v>
      </c>
      <c r="AF30" s="101" t="s">
        <v>938</v>
      </c>
      <c r="AG30" s="109" t="s">
        <v>939</v>
      </c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</row>
    <row r="31" spans="1:48" ht="15.75" x14ac:dyDescent="0.25">
      <c r="A31" s="55">
        <v>39446</v>
      </c>
      <c r="B31" s="56" t="str">
        <f t="shared" si="0"/>
        <v>DaysInQtr</v>
      </c>
      <c r="C31" s="56" t="s">
        <v>109</v>
      </c>
      <c r="D31" s="111"/>
      <c r="F31" s="1">
        <v>39419</v>
      </c>
      <c r="G31" s="1">
        <v>39446</v>
      </c>
      <c r="H31" t="s">
        <v>87</v>
      </c>
      <c r="I31" t="s">
        <v>14</v>
      </c>
      <c r="J31" t="s">
        <v>12</v>
      </c>
      <c r="L31" t="s">
        <v>1110</v>
      </c>
      <c r="M31" s="17" t="str">
        <f t="shared" si="1"/>
        <v>DaysInQtr</v>
      </c>
      <c r="N31" s="18" t="str">
        <f t="shared" si="2"/>
        <v>P</v>
      </c>
      <c r="O31" s="119">
        <f t="shared" si="3"/>
        <v>84</v>
      </c>
      <c r="P31" s="123" t="str">
        <f t="shared" si="4"/>
        <v>1/ 1/2007</v>
      </c>
      <c r="Q31" s="94" t="str">
        <f t="shared" si="5"/>
        <v>4/23/2007</v>
      </c>
      <c r="R31" s="124" t="str">
        <f t="shared" si="6"/>
        <v>7/16/2007</v>
      </c>
      <c r="S31" s="125" t="str">
        <f t="shared" si="7"/>
        <v>10/ 8/2007</v>
      </c>
      <c r="T31" s="121" t="s">
        <v>940</v>
      </c>
      <c r="U31" s="98" t="s">
        <v>941</v>
      </c>
      <c r="V31" s="102" t="s">
        <v>942</v>
      </c>
      <c r="W31" s="100" t="s">
        <v>943</v>
      </c>
      <c r="X31" s="107" t="s">
        <v>944</v>
      </c>
      <c r="Y31" s="101" t="s">
        <v>945</v>
      </c>
      <c r="Z31" s="101" t="s">
        <v>946</v>
      </c>
      <c r="AA31" s="107" t="s">
        <v>947</v>
      </c>
      <c r="AB31" s="101" t="s">
        <v>948</v>
      </c>
      <c r="AC31" s="101" t="s">
        <v>949</v>
      </c>
      <c r="AD31" s="107" t="s">
        <v>950</v>
      </c>
      <c r="AE31" s="101" t="s">
        <v>951</v>
      </c>
      <c r="AF31" s="101" t="s">
        <v>952</v>
      </c>
      <c r="AG31" s="109" t="s">
        <v>953</v>
      </c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</row>
    <row r="32" spans="1:48" ht="15.75" x14ac:dyDescent="0.25">
      <c r="A32" s="55">
        <v>39810</v>
      </c>
      <c r="B32" s="56" t="str">
        <f t="shared" si="0"/>
        <v>DaysInQtr</v>
      </c>
      <c r="C32" s="56" t="s">
        <v>109</v>
      </c>
      <c r="D32" s="111"/>
      <c r="F32" s="1">
        <v>39783</v>
      </c>
      <c r="G32" s="1">
        <v>39810</v>
      </c>
      <c r="H32" t="s">
        <v>88</v>
      </c>
      <c r="I32" t="s">
        <v>14</v>
      </c>
      <c r="J32" t="s">
        <v>12</v>
      </c>
      <c r="L32" t="s">
        <v>1110</v>
      </c>
      <c r="M32" s="17" t="str">
        <f t="shared" si="1"/>
        <v>DaysInQtr</v>
      </c>
      <c r="N32" s="18" t="str">
        <f t="shared" si="2"/>
        <v>P</v>
      </c>
      <c r="O32" s="119">
        <f t="shared" si="3"/>
        <v>84</v>
      </c>
      <c r="P32" s="123" t="str">
        <f t="shared" si="4"/>
        <v>12/31/2007</v>
      </c>
      <c r="Q32" s="94" t="str">
        <f t="shared" si="5"/>
        <v>4/21/2008</v>
      </c>
      <c r="R32" s="124" t="str">
        <f t="shared" si="6"/>
        <v>7/14/2008</v>
      </c>
      <c r="S32" s="125" t="str">
        <f t="shared" si="7"/>
        <v>10/ 6/2008</v>
      </c>
      <c r="T32" s="121" t="s">
        <v>954</v>
      </c>
      <c r="U32" s="98" t="s">
        <v>955</v>
      </c>
      <c r="V32" s="102" t="s">
        <v>956</v>
      </c>
      <c r="W32" s="100" t="s">
        <v>957</v>
      </c>
      <c r="X32" s="107" t="s">
        <v>958</v>
      </c>
      <c r="Y32" s="101" t="s">
        <v>959</v>
      </c>
      <c r="Z32" s="101" t="s">
        <v>960</v>
      </c>
      <c r="AA32" s="107" t="s">
        <v>961</v>
      </c>
      <c r="AB32" s="101" t="s">
        <v>962</v>
      </c>
      <c r="AC32" s="101" t="s">
        <v>963</v>
      </c>
      <c r="AD32" s="107" t="s">
        <v>964</v>
      </c>
      <c r="AE32" s="101" t="s">
        <v>965</v>
      </c>
      <c r="AF32" s="101" t="s">
        <v>966</v>
      </c>
      <c r="AG32" s="109" t="s">
        <v>967</v>
      </c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</row>
    <row r="33" spans="1:48" ht="15.75" x14ac:dyDescent="0.25">
      <c r="A33" s="55">
        <v>39048</v>
      </c>
      <c r="B33" s="56" t="str">
        <f t="shared" si="0"/>
        <v>DaysInQtr</v>
      </c>
      <c r="C33" s="56" t="s">
        <v>111</v>
      </c>
      <c r="D33" s="111"/>
      <c r="F33" s="1">
        <v>39048</v>
      </c>
      <c r="G33" s="1">
        <v>39082</v>
      </c>
      <c r="H33" t="s">
        <v>86</v>
      </c>
      <c r="I33" t="s">
        <v>14</v>
      </c>
      <c r="J33" t="s">
        <v>12</v>
      </c>
      <c r="L33" t="s">
        <v>241</v>
      </c>
      <c r="M33" s="17" t="str">
        <f t="shared" si="1"/>
        <v>DaysInQtr</v>
      </c>
      <c r="N33" s="18" t="str">
        <f t="shared" si="2"/>
        <v>P</v>
      </c>
      <c r="O33" s="119">
        <f t="shared" si="3"/>
        <v>57</v>
      </c>
      <c r="P33" s="123" t="str">
        <f t="shared" si="4"/>
        <v>12/26/2005</v>
      </c>
      <c r="Q33" s="94" t="str">
        <f t="shared" si="5"/>
        <v>4/17/2006</v>
      </c>
      <c r="R33" s="124" t="str">
        <f t="shared" si="6"/>
        <v>7/10/2006</v>
      </c>
      <c r="S33" s="125" t="str">
        <f t="shared" si="7"/>
        <v>10/ 2/2006</v>
      </c>
      <c r="T33" s="121" t="s">
        <v>926</v>
      </c>
      <c r="U33" s="98" t="s">
        <v>927</v>
      </c>
      <c r="V33" s="102" t="s">
        <v>928</v>
      </c>
      <c r="W33" s="100" t="s">
        <v>929</v>
      </c>
      <c r="X33" s="107" t="s">
        <v>930</v>
      </c>
      <c r="Y33" s="101" t="s">
        <v>931</v>
      </c>
      <c r="Z33" s="101" t="s">
        <v>932</v>
      </c>
      <c r="AA33" s="107" t="s">
        <v>933</v>
      </c>
      <c r="AB33" s="101" t="s">
        <v>934</v>
      </c>
      <c r="AC33" s="101" t="s">
        <v>935</v>
      </c>
      <c r="AD33" s="107" t="s">
        <v>936</v>
      </c>
      <c r="AE33" s="101" t="s">
        <v>937</v>
      </c>
      <c r="AF33" s="101" t="s">
        <v>938</v>
      </c>
      <c r="AG33" s="109" t="s">
        <v>939</v>
      </c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</row>
    <row r="34" spans="1:48" ht="15.75" x14ac:dyDescent="0.25">
      <c r="A34" s="55">
        <v>43066</v>
      </c>
      <c r="B34" s="56" t="str">
        <f t="shared" si="0"/>
        <v>DaysInQtr</v>
      </c>
      <c r="C34" s="56" t="s">
        <v>111</v>
      </c>
      <c r="D34" s="111"/>
      <c r="F34" s="1">
        <v>43066</v>
      </c>
      <c r="G34" s="1">
        <v>43100</v>
      </c>
      <c r="H34" t="s">
        <v>70</v>
      </c>
      <c r="I34" t="s">
        <v>14</v>
      </c>
      <c r="J34" t="s">
        <v>12</v>
      </c>
      <c r="L34" t="s">
        <v>241</v>
      </c>
      <c r="M34" s="17" t="str">
        <f t="shared" si="1"/>
        <v>DaysInQtr</v>
      </c>
      <c r="N34" s="18" t="str">
        <f t="shared" si="2"/>
        <v>P</v>
      </c>
      <c r="O34" s="119">
        <f t="shared" si="3"/>
        <v>57</v>
      </c>
      <c r="P34" s="123" t="str">
        <f t="shared" si="4"/>
        <v>12/26/2016</v>
      </c>
      <c r="Q34" s="94" t="str">
        <f t="shared" si="5"/>
        <v>4/17/2017</v>
      </c>
      <c r="R34" s="124" t="str">
        <f t="shared" si="6"/>
        <v>7/10/2017</v>
      </c>
      <c r="S34" s="125" t="str">
        <f t="shared" si="7"/>
        <v>10/ 2/2017</v>
      </c>
      <c r="T34" s="121" t="s">
        <v>772</v>
      </c>
      <c r="U34" s="98" t="s">
        <v>773</v>
      </c>
      <c r="V34" s="102" t="s">
        <v>774</v>
      </c>
      <c r="W34" s="100" t="s">
        <v>775</v>
      </c>
      <c r="X34" s="107" t="s">
        <v>776</v>
      </c>
      <c r="Y34" s="101" t="s">
        <v>777</v>
      </c>
      <c r="Z34" s="101" t="s">
        <v>778</v>
      </c>
      <c r="AA34" s="107" t="s">
        <v>779</v>
      </c>
      <c r="AB34" s="101" t="s">
        <v>780</v>
      </c>
      <c r="AC34" s="101" t="s">
        <v>781</v>
      </c>
      <c r="AD34" s="107" t="s">
        <v>782</v>
      </c>
      <c r="AE34" s="101" t="s">
        <v>783</v>
      </c>
      <c r="AF34" s="101" t="s">
        <v>784</v>
      </c>
      <c r="AG34" s="109" t="s">
        <v>785</v>
      </c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</row>
    <row r="35" spans="1:48" ht="15.75" x14ac:dyDescent="0.25">
      <c r="A35" s="55">
        <v>47084</v>
      </c>
      <c r="B35" s="56" t="str">
        <f t="shared" si="0"/>
        <v>DaysInQtr</v>
      </c>
      <c r="C35" s="56" t="s">
        <v>111</v>
      </c>
      <c r="D35" s="111"/>
      <c r="F35" s="1">
        <v>47084</v>
      </c>
      <c r="G35" s="1">
        <v>47118</v>
      </c>
      <c r="H35" t="s">
        <v>103</v>
      </c>
      <c r="I35" t="s">
        <v>14</v>
      </c>
      <c r="J35" t="s">
        <v>12</v>
      </c>
      <c r="L35" t="s">
        <v>241</v>
      </c>
      <c r="M35" s="17" t="str">
        <f t="shared" si="1"/>
        <v>DaysInQtr</v>
      </c>
      <c r="N35" s="18" t="str">
        <f t="shared" si="2"/>
        <v>P</v>
      </c>
      <c r="O35" s="119">
        <f t="shared" si="3"/>
        <v>57</v>
      </c>
      <c r="P35" s="123" t="str">
        <f t="shared" si="4"/>
        <v>12/27/2027</v>
      </c>
      <c r="Q35" s="94" t="str">
        <f t="shared" si="5"/>
        <v>4/17/2028</v>
      </c>
      <c r="R35" s="124" t="str">
        <f t="shared" si="6"/>
        <v>7/10/2028</v>
      </c>
      <c r="S35" s="125" t="str">
        <f t="shared" si="7"/>
        <v>10/ 2/2028</v>
      </c>
      <c r="T35" s="121" t="s">
        <v>856</v>
      </c>
      <c r="U35" s="98" t="s">
        <v>857</v>
      </c>
      <c r="V35" s="102" t="s">
        <v>858</v>
      </c>
      <c r="W35" s="100" t="s">
        <v>859</v>
      </c>
      <c r="X35" s="107" t="s">
        <v>860</v>
      </c>
      <c r="Y35" s="101" t="s">
        <v>861</v>
      </c>
      <c r="Z35" s="101" t="s">
        <v>862</v>
      </c>
      <c r="AA35" s="107" t="s">
        <v>863</v>
      </c>
      <c r="AB35" s="101" t="s">
        <v>864</v>
      </c>
      <c r="AC35" s="101" t="s">
        <v>865</v>
      </c>
      <c r="AD35" s="107" t="s">
        <v>866</v>
      </c>
      <c r="AE35" s="101" t="s">
        <v>867</v>
      </c>
      <c r="AF35" s="101" t="s">
        <v>868</v>
      </c>
      <c r="AG35" s="109" t="s">
        <v>869</v>
      </c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</row>
    <row r="36" spans="1:48" ht="15.75" x14ac:dyDescent="0.25">
      <c r="A36" s="55">
        <v>39082</v>
      </c>
      <c r="B36" s="56" t="str">
        <f t="shared" si="0"/>
        <v>DaysInQtr</v>
      </c>
      <c r="C36" s="56" t="s">
        <v>112</v>
      </c>
      <c r="D36" s="111"/>
      <c r="F36" s="1">
        <v>39048</v>
      </c>
      <c r="G36" s="1">
        <v>39082</v>
      </c>
      <c r="H36" t="s">
        <v>86</v>
      </c>
      <c r="I36" t="s">
        <v>14</v>
      </c>
      <c r="J36" t="s">
        <v>12</v>
      </c>
      <c r="L36" t="s">
        <v>1111</v>
      </c>
      <c r="M36" s="17" t="str">
        <f t="shared" si="1"/>
        <v>DaysInQtr</v>
      </c>
      <c r="N36" s="18" t="str">
        <f t="shared" si="2"/>
        <v>P</v>
      </c>
      <c r="O36" s="119">
        <f t="shared" si="3"/>
        <v>91</v>
      </c>
      <c r="P36" s="123" t="str">
        <f t="shared" si="4"/>
        <v>12/26/2005</v>
      </c>
      <c r="Q36" s="94" t="str">
        <f t="shared" si="5"/>
        <v>4/17/2006</v>
      </c>
      <c r="R36" s="124" t="str">
        <f t="shared" si="6"/>
        <v>7/10/2006</v>
      </c>
      <c r="S36" s="125" t="str">
        <f t="shared" si="7"/>
        <v>10/ 2/2006</v>
      </c>
      <c r="T36" s="121" t="s">
        <v>926</v>
      </c>
      <c r="U36" s="98" t="s">
        <v>927</v>
      </c>
      <c r="V36" s="102" t="s">
        <v>928</v>
      </c>
      <c r="W36" s="100" t="s">
        <v>929</v>
      </c>
      <c r="X36" s="107" t="s">
        <v>930</v>
      </c>
      <c r="Y36" s="101" t="s">
        <v>931</v>
      </c>
      <c r="Z36" s="101" t="s">
        <v>932</v>
      </c>
      <c r="AA36" s="107" t="s">
        <v>933</v>
      </c>
      <c r="AB36" s="101" t="s">
        <v>934</v>
      </c>
      <c r="AC36" s="101" t="s">
        <v>935</v>
      </c>
      <c r="AD36" s="107" t="s">
        <v>936</v>
      </c>
      <c r="AE36" s="101" t="s">
        <v>937</v>
      </c>
      <c r="AF36" s="101" t="s">
        <v>938</v>
      </c>
      <c r="AG36" s="109" t="s">
        <v>939</v>
      </c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</row>
    <row r="37" spans="1:48" ht="15.75" x14ac:dyDescent="0.25">
      <c r="A37" s="55">
        <v>43100</v>
      </c>
      <c r="B37" s="56" t="str">
        <f t="shared" si="0"/>
        <v>DaysInQtr</v>
      </c>
      <c r="C37" s="56" t="s">
        <v>112</v>
      </c>
      <c r="D37" s="111"/>
      <c r="F37" s="1">
        <v>43066</v>
      </c>
      <c r="G37" s="1">
        <v>43100</v>
      </c>
      <c r="H37" t="s">
        <v>70</v>
      </c>
      <c r="I37" t="s">
        <v>14</v>
      </c>
      <c r="J37" t="s">
        <v>12</v>
      </c>
      <c r="L37" t="s">
        <v>1111</v>
      </c>
      <c r="M37" s="17" t="str">
        <f t="shared" si="1"/>
        <v>DaysInQtr</v>
      </c>
      <c r="N37" s="18" t="str">
        <f t="shared" si="2"/>
        <v>P</v>
      </c>
      <c r="O37" s="119">
        <f t="shared" si="3"/>
        <v>91</v>
      </c>
      <c r="P37" s="123" t="str">
        <f t="shared" si="4"/>
        <v>12/26/2016</v>
      </c>
      <c r="Q37" s="94" t="str">
        <f t="shared" si="5"/>
        <v>4/17/2017</v>
      </c>
      <c r="R37" s="124" t="str">
        <f t="shared" si="6"/>
        <v>7/10/2017</v>
      </c>
      <c r="S37" s="125" t="str">
        <f t="shared" si="7"/>
        <v>10/ 2/2017</v>
      </c>
      <c r="T37" s="121" t="s">
        <v>772</v>
      </c>
      <c r="U37" s="98" t="s">
        <v>773</v>
      </c>
      <c r="V37" s="102" t="s">
        <v>774</v>
      </c>
      <c r="W37" s="100" t="s">
        <v>775</v>
      </c>
      <c r="X37" s="107" t="s">
        <v>776</v>
      </c>
      <c r="Y37" s="101" t="s">
        <v>777</v>
      </c>
      <c r="Z37" s="101" t="s">
        <v>778</v>
      </c>
      <c r="AA37" s="107" t="s">
        <v>779</v>
      </c>
      <c r="AB37" s="101" t="s">
        <v>780</v>
      </c>
      <c r="AC37" s="101" t="s">
        <v>781</v>
      </c>
      <c r="AD37" s="107" t="s">
        <v>782</v>
      </c>
      <c r="AE37" s="101" t="s">
        <v>783</v>
      </c>
      <c r="AF37" s="101" t="s">
        <v>784</v>
      </c>
      <c r="AG37" s="109" t="s">
        <v>785</v>
      </c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</row>
    <row r="38" spans="1:48" ht="15.75" x14ac:dyDescent="0.25">
      <c r="A38" s="55">
        <v>47118</v>
      </c>
      <c r="B38" s="56" t="str">
        <f t="shared" si="0"/>
        <v>DaysInQtr</v>
      </c>
      <c r="C38" s="56" t="s">
        <v>112</v>
      </c>
      <c r="D38" s="111"/>
      <c r="F38" s="1">
        <v>47084</v>
      </c>
      <c r="G38" s="1">
        <v>47118</v>
      </c>
      <c r="H38" t="s">
        <v>103</v>
      </c>
      <c r="I38" t="s">
        <v>14</v>
      </c>
      <c r="J38" t="s">
        <v>12</v>
      </c>
      <c r="L38" t="s">
        <v>1111</v>
      </c>
      <c r="M38" s="17" t="str">
        <f t="shared" si="1"/>
        <v>DaysInQtr</v>
      </c>
      <c r="N38" s="18" t="str">
        <f t="shared" si="2"/>
        <v>P</v>
      </c>
      <c r="O38" s="119">
        <f t="shared" si="3"/>
        <v>91</v>
      </c>
      <c r="P38" s="123" t="str">
        <f t="shared" si="4"/>
        <v>12/27/2027</v>
      </c>
      <c r="Q38" s="94" t="str">
        <f t="shared" si="5"/>
        <v>4/17/2028</v>
      </c>
      <c r="R38" s="124" t="str">
        <f t="shared" si="6"/>
        <v>7/10/2028</v>
      </c>
      <c r="S38" s="125" t="str">
        <f t="shared" si="7"/>
        <v>10/ 2/2028</v>
      </c>
      <c r="T38" s="121" t="s">
        <v>856</v>
      </c>
      <c r="U38" s="98" t="s">
        <v>857</v>
      </c>
      <c r="V38" s="102" t="s">
        <v>858</v>
      </c>
      <c r="W38" s="100" t="s">
        <v>859</v>
      </c>
      <c r="X38" s="107" t="s">
        <v>860</v>
      </c>
      <c r="Y38" s="101" t="s">
        <v>861</v>
      </c>
      <c r="Z38" s="101" t="s">
        <v>862</v>
      </c>
      <c r="AA38" s="107" t="s">
        <v>863</v>
      </c>
      <c r="AB38" s="101" t="s">
        <v>864</v>
      </c>
      <c r="AC38" s="101" t="s">
        <v>865</v>
      </c>
      <c r="AD38" s="107" t="s">
        <v>866</v>
      </c>
      <c r="AE38" s="101" t="s">
        <v>867</v>
      </c>
      <c r="AF38" s="101" t="s">
        <v>868</v>
      </c>
      <c r="AG38" s="109" t="s">
        <v>869</v>
      </c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</row>
    <row r="39" spans="1:48" ht="15.75" x14ac:dyDescent="0.25">
      <c r="A39" s="55">
        <v>39048</v>
      </c>
      <c r="B39" s="56" t="str">
        <f t="shared" si="0"/>
        <v>DaysInQtr</v>
      </c>
      <c r="C39" s="56" t="s">
        <v>111</v>
      </c>
      <c r="D39" s="111"/>
      <c r="F39" s="1">
        <v>39048</v>
      </c>
      <c r="G39" s="1">
        <v>39082</v>
      </c>
      <c r="H39" t="s">
        <v>86</v>
      </c>
      <c r="I39" t="s">
        <v>14</v>
      </c>
      <c r="J39" t="s">
        <v>12</v>
      </c>
      <c r="L39" t="s">
        <v>241</v>
      </c>
      <c r="M39" s="17" t="str">
        <f t="shared" si="1"/>
        <v>DaysInQtr</v>
      </c>
      <c r="N39" s="18" t="str">
        <f t="shared" si="2"/>
        <v>P</v>
      </c>
      <c r="O39" s="119">
        <f t="shared" si="3"/>
        <v>57</v>
      </c>
      <c r="P39" s="123" t="str">
        <f t="shared" si="4"/>
        <v>12/26/2005</v>
      </c>
      <c r="Q39" s="94" t="str">
        <f t="shared" si="5"/>
        <v>4/17/2006</v>
      </c>
      <c r="R39" s="124" t="str">
        <f t="shared" si="6"/>
        <v>7/10/2006</v>
      </c>
      <c r="S39" s="125" t="str">
        <f t="shared" si="7"/>
        <v>10/ 2/2006</v>
      </c>
      <c r="T39" s="121" t="s">
        <v>926</v>
      </c>
      <c r="U39" s="98" t="s">
        <v>927</v>
      </c>
      <c r="V39" s="102" t="s">
        <v>928</v>
      </c>
      <c r="W39" s="100" t="s">
        <v>929</v>
      </c>
      <c r="X39" s="107" t="s">
        <v>930</v>
      </c>
      <c r="Y39" s="101" t="s">
        <v>931</v>
      </c>
      <c r="Z39" s="101" t="s">
        <v>932</v>
      </c>
      <c r="AA39" s="107" t="s">
        <v>933</v>
      </c>
      <c r="AB39" s="101" t="s">
        <v>934</v>
      </c>
      <c r="AC39" s="101" t="s">
        <v>935</v>
      </c>
      <c r="AD39" s="107" t="s">
        <v>936</v>
      </c>
      <c r="AE39" s="101" t="s">
        <v>937</v>
      </c>
      <c r="AF39" s="101" t="s">
        <v>938</v>
      </c>
      <c r="AG39" s="109" t="s">
        <v>939</v>
      </c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</row>
    <row r="40" spans="1:48" ht="15.75" x14ac:dyDescent="0.25">
      <c r="A40" s="55">
        <v>43066</v>
      </c>
      <c r="B40" s="56" t="str">
        <f t="shared" si="0"/>
        <v>DaysInQtr</v>
      </c>
      <c r="C40" s="56" t="s">
        <v>111</v>
      </c>
      <c r="D40" s="111"/>
      <c r="F40" s="1">
        <v>43066</v>
      </c>
      <c r="G40" s="1">
        <v>43100</v>
      </c>
      <c r="H40" t="s">
        <v>70</v>
      </c>
      <c r="I40" t="s">
        <v>14</v>
      </c>
      <c r="J40" t="s">
        <v>12</v>
      </c>
      <c r="L40" t="s">
        <v>241</v>
      </c>
      <c r="M40" s="17" t="str">
        <f t="shared" si="1"/>
        <v>DaysInQtr</v>
      </c>
      <c r="N40" s="18" t="str">
        <f t="shared" si="2"/>
        <v>P</v>
      </c>
      <c r="O40" s="119">
        <f t="shared" si="3"/>
        <v>57</v>
      </c>
      <c r="P40" s="123" t="str">
        <f t="shared" si="4"/>
        <v>12/26/2016</v>
      </c>
      <c r="Q40" s="94" t="str">
        <f t="shared" si="5"/>
        <v>4/17/2017</v>
      </c>
      <c r="R40" s="124" t="str">
        <f t="shared" si="6"/>
        <v>7/10/2017</v>
      </c>
      <c r="S40" s="125" t="str">
        <f t="shared" si="7"/>
        <v>10/ 2/2017</v>
      </c>
      <c r="T40" s="121" t="s">
        <v>772</v>
      </c>
      <c r="U40" s="98" t="s">
        <v>773</v>
      </c>
      <c r="V40" s="102" t="s">
        <v>774</v>
      </c>
      <c r="W40" s="100" t="s">
        <v>775</v>
      </c>
      <c r="X40" s="107" t="s">
        <v>776</v>
      </c>
      <c r="Y40" s="101" t="s">
        <v>777</v>
      </c>
      <c r="Z40" s="101" t="s">
        <v>778</v>
      </c>
      <c r="AA40" s="107" t="s">
        <v>779</v>
      </c>
      <c r="AB40" s="101" t="s">
        <v>780</v>
      </c>
      <c r="AC40" s="101" t="s">
        <v>781</v>
      </c>
      <c r="AD40" s="107" t="s">
        <v>782</v>
      </c>
      <c r="AE40" s="101" t="s">
        <v>783</v>
      </c>
      <c r="AF40" s="101" t="s">
        <v>784</v>
      </c>
      <c r="AG40" s="109" t="s">
        <v>785</v>
      </c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</row>
    <row r="41" spans="1:48" ht="15.75" x14ac:dyDescent="0.25">
      <c r="A41" s="55">
        <v>47084</v>
      </c>
      <c r="B41" s="56" t="str">
        <f t="shared" si="0"/>
        <v>DaysInQtr</v>
      </c>
      <c r="C41" s="56" t="s">
        <v>111</v>
      </c>
      <c r="D41" s="111"/>
      <c r="F41" s="1">
        <v>47084</v>
      </c>
      <c r="G41" s="1">
        <v>47118</v>
      </c>
      <c r="H41" t="s">
        <v>103</v>
      </c>
      <c r="I41" t="s">
        <v>14</v>
      </c>
      <c r="J41" t="s">
        <v>12</v>
      </c>
      <c r="L41" t="s">
        <v>241</v>
      </c>
      <c r="M41" s="17" t="str">
        <f t="shared" si="1"/>
        <v>DaysInQtr</v>
      </c>
      <c r="N41" s="18" t="str">
        <f t="shared" ref="N41:N86" si="8">IF(VALUE(O41) =VALUE(L41), "P", "F")</f>
        <v>P</v>
      </c>
      <c r="O41" s="119">
        <f t="shared" ref="O41:O86" si="9">IF(J41 = "01", (A41-P41) + 1, IF(J41 = "02", (A41-Q41) + 1, IF(J41 ="03", (A41 - R41) + 1, IF(J41 = "04", (A41 - S41) + 1, "FFF"))))</f>
        <v>57</v>
      </c>
      <c r="P41" s="123" t="str">
        <f t="shared" si="4"/>
        <v>12/27/2027</v>
      </c>
      <c r="Q41" s="94" t="str">
        <f t="shared" si="5"/>
        <v>4/17/2028</v>
      </c>
      <c r="R41" s="124" t="str">
        <f t="shared" si="6"/>
        <v>7/10/2028</v>
      </c>
      <c r="S41" s="125" t="str">
        <f t="shared" si="7"/>
        <v>10/ 2/2028</v>
      </c>
      <c r="T41" s="121" t="s">
        <v>856</v>
      </c>
      <c r="U41" s="98" t="s">
        <v>857</v>
      </c>
      <c r="V41" s="102" t="s">
        <v>858</v>
      </c>
      <c r="W41" s="100" t="s">
        <v>859</v>
      </c>
      <c r="X41" s="107" t="s">
        <v>860</v>
      </c>
      <c r="Y41" s="101" t="s">
        <v>861</v>
      </c>
      <c r="Z41" s="101" t="s">
        <v>862</v>
      </c>
      <c r="AA41" s="107" t="s">
        <v>863</v>
      </c>
      <c r="AB41" s="101" t="s">
        <v>864</v>
      </c>
      <c r="AC41" s="101" t="s">
        <v>865</v>
      </c>
      <c r="AD41" s="107" t="s">
        <v>866</v>
      </c>
      <c r="AE41" s="101" t="s">
        <v>867</v>
      </c>
      <c r="AF41" s="101" t="s">
        <v>868</v>
      </c>
      <c r="AG41" s="109" t="s">
        <v>869</v>
      </c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</row>
    <row r="42" spans="1:48" ht="15.75" x14ac:dyDescent="0.25">
      <c r="A42" s="55">
        <v>39082</v>
      </c>
      <c r="B42" s="56" t="str">
        <f t="shared" si="0"/>
        <v>DaysInQtr</v>
      </c>
      <c r="C42" s="56" t="s">
        <v>112</v>
      </c>
      <c r="D42" s="111"/>
      <c r="F42" s="1">
        <v>39048</v>
      </c>
      <c r="G42" s="1">
        <v>39082</v>
      </c>
      <c r="H42" t="s">
        <v>86</v>
      </c>
      <c r="I42" t="s">
        <v>14</v>
      </c>
      <c r="J42" t="s">
        <v>12</v>
      </c>
      <c r="L42" t="s">
        <v>1111</v>
      </c>
      <c r="M42" s="17" t="str">
        <f t="shared" si="1"/>
        <v>DaysInQtr</v>
      </c>
      <c r="N42" s="18" t="str">
        <f t="shared" si="8"/>
        <v>P</v>
      </c>
      <c r="O42" s="119">
        <f t="shared" si="9"/>
        <v>91</v>
      </c>
      <c r="P42" s="123" t="str">
        <f t="shared" si="4"/>
        <v>12/26/2005</v>
      </c>
      <c r="Q42" s="94" t="str">
        <f t="shared" si="5"/>
        <v>4/17/2006</v>
      </c>
      <c r="R42" s="124" t="str">
        <f t="shared" si="6"/>
        <v>7/10/2006</v>
      </c>
      <c r="S42" s="125" t="str">
        <f t="shared" si="7"/>
        <v>10/ 2/2006</v>
      </c>
      <c r="T42" s="121" t="s">
        <v>926</v>
      </c>
      <c r="U42" s="98" t="s">
        <v>927</v>
      </c>
      <c r="V42" s="102" t="s">
        <v>928</v>
      </c>
      <c r="W42" s="100" t="s">
        <v>929</v>
      </c>
      <c r="X42" s="107" t="s">
        <v>930</v>
      </c>
      <c r="Y42" s="101" t="s">
        <v>931</v>
      </c>
      <c r="Z42" s="101" t="s">
        <v>932</v>
      </c>
      <c r="AA42" s="107" t="s">
        <v>933</v>
      </c>
      <c r="AB42" s="101" t="s">
        <v>934</v>
      </c>
      <c r="AC42" s="101" t="s">
        <v>935</v>
      </c>
      <c r="AD42" s="107" t="s">
        <v>936</v>
      </c>
      <c r="AE42" s="101" t="s">
        <v>937</v>
      </c>
      <c r="AF42" s="101" t="s">
        <v>938</v>
      </c>
      <c r="AG42" s="109" t="s">
        <v>939</v>
      </c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</row>
    <row r="43" spans="1:48" ht="15.75" x14ac:dyDescent="0.25">
      <c r="A43" s="55">
        <v>43100</v>
      </c>
      <c r="B43" s="56" t="str">
        <f t="shared" si="0"/>
        <v>DaysInQtr</v>
      </c>
      <c r="C43" s="56" t="s">
        <v>112</v>
      </c>
      <c r="D43" s="111"/>
      <c r="F43" s="1">
        <v>43066</v>
      </c>
      <c r="G43" s="1">
        <v>43100</v>
      </c>
      <c r="H43" t="s">
        <v>70</v>
      </c>
      <c r="I43" t="s">
        <v>14</v>
      </c>
      <c r="J43" t="s">
        <v>12</v>
      </c>
      <c r="L43" t="s">
        <v>1111</v>
      </c>
      <c r="M43" s="17" t="str">
        <f t="shared" si="1"/>
        <v>DaysInQtr</v>
      </c>
      <c r="N43" s="18" t="str">
        <f t="shared" si="8"/>
        <v>P</v>
      </c>
      <c r="O43" s="119">
        <f t="shared" si="9"/>
        <v>91</v>
      </c>
      <c r="P43" s="123" t="str">
        <f t="shared" si="4"/>
        <v>12/26/2016</v>
      </c>
      <c r="Q43" s="94" t="str">
        <f t="shared" si="5"/>
        <v>4/17/2017</v>
      </c>
      <c r="R43" s="124" t="str">
        <f t="shared" si="6"/>
        <v>7/10/2017</v>
      </c>
      <c r="S43" s="125" t="str">
        <f t="shared" si="7"/>
        <v>10/ 2/2017</v>
      </c>
      <c r="T43" s="121" t="s">
        <v>772</v>
      </c>
      <c r="U43" s="98" t="s">
        <v>773</v>
      </c>
      <c r="V43" s="102" t="s">
        <v>774</v>
      </c>
      <c r="W43" s="100" t="s">
        <v>775</v>
      </c>
      <c r="X43" s="107" t="s">
        <v>776</v>
      </c>
      <c r="Y43" s="101" t="s">
        <v>777</v>
      </c>
      <c r="Z43" s="101" t="s">
        <v>778</v>
      </c>
      <c r="AA43" s="107" t="s">
        <v>779</v>
      </c>
      <c r="AB43" s="101" t="s">
        <v>780</v>
      </c>
      <c r="AC43" s="101" t="s">
        <v>781</v>
      </c>
      <c r="AD43" s="107" t="s">
        <v>782</v>
      </c>
      <c r="AE43" s="101" t="s">
        <v>783</v>
      </c>
      <c r="AF43" s="101" t="s">
        <v>784</v>
      </c>
      <c r="AG43" s="109" t="s">
        <v>785</v>
      </c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</row>
    <row r="44" spans="1:48" ht="15.75" x14ac:dyDescent="0.25">
      <c r="A44" s="55">
        <v>47118</v>
      </c>
      <c r="B44" s="56" t="str">
        <f t="shared" si="0"/>
        <v>DaysInQtr</v>
      </c>
      <c r="C44" s="56" t="s">
        <v>112</v>
      </c>
      <c r="D44" s="111"/>
      <c r="F44" s="1">
        <v>47084</v>
      </c>
      <c r="G44" s="1">
        <v>47118</v>
      </c>
      <c r="H44" t="s">
        <v>103</v>
      </c>
      <c r="I44" t="s">
        <v>14</v>
      </c>
      <c r="J44" t="s">
        <v>12</v>
      </c>
      <c r="L44" t="s">
        <v>1111</v>
      </c>
      <c r="M44" s="17" t="str">
        <f t="shared" si="1"/>
        <v>DaysInQtr</v>
      </c>
      <c r="N44" s="18" t="str">
        <f t="shared" si="8"/>
        <v>P</v>
      </c>
      <c r="O44" s="119">
        <f t="shared" si="9"/>
        <v>91</v>
      </c>
      <c r="P44" s="123" t="str">
        <f t="shared" si="4"/>
        <v>12/27/2027</v>
      </c>
      <c r="Q44" s="94" t="str">
        <f t="shared" si="5"/>
        <v>4/17/2028</v>
      </c>
      <c r="R44" s="124" t="str">
        <f t="shared" si="6"/>
        <v>7/10/2028</v>
      </c>
      <c r="S44" s="125" t="str">
        <f t="shared" si="7"/>
        <v>10/ 2/2028</v>
      </c>
      <c r="T44" s="121" t="s">
        <v>856</v>
      </c>
      <c r="U44" s="98" t="s">
        <v>857</v>
      </c>
      <c r="V44" s="102" t="s">
        <v>858</v>
      </c>
      <c r="W44" s="100" t="s">
        <v>859</v>
      </c>
      <c r="X44" s="107" t="s">
        <v>860</v>
      </c>
      <c r="Y44" s="101" t="s">
        <v>861</v>
      </c>
      <c r="Z44" s="101" t="s">
        <v>862</v>
      </c>
      <c r="AA44" s="107" t="s">
        <v>863</v>
      </c>
      <c r="AB44" s="101" t="s">
        <v>864</v>
      </c>
      <c r="AC44" s="101" t="s">
        <v>865</v>
      </c>
      <c r="AD44" s="107" t="s">
        <v>866</v>
      </c>
      <c r="AE44" s="101" t="s">
        <v>867</v>
      </c>
      <c r="AF44" s="101" t="s">
        <v>868</v>
      </c>
      <c r="AG44" s="109" t="s">
        <v>869</v>
      </c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</row>
    <row r="45" spans="1:48" ht="15.75" x14ac:dyDescent="0.25">
      <c r="A45" s="55">
        <v>39048</v>
      </c>
      <c r="B45" s="56" t="str">
        <f t="shared" si="0"/>
        <v>DaysInQtr</v>
      </c>
      <c r="C45" s="56" t="s">
        <v>111</v>
      </c>
      <c r="D45" s="111"/>
      <c r="F45" s="1">
        <v>39048</v>
      </c>
      <c r="G45" s="1">
        <v>39082</v>
      </c>
      <c r="H45" t="s">
        <v>86</v>
      </c>
      <c r="I45" t="s">
        <v>14</v>
      </c>
      <c r="J45" t="s">
        <v>12</v>
      </c>
      <c r="L45" t="s">
        <v>241</v>
      </c>
      <c r="M45" s="17" t="str">
        <f t="shared" si="1"/>
        <v>DaysInQtr</v>
      </c>
      <c r="N45" s="18" t="str">
        <f t="shared" si="8"/>
        <v>P</v>
      </c>
      <c r="O45" s="119">
        <f t="shared" si="9"/>
        <v>57</v>
      </c>
      <c r="P45" s="123" t="str">
        <f t="shared" si="4"/>
        <v>12/26/2005</v>
      </c>
      <c r="Q45" s="94" t="str">
        <f t="shared" si="5"/>
        <v>4/17/2006</v>
      </c>
      <c r="R45" s="124" t="str">
        <f t="shared" si="6"/>
        <v>7/10/2006</v>
      </c>
      <c r="S45" s="125" t="str">
        <f t="shared" si="7"/>
        <v>10/ 2/2006</v>
      </c>
      <c r="T45" s="121" t="s">
        <v>926</v>
      </c>
      <c r="U45" s="98" t="s">
        <v>927</v>
      </c>
      <c r="V45" s="102" t="s">
        <v>928</v>
      </c>
      <c r="W45" s="100" t="s">
        <v>929</v>
      </c>
      <c r="X45" s="107" t="s">
        <v>930</v>
      </c>
      <c r="Y45" s="101" t="s">
        <v>931</v>
      </c>
      <c r="Z45" s="101" t="s">
        <v>932</v>
      </c>
      <c r="AA45" s="107" t="s">
        <v>933</v>
      </c>
      <c r="AB45" s="101" t="s">
        <v>934</v>
      </c>
      <c r="AC45" s="101" t="s">
        <v>935</v>
      </c>
      <c r="AD45" s="107" t="s">
        <v>936</v>
      </c>
      <c r="AE45" s="101" t="s">
        <v>937</v>
      </c>
      <c r="AF45" s="101" t="s">
        <v>938</v>
      </c>
      <c r="AG45" s="109" t="s">
        <v>939</v>
      </c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</row>
    <row r="46" spans="1:48" ht="15.75" x14ac:dyDescent="0.25">
      <c r="A46" s="55">
        <v>43066</v>
      </c>
      <c r="B46" s="56" t="str">
        <f t="shared" si="0"/>
        <v>DaysInQtr</v>
      </c>
      <c r="C46" s="56" t="s">
        <v>111</v>
      </c>
      <c r="D46" s="111"/>
      <c r="F46" s="1">
        <v>43066</v>
      </c>
      <c r="G46" s="1">
        <v>43100</v>
      </c>
      <c r="H46" t="s">
        <v>70</v>
      </c>
      <c r="I46" t="s">
        <v>14</v>
      </c>
      <c r="J46" t="s">
        <v>12</v>
      </c>
      <c r="L46" t="s">
        <v>241</v>
      </c>
      <c r="M46" s="17" t="str">
        <f t="shared" si="1"/>
        <v>DaysInQtr</v>
      </c>
      <c r="N46" s="18" t="str">
        <f t="shared" si="8"/>
        <v>P</v>
      </c>
      <c r="O46" s="119">
        <f t="shared" si="9"/>
        <v>57</v>
      </c>
      <c r="P46" s="123" t="str">
        <f t="shared" si="4"/>
        <v>12/26/2016</v>
      </c>
      <c r="Q46" s="94" t="str">
        <f t="shared" si="5"/>
        <v>4/17/2017</v>
      </c>
      <c r="R46" s="124" t="str">
        <f t="shared" si="6"/>
        <v>7/10/2017</v>
      </c>
      <c r="S46" s="125" t="str">
        <f t="shared" si="7"/>
        <v>10/ 2/2017</v>
      </c>
      <c r="T46" s="121" t="s">
        <v>772</v>
      </c>
      <c r="U46" s="98" t="s">
        <v>773</v>
      </c>
      <c r="V46" s="102" t="s">
        <v>774</v>
      </c>
      <c r="W46" s="100" t="s">
        <v>775</v>
      </c>
      <c r="X46" s="107" t="s">
        <v>776</v>
      </c>
      <c r="Y46" s="101" t="s">
        <v>777</v>
      </c>
      <c r="Z46" s="101" t="s">
        <v>778</v>
      </c>
      <c r="AA46" s="107" t="s">
        <v>779</v>
      </c>
      <c r="AB46" s="101" t="s">
        <v>780</v>
      </c>
      <c r="AC46" s="101" t="s">
        <v>781</v>
      </c>
      <c r="AD46" s="107" t="s">
        <v>782</v>
      </c>
      <c r="AE46" s="101" t="s">
        <v>783</v>
      </c>
      <c r="AF46" s="101" t="s">
        <v>784</v>
      </c>
      <c r="AG46" s="109" t="s">
        <v>785</v>
      </c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</row>
    <row r="47" spans="1:48" ht="15.75" x14ac:dyDescent="0.25">
      <c r="A47" s="55">
        <v>47084</v>
      </c>
      <c r="B47" s="56" t="str">
        <f t="shared" si="0"/>
        <v>DaysInQtr</v>
      </c>
      <c r="C47" s="56" t="s">
        <v>111</v>
      </c>
      <c r="D47" s="111"/>
      <c r="F47" s="1">
        <v>47084</v>
      </c>
      <c r="G47" s="1">
        <v>47118</v>
      </c>
      <c r="H47" t="s">
        <v>103</v>
      </c>
      <c r="I47" t="s">
        <v>14</v>
      </c>
      <c r="J47" t="s">
        <v>12</v>
      </c>
      <c r="L47" t="s">
        <v>241</v>
      </c>
      <c r="M47" s="17" t="str">
        <f t="shared" si="1"/>
        <v>DaysInQtr</v>
      </c>
      <c r="N47" s="18" t="str">
        <f t="shared" si="8"/>
        <v>P</v>
      </c>
      <c r="O47" s="119">
        <f t="shared" si="9"/>
        <v>57</v>
      </c>
      <c r="P47" s="123" t="str">
        <f t="shared" si="4"/>
        <v>12/27/2027</v>
      </c>
      <c r="Q47" s="94" t="str">
        <f t="shared" si="5"/>
        <v>4/17/2028</v>
      </c>
      <c r="R47" s="124" t="str">
        <f t="shared" si="6"/>
        <v>7/10/2028</v>
      </c>
      <c r="S47" s="125" t="str">
        <f t="shared" si="7"/>
        <v>10/ 2/2028</v>
      </c>
      <c r="T47" s="121" t="s">
        <v>856</v>
      </c>
      <c r="U47" s="98" t="s">
        <v>857</v>
      </c>
      <c r="V47" s="102" t="s">
        <v>858</v>
      </c>
      <c r="W47" s="100" t="s">
        <v>859</v>
      </c>
      <c r="X47" s="107" t="s">
        <v>860</v>
      </c>
      <c r="Y47" s="101" t="s">
        <v>861</v>
      </c>
      <c r="Z47" s="101" t="s">
        <v>862</v>
      </c>
      <c r="AA47" s="107" t="s">
        <v>863</v>
      </c>
      <c r="AB47" s="101" t="s">
        <v>864</v>
      </c>
      <c r="AC47" s="101" t="s">
        <v>865</v>
      </c>
      <c r="AD47" s="107" t="s">
        <v>866</v>
      </c>
      <c r="AE47" s="101" t="s">
        <v>867</v>
      </c>
      <c r="AF47" s="101" t="s">
        <v>868</v>
      </c>
      <c r="AG47" s="109" t="s">
        <v>869</v>
      </c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</row>
    <row r="48" spans="1:48" ht="15.75" x14ac:dyDescent="0.25">
      <c r="A48" s="55">
        <v>39082</v>
      </c>
      <c r="B48" s="56" t="str">
        <f t="shared" si="0"/>
        <v>DaysInQtr</v>
      </c>
      <c r="C48" s="56" t="s">
        <v>112</v>
      </c>
      <c r="D48" s="111"/>
      <c r="E48" s="2" t="s">
        <v>71</v>
      </c>
      <c r="F48" s="1">
        <v>39048</v>
      </c>
      <c r="G48" s="1">
        <v>39082</v>
      </c>
      <c r="H48" t="s">
        <v>86</v>
      </c>
      <c r="I48" t="s">
        <v>14</v>
      </c>
      <c r="J48" t="s">
        <v>12</v>
      </c>
      <c r="L48" t="s">
        <v>1111</v>
      </c>
      <c r="M48" s="17" t="str">
        <f t="shared" si="1"/>
        <v>DaysInQtr</v>
      </c>
      <c r="N48" s="18" t="str">
        <f t="shared" si="8"/>
        <v>P</v>
      </c>
      <c r="O48" s="119">
        <f t="shared" si="9"/>
        <v>91</v>
      </c>
      <c r="P48" s="123" t="str">
        <f t="shared" si="4"/>
        <v>12/26/2005</v>
      </c>
      <c r="Q48" s="94" t="str">
        <f t="shared" si="5"/>
        <v>4/17/2006</v>
      </c>
      <c r="R48" s="124" t="str">
        <f t="shared" si="6"/>
        <v>7/10/2006</v>
      </c>
      <c r="S48" s="125" t="str">
        <f t="shared" si="7"/>
        <v>10/ 2/2006</v>
      </c>
      <c r="T48" s="121" t="s">
        <v>926</v>
      </c>
      <c r="U48" s="98" t="s">
        <v>927</v>
      </c>
      <c r="V48" s="102" t="s">
        <v>928</v>
      </c>
      <c r="W48" s="100" t="s">
        <v>929</v>
      </c>
      <c r="X48" s="107" t="s">
        <v>930</v>
      </c>
      <c r="Y48" s="101" t="s">
        <v>931</v>
      </c>
      <c r="Z48" s="101" t="s">
        <v>932</v>
      </c>
      <c r="AA48" s="107" t="s">
        <v>933</v>
      </c>
      <c r="AB48" s="101" t="s">
        <v>934</v>
      </c>
      <c r="AC48" s="101" t="s">
        <v>935</v>
      </c>
      <c r="AD48" s="107" t="s">
        <v>936</v>
      </c>
      <c r="AE48" s="101" t="s">
        <v>937</v>
      </c>
      <c r="AF48" s="101" t="s">
        <v>938</v>
      </c>
      <c r="AG48" s="109" t="s">
        <v>939</v>
      </c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</row>
    <row r="49" spans="1:48" ht="15.75" x14ac:dyDescent="0.25">
      <c r="A49" s="55">
        <v>43100</v>
      </c>
      <c r="B49" s="56" t="str">
        <f t="shared" si="0"/>
        <v>DaysInQtr</v>
      </c>
      <c r="C49" s="56" t="s">
        <v>112</v>
      </c>
      <c r="D49" s="111"/>
      <c r="F49" s="1">
        <v>43066</v>
      </c>
      <c r="G49" s="1">
        <v>43100</v>
      </c>
      <c r="H49" t="s">
        <v>70</v>
      </c>
      <c r="I49" t="s">
        <v>14</v>
      </c>
      <c r="J49" t="s">
        <v>12</v>
      </c>
      <c r="L49" t="s">
        <v>1111</v>
      </c>
      <c r="M49" s="17" t="str">
        <f t="shared" si="1"/>
        <v>DaysInQtr</v>
      </c>
      <c r="N49" s="18" t="str">
        <f t="shared" si="8"/>
        <v>P</v>
      </c>
      <c r="O49" s="119">
        <f t="shared" si="9"/>
        <v>91</v>
      </c>
      <c r="P49" s="123" t="str">
        <f t="shared" si="4"/>
        <v>12/26/2016</v>
      </c>
      <c r="Q49" s="94" t="str">
        <f t="shared" si="5"/>
        <v>4/17/2017</v>
      </c>
      <c r="R49" s="124" t="str">
        <f t="shared" si="6"/>
        <v>7/10/2017</v>
      </c>
      <c r="S49" s="125" t="str">
        <f t="shared" si="7"/>
        <v>10/ 2/2017</v>
      </c>
      <c r="T49" s="121" t="s">
        <v>772</v>
      </c>
      <c r="U49" s="98" t="s">
        <v>773</v>
      </c>
      <c r="V49" s="102" t="s">
        <v>774</v>
      </c>
      <c r="W49" s="100" t="s">
        <v>775</v>
      </c>
      <c r="X49" s="107" t="s">
        <v>776</v>
      </c>
      <c r="Y49" s="101" t="s">
        <v>777</v>
      </c>
      <c r="Z49" s="101" t="s">
        <v>778</v>
      </c>
      <c r="AA49" s="107" t="s">
        <v>779</v>
      </c>
      <c r="AB49" s="101" t="s">
        <v>780</v>
      </c>
      <c r="AC49" s="101" t="s">
        <v>781</v>
      </c>
      <c r="AD49" s="107" t="s">
        <v>782</v>
      </c>
      <c r="AE49" s="101" t="s">
        <v>783</v>
      </c>
      <c r="AF49" s="101" t="s">
        <v>784</v>
      </c>
      <c r="AG49" s="109" t="s">
        <v>785</v>
      </c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</row>
    <row r="50" spans="1:48" ht="15.75" x14ac:dyDescent="0.25">
      <c r="A50" s="55">
        <v>47118</v>
      </c>
      <c r="B50" s="56" t="str">
        <f t="shared" si="0"/>
        <v>DaysInQtr</v>
      </c>
      <c r="C50" s="56" t="s">
        <v>112</v>
      </c>
      <c r="D50" s="111"/>
      <c r="F50" s="1">
        <v>47084</v>
      </c>
      <c r="G50" s="1">
        <v>47118</v>
      </c>
      <c r="H50" t="s">
        <v>103</v>
      </c>
      <c r="I50" t="s">
        <v>14</v>
      </c>
      <c r="J50" t="s">
        <v>12</v>
      </c>
      <c r="L50" t="s">
        <v>1111</v>
      </c>
      <c r="M50" s="17" t="str">
        <f t="shared" si="1"/>
        <v>DaysInQtr</v>
      </c>
      <c r="N50" s="18" t="str">
        <f t="shared" si="8"/>
        <v>P</v>
      </c>
      <c r="O50" s="119">
        <f t="shared" si="9"/>
        <v>91</v>
      </c>
      <c r="P50" s="123" t="str">
        <f t="shared" si="4"/>
        <v>12/27/2027</v>
      </c>
      <c r="Q50" s="94" t="str">
        <f t="shared" si="5"/>
        <v>4/17/2028</v>
      </c>
      <c r="R50" s="124" t="str">
        <f t="shared" si="6"/>
        <v>7/10/2028</v>
      </c>
      <c r="S50" s="125" t="str">
        <f t="shared" si="7"/>
        <v>10/ 2/2028</v>
      </c>
      <c r="T50" s="121" t="s">
        <v>856</v>
      </c>
      <c r="U50" s="98" t="s">
        <v>857</v>
      </c>
      <c r="V50" s="102" t="s">
        <v>858</v>
      </c>
      <c r="W50" s="100" t="s">
        <v>859</v>
      </c>
      <c r="X50" s="107" t="s">
        <v>860</v>
      </c>
      <c r="Y50" s="101" t="s">
        <v>861</v>
      </c>
      <c r="Z50" s="101" t="s">
        <v>862</v>
      </c>
      <c r="AA50" s="107" t="s">
        <v>863</v>
      </c>
      <c r="AB50" s="101" t="s">
        <v>864</v>
      </c>
      <c r="AC50" s="101" t="s">
        <v>865</v>
      </c>
      <c r="AD50" s="107" t="s">
        <v>866</v>
      </c>
      <c r="AE50" s="101" t="s">
        <v>867</v>
      </c>
      <c r="AF50" s="101" t="s">
        <v>868</v>
      </c>
      <c r="AG50" s="109" t="s">
        <v>869</v>
      </c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</row>
    <row r="51" spans="1:48" ht="15.75" x14ac:dyDescent="0.25">
      <c r="A51" s="1">
        <v>42817</v>
      </c>
      <c r="B51" s="56" t="str">
        <f t="shared" si="0"/>
        <v>DaysInQtr</v>
      </c>
      <c r="C51" s="56" t="s">
        <v>255</v>
      </c>
      <c r="D51" s="111"/>
      <c r="F51" s="1">
        <v>42814</v>
      </c>
      <c r="G51" s="1">
        <v>42841</v>
      </c>
      <c r="H51" t="s">
        <v>70</v>
      </c>
      <c r="I51" t="s">
        <v>12</v>
      </c>
      <c r="J51" t="s">
        <v>17</v>
      </c>
      <c r="L51" t="s">
        <v>1112</v>
      </c>
      <c r="M51" s="17" t="str">
        <f t="shared" si="1"/>
        <v>DaysInQtr</v>
      </c>
      <c r="N51" s="18" t="str">
        <f t="shared" si="8"/>
        <v>P</v>
      </c>
      <c r="O51" s="119">
        <f t="shared" si="9"/>
        <v>88</v>
      </c>
      <c r="P51" s="123" t="str">
        <f t="shared" si="4"/>
        <v>12/26/2016</v>
      </c>
      <c r="Q51" s="94" t="str">
        <f t="shared" si="5"/>
        <v>4/17/2017</v>
      </c>
      <c r="R51" s="124" t="str">
        <f t="shared" si="6"/>
        <v>7/10/2017</v>
      </c>
      <c r="S51" s="125" t="str">
        <f t="shared" si="7"/>
        <v>10/ 2/2017</v>
      </c>
      <c r="T51" s="121" t="s">
        <v>772</v>
      </c>
      <c r="U51" s="98" t="s">
        <v>773</v>
      </c>
      <c r="V51" s="102" t="s">
        <v>774</v>
      </c>
      <c r="W51" s="100" t="s">
        <v>775</v>
      </c>
      <c r="X51" s="107" t="s">
        <v>776</v>
      </c>
      <c r="Y51" s="101" t="s">
        <v>777</v>
      </c>
      <c r="Z51" s="101" t="s">
        <v>778</v>
      </c>
      <c r="AA51" s="107" t="s">
        <v>779</v>
      </c>
      <c r="AB51" s="101" t="s">
        <v>780</v>
      </c>
      <c r="AC51" s="101" t="s">
        <v>781</v>
      </c>
      <c r="AD51" s="107" t="s">
        <v>782</v>
      </c>
      <c r="AE51" s="101" t="s">
        <v>783</v>
      </c>
      <c r="AF51" s="101" t="s">
        <v>784</v>
      </c>
      <c r="AG51" s="109" t="s">
        <v>785</v>
      </c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</row>
    <row r="52" spans="1:48" ht="15.75" x14ac:dyDescent="0.25">
      <c r="A52" s="1">
        <v>40855</v>
      </c>
      <c r="B52" s="56" t="str">
        <f t="shared" si="0"/>
        <v>DaysInQtr</v>
      </c>
      <c r="C52" s="56" t="s">
        <v>255</v>
      </c>
      <c r="D52" s="111"/>
      <c r="F52" s="1">
        <v>40847</v>
      </c>
      <c r="G52" s="1">
        <v>40874</v>
      </c>
      <c r="H52" t="s">
        <v>91</v>
      </c>
      <c r="I52" t="s">
        <v>13</v>
      </c>
      <c r="J52" t="s">
        <v>12</v>
      </c>
      <c r="L52" t="s">
        <v>1113</v>
      </c>
      <c r="M52" s="17" t="str">
        <f t="shared" si="1"/>
        <v>DaysInQtr</v>
      </c>
      <c r="N52" s="18" t="str">
        <f t="shared" si="8"/>
        <v>P</v>
      </c>
      <c r="O52" s="119">
        <f t="shared" si="9"/>
        <v>37</v>
      </c>
      <c r="P52" s="123" t="str">
        <f t="shared" si="4"/>
        <v>12/27/2010</v>
      </c>
      <c r="Q52" s="94" t="str">
        <f t="shared" si="5"/>
        <v>4/18/2011</v>
      </c>
      <c r="R52" s="124" t="str">
        <f t="shared" si="6"/>
        <v>7/11/2011</v>
      </c>
      <c r="S52" s="125" t="str">
        <f t="shared" si="7"/>
        <v>10/ 3/2011</v>
      </c>
      <c r="T52" s="121" t="s">
        <v>968</v>
      </c>
      <c r="U52" s="98" t="s">
        <v>969</v>
      </c>
      <c r="V52" s="102" t="s">
        <v>970</v>
      </c>
      <c r="W52" s="100" t="s">
        <v>971</v>
      </c>
      <c r="X52" s="107" t="s">
        <v>972</v>
      </c>
      <c r="Y52" s="101" t="s">
        <v>973</v>
      </c>
      <c r="Z52" s="101" t="s">
        <v>974</v>
      </c>
      <c r="AA52" s="107" t="s">
        <v>975</v>
      </c>
      <c r="AB52" s="101" t="s">
        <v>976</v>
      </c>
      <c r="AC52" s="101" t="s">
        <v>977</v>
      </c>
      <c r="AD52" s="107" t="s">
        <v>978</v>
      </c>
      <c r="AE52" s="101" t="s">
        <v>979</v>
      </c>
      <c r="AF52" s="101" t="s">
        <v>980</v>
      </c>
      <c r="AG52" s="109" t="s">
        <v>981</v>
      </c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</row>
    <row r="53" spans="1:48" ht="15.75" x14ac:dyDescent="0.25">
      <c r="A53" s="1">
        <v>42676</v>
      </c>
      <c r="B53" s="56" t="str">
        <f t="shared" si="0"/>
        <v>DaysInQtr</v>
      </c>
      <c r="C53" s="56" t="s">
        <v>255</v>
      </c>
      <c r="D53" s="111"/>
      <c r="F53" s="1">
        <v>42674</v>
      </c>
      <c r="G53" s="1">
        <v>42701</v>
      </c>
      <c r="H53" t="s">
        <v>16</v>
      </c>
      <c r="I53" t="s">
        <v>13</v>
      </c>
      <c r="J53" t="s">
        <v>12</v>
      </c>
      <c r="L53" t="s">
        <v>1114</v>
      </c>
      <c r="M53" s="17" t="str">
        <f t="shared" si="1"/>
        <v>DaysInQtr</v>
      </c>
      <c r="N53" s="18" t="str">
        <f t="shared" si="8"/>
        <v>P</v>
      </c>
      <c r="O53" s="119">
        <f t="shared" si="9"/>
        <v>31</v>
      </c>
      <c r="P53" s="123" t="str">
        <f t="shared" si="4"/>
        <v>12/28/2015</v>
      </c>
      <c r="Q53" s="94" t="str">
        <f t="shared" si="5"/>
        <v>4/18/2016</v>
      </c>
      <c r="R53" s="124" t="str">
        <f t="shared" si="6"/>
        <v>7/11/2016</v>
      </c>
      <c r="S53" s="125" t="str">
        <f t="shared" si="7"/>
        <v>10/ 3/2016</v>
      </c>
      <c r="T53" s="121" t="s">
        <v>758</v>
      </c>
      <c r="U53" s="98" t="s">
        <v>759</v>
      </c>
      <c r="V53" s="102" t="s">
        <v>760</v>
      </c>
      <c r="W53" s="100" t="s">
        <v>761</v>
      </c>
      <c r="X53" s="107" t="s">
        <v>762</v>
      </c>
      <c r="Y53" s="101" t="s">
        <v>763</v>
      </c>
      <c r="Z53" s="101" t="s">
        <v>764</v>
      </c>
      <c r="AA53" s="107" t="s">
        <v>765</v>
      </c>
      <c r="AB53" s="101" t="s">
        <v>766</v>
      </c>
      <c r="AC53" s="101" t="s">
        <v>767</v>
      </c>
      <c r="AD53" s="107" t="s">
        <v>768</v>
      </c>
      <c r="AE53" s="101" t="s">
        <v>769</v>
      </c>
      <c r="AF53" s="101" t="s">
        <v>770</v>
      </c>
      <c r="AG53" s="109" t="s">
        <v>771</v>
      </c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</row>
    <row r="54" spans="1:48" ht="15.75" x14ac:dyDescent="0.25">
      <c r="A54" s="1">
        <v>37793</v>
      </c>
      <c r="B54" s="56" t="str">
        <f t="shared" si="0"/>
        <v>DaysInQtr</v>
      </c>
      <c r="C54" s="56" t="s">
        <v>255</v>
      </c>
      <c r="D54" s="111"/>
      <c r="F54" s="1">
        <v>37788</v>
      </c>
      <c r="G54" s="1">
        <v>37815</v>
      </c>
      <c r="H54" t="s">
        <v>80</v>
      </c>
      <c r="I54" t="s">
        <v>151</v>
      </c>
      <c r="J54" t="s">
        <v>143</v>
      </c>
      <c r="L54" t="s">
        <v>1115</v>
      </c>
      <c r="M54" s="17" t="str">
        <f t="shared" si="1"/>
        <v>DaysInQtr</v>
      </c>
      <c r="N54" s="18" t="str">
        <f t="shared" si="8"/>
        <v>P</v>
      </c>
      <c r="O54" s="119">
        <f t="shared" si="9"/>
        <v>62</v>
      </c>
      <c r="P54" s="123" t="str">
        <f t="shared" si="4"/>
        <v>12/30/2002</v>
      </c>
      <c r="Q54" s="94" t="str">
        <f t="shared" si="5"/>
        <v>4/21/2003</v>
      </c>
      <c r="R54" s="124" t="str">
        <f t="shared" si="6"/>
        <v>7/14/2003</v>
      </c>
      <c r="S54" s="125" t="str">
        <f t="shared" si="7"/>
        <v>10/ 6/2003</v>
      </c>
      <c r="T54" s="121" t="s">
        <v>786</v>
      </c>
      <c r="U54" s="98" t="s">
        <v>787</v>
      </c>
      <c r="V54" s="102" t="s">
        <v>788</v>
      </c>
      <c r="W54" s="100" t="s">
        <v>789</v>
      </c>
      <c r="X54" s="107" t="s">
        <v>790</v>
      </c>
      <c r="Y54" s="101" t="s">
        <v>791</v>
      </c>
      <c r="Z54" s="101" t="s">
        <v>792</v>
      </c>
      <c r="AA54" s="107" t="s">
        <v>793</v>
      </c>
      <c r="AB54" s="101" t="s">
        <v>794</v>
      </c>
      <c r="AC54" s="101" t="s">
        <v>795</v>
      </c>
      <c r="AD54" s="107" t="s">
        <v>796</v>
      </c>
      <c r="AE54" s="101" t="s">
        <v>797</v>
      </c>
      <c r="AF54" s="101" t="s">
        <v>798</v>
      </c>
      <c r="AG54" s="109" t="s">
        <v>799</v>
      </c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</row>
    <row r="55" spans="1:48" ht="15.75" x14ac:dyDescent="0.25">
      <c r="A55" s="1">
        <v>38644</v>
      </c>
      <c r="B55" s="56" t="str">
        <f t="shared" si="0"/>
        <v>DaysInQtr</v>
      </c>
      <c r="C55" s="56" t="s">
        <v>255</v>
      </c>
      <c r="D55" s="111"/>
      <c r="F55" s="1">
        <v>38628</v>
      </c>
      <c r="G55" s="1">
        <v>38655</v>
      </c>
      <c r="H55" t="s">
        <v>84</v>
      </c>
      <c r="I55" t="s">
        <v>150</v>
      </c>
      <c r="J55" t="s">
        <v>12</v>
      </c>
      <c r="L55" t="s">
        <v>1116</v>
      </c>
      <c r="M55" s="17" t="str">
        <f t="shared" si="1"/>
        <v>DaysInQtr</v>
      </c>
      <c r="N55" s="18" t="str">
        <f t="shared" si="8"/>
        <v>F</v>
      </c>
      <c r="O55" s="119">
        <f t="shared" si="9"/>
        <v>17</v>
      </c>
      <c r="P55" s="123" t="str">
        <f t="shared" si="4"/>
        <v>12/27/2004</v>
      </c>
      <c r="Q55" s="94" t="str">
        <f t="shared" si="5"/>
        <v>4/18/2005</v>
      </c>
      <c r="R55" s="124" t="str">
        <f t="shared" si="6"/>
        <v>7/11/2005</v>
      </c>
      <c r="S55" s="125" t="str">
        <f t="shared" si="7"/>
        <v>10/ 3/2005</v>
      </c>
      <c r="T55" s="121" t="s">
        <v>814</v>
      </c>
      <c r="U55" s="98" t="s">
        <v>815</v>
      </c>
      <c r="V55" s="102" t="s">
        <v>816</v>
      </c>
      <c r="W55" s="100" t="s">
        <v>817</v>
      </c>
      <c r="X55" s="107" t="s">
        <v>818</v>
      </c>
      <c r="Y55" s="101" t="s">
        <v>819</v>
      </c>
      <c r="Z55" s="101" t="s">
        <v>820</v>
      </c>
      <c r="AA55" s="107" t="s">
        <v>821</v>
      </c>
      <c r="AB55" s="101" t="s">
        <v>822</v>
      </c>
      <c r="AC55" s="101" t="s">
        <v>823</v>
      </c>
      <c r="AD55" s="107" t="s">
        <v>824</v>
      </c>
      <c r="AE55" s="101" t="s">
        <v>825</v>
      </c>
      <c r="AF55" s="101" t="s">
        <v>826</v>
      </c>
      <c r="AG55" s="109" t="s">
        <v>827</v>
      </c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</row>
    <row r="56" spans="1:48" ht="15.75" x14ac:dyDescent="0.25">
      <c r="A56" s="1">
        <v>43850</v>
      </c>
      <c r="B56" s="56" t="str">
        <f t="shared" si="0"/>
        <v>DaysInQtr</v>
      </c>
      <c r="C56" s="56" t="s">
        <v>255</v>
      </c>
      <c r="D56" s="111"/>
      <c r="F56" s="1">
        <v>43829</v>
      </c>
      <c r="G56" s="1">
        <v>43856</v>
      </c>
      <c r="H56" t="s">
        <v>55</v>
      </c>
      <c r="I56" t="s">
        <v>17</v>
      </c>
      <c r="J56" t="s">
        <v>17</v>
      </c>
      <c r="L56" t="s">
        <v>1117</v>
      </c>
      <c r="M56" s="17" t="str">
        <f t="shared" si="1"/>
        <v>DaysInQtr</v>
      </c>
      <c r="N56" s="18" t="str">
        <f t="shared" si="8"/>
        <v>P</v>
      </c>
      <c r="O56" s="119">
        <f t="shared" si="9"/>
        <v>22</v>
      </c>
      <c r="P56" s="123" t="str">
        <f t="shared" si="4"/>
        <v>12/30/2019</v>
      </c>
      <c r="Q56" s="94" t="str">
        <f t="shared" si="5"/>
        <v>4/20/2020</v>
      </c>
      <c r="R56" s="124" t="str">
        <f t="shared" si="6"/>
        <v>7/13/2020</v>
      </c>
      <c r="S56" s="125" t="str">
        <f t="shared" si="7"/>
        <v>10/ 5/2020</v>
      </c>
      <c r="T56" s="121" t="s">
        <v>982</v>
      </c>
      <c r="U56" s="98" t="s">
        <v>983</v>
      </c>
      <c r="V56" s="102" t="s">
        <v>984</v>
      </c>
      <c r="W56" s="100" t="s">
        <v>985</v>
      </c>
      <c r="X56" s="107" t="s">
        <v>986</v>
      </c>
      <c r="Y56" s="101" t="s">
        <v>987</v>
      </c>
      <c r="Z56" s="101" t="s">
        <v>988</v>
      </c>
      <c r="AA56" s="107" t="s">
        <v>989</v>
      </c>
      <c r="AB56" s="101" t="s">
        <v>990</v>
      </c>
      <c r="AC56" s="101" t="s">
        <v>991</v>
      </c>
      <c r="AD56" s="107" t="s">
        <v>992</v>
      </c>
      <c r="AE56" s="101" t="s">
        <v>993</v>
      </c>
      <c r="AF56" s="101" t="s">
        <v>994</v>
      </c>
      <c r="AG56" s="109" t="s">
        <v>995</v>
      </c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</row>
    <row r="57" spans="1:48" ht="15.75" x14ac:dyDescent="0.25">
      <c r="A57" s="1">
        <v>45605</v>
      </c>
      <c r="B57" s="56" t="str">
        <f t="shared" si="0"/>
        <v>DaysInQtr</v>
      </c>
      <c r="C57" s="56" t="s">
        <v>255</v>
      </c>
      <c r="D57" s="111"/>
      <c r="F57" s="1">
        <v>45600</v>
      </c>
      <c r="G57" s="1">
        <v>45627</v>
      </c>
      <c r="H57" t="s">
        <v>56</v>
      </c>
      <c r="I57" t="s">
        <v>13</v>
      </c>
      <c r="J57" t="s">
        <v>12</v>
      </c>
      <c r="L57" t="s">
        <v>1118</v>
      </c>
      <c r="M57" s="17" t="str">
        <f t="shared" si="1"/>
        <v>DaysInQtr</v>
      </c>
      <c r="N57" s="18" t="str">
        <f t="shared" si="8"/>
        <v>P</v>
      </c>
      <c r="O57" s="119">
        <f t="shared" si="9"/>
        <v>34</v>
      </c>
      <c r="P57" s="123" t="str">
        <f t="shared" si="4"/>
        <v>1/ 1/2024</v>
      </c>
      <c r="Q57" s="94" t="str">
        <f t="shared" si="5"/>
        <v>4/22/2024</v>
      </c>
      <c r="R57" s="124" t="str">
        <f t="shared" si="6"/>
        <v>7/15/2024</v>
      </c>
      <c r="S57" s="125" t="str">
        <f t="shared" si="7"/>
        <v>10/ 7/2024</v>
      </c>
      <c r="T57" s="121" t="s">
        <v>996</v>
      </c>
      <c r="U57" s="98" t="s">
        <v>997</v>
      </c>
      <c r="V57" s="102" t="s">
        <v>998</v>
      </c>
      <c r="W57" s="100" t="s">
        <v>999</v>
      </c>
      <c r="X57" s="107" t="s">
        <v>1000</v>
      </c>
      <c r="Y57" s="101" t="s">
        <v>1001</v>
      </c>
      <c r="Z57" s="101" t="s">
        <v>1002</v>
      </c>
      <c r="AA57" s="107" t="s">
        <v>1003</v>
      </c>
      <c r="AB57" s="101" t="s">
        <v>1004</v>
      </c>
      <c r="AC57" s="101" t="s">
        <v>1005</v>
      </c>
      <c r="AD57" s="107" t="s">
        <v>1006</v>
      </c>
      <c r="AE57" s="101" t="s">
        <v>1007</v>
      </c>
      <c r="AF57" s="101" t="s">
        <v>1008</v>
      </c>
      <c r="AG57" s="109" t="s">
        <v>1009</v>
      </c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</row>
    <row r="58" spans="1:48" ht="15.75" x14ac:dyDescent="0.25">
      <c r="A58" s="1">
        <v>42068</v>
      </c>
      <c r="B58" s="56" t="str">
        <f t="shared" si="0"/>
        <v>DaysInQtr</v>
      </c>
      <c r="C58" s="56" t="s">
        <v>255</v>
      </c>
      <c r="D58" s="111"/>
      <c r="F58" s="1">
        <v>42058</v>
      </c>
      <c r="G58" s="1">
        <v>42085</v>
      </c>
      <c r="H58" t="s">
        <v>93</v>
      </c>
      <c r="I58" t="s">
        <v>54</v>
      </c>
      <c r="J58" t="s">
        <v>17</v>
      </c>
      <c r="L58" t="s">
        <v>1119</v>
      </c>
      <c r="M58" s="17" t="str">
        <f t="shared" si="1"/>
        <v>DaysInQtr</v>
      </c>
      <c r="N58" s="18" t="str">
        <f t="shared" si="8"/>
        <v>P</v>
      </c>
      <c r="O58" s="119">
        <f t="shared" si="9"/>
        <v>67</v>
      </c>
      <c r="P58" s="123" t="str">
        <f t="shared" si="4"/>
        <v>12/29/2014</v>
      </c>
      <c r="Q58" s="94" t="str">
        <f t="shared" si="5"/>
        <v>4/20/2015</v>
      </c>
      <c r="R58" s="124" t="str">
        <f t="shared" si="6"/>
        <v>7/13/2015</v>
      </c>
      <c r="S58" s="125" t="str">
        <f t="shared" si="7"/>
        <v>10/ 5/2015</v>
      </c>
      <c r="T58" s="121" t="s">
        <v>1010</v>
      </c>
      <c r="U58" s="98" t="s">
        <v>1011</v>
      </c>
      <c r="V58" s="102" t="s">
        <v>1012</v>
      </c>
      <c r="W58" s="100" t="s">
        <v>1013</v>
      </c>
      <c r="X58" s="107" t="s">
        <v>1014</v>
      </c>
      <c r="Y58" s="101" t="s">
        <v>1015</v>
      </c>
      <c r="Z58" s="101" t="s">
        <v>1016</v>
      </c>
      <c r="AA58" s="107" t="s">
        <v>1017</v>
      </c>
      <c r="AB58" s="101" t="s">
        <v>1018</v>
      </c>
      <c r="AC58" s="101" t="s">
        <v>1019</v>
      </c>
      <c r="AD58" s="107" t="s">
        <v>1020</v>
      </c>
      <c r="AE58" s="101" t="s">
        <v>1021</v>
      </c>
      <c r="AF58" s="101" t="s">
        <v>1022</v>
      </c>
      <c r="AG58" s="109" t="s">
        <v>1023</v>
      </c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</row>
    <row r="59" spans="1:48" ht="15.75" x14ac:dyDescent="0.25">
      <c r="A59" s="1">
        <v>44795</v>
      </c>
      <c r="B59" s="56" t="str">
        <f t="shared" si="0"/>
        <v>DaysInQtr</v>
      </c>
      <c r="C59" s="56" t="s">
        <v>255</v>
      </c>
      <c r="D59" s="111"/>
      <c r="F59" s="1">
        <v>44781</v>
      </c>
      <c r="G59" s="1">
        <v>44808</v>
      </c>
      <c r="H59" t="s">
        <v>95</v>
      </c>
      <c r="I59" t="s">
        <v>141</v>
      </c>
      <c r="J59" t="s">
        <v>54</v>
      </c>
      <c r="L59" t="s">
        <v>1120</v>
      </c>
      <c r="M59" s="17" t="str">
        <f t="shared" si="1"/>
        <v>DaysInQtr</v>
      </c>
      <c r="N59" s="18" t="str">
        <f t="shared" si="8"/>
        <v>P</v>
      </c>
      <c r="O59" s="119">
        <f t="shared" si="9"/>
        <v>43</v>
      </c>
      <c r="P59" s="123" t="str">
        <f t="shared" si="4"/>
        <v>12/27/2021</v>
      </c>
      <c r="Q59" s="94" t="str">
        <f t="shared" si="5"/>
        <v>4/18/2022</v>
      </c>
      <c r="R59" s="124" t="str">
        <f t="shared" si="6"/>
        <v>7/11/2022</v>
      </c>
      <c r="S59" s="125" t="str">
        <f t="shared" si="7"/>
        <v>10/ 3/2022</v>
      </c>
      <c r="T59" s="121" t="s">
        <v>1024</v>
      </c>
      <c r="U59" s="98" t="s">
        <v>1025</v>
      </c>
      <c r="V59" s="102" t="s">
        <v>1026</v>
      </c>
      <c r="W59" s="100" t="s">
        <v>1027</v>
      </c>
      <c r="X59" s="107" t="s">
        <v>1028</v>
      </c>
      <c r="Y59" s="101" t="s">
        <v>1029</v>
      </c>
      <c r="Z59" s="101" t="s">
        <v>1030</v>
      </c>
      <c r="AA59" s="107" t="s">
        <v>1031</v>
      </c>
      <c r="AB59" s="101" t="s">
        <v>1032</v>
      </c>
      <c r="AC59" s="101" t="s">
        <v>1033</v>
      </c>
      <c r="AD59" s="107" t="s">
        <v>1034</v>
      </c>
      <c r="AE59" s="101" t="s">
        <v>1035</v>
      </c>
      <c r="AF59" s="101" t="s">
        <v>1036</v>
      </c>
      <c r="AG59" s="109" t="s">
        <v>1037</v>
      </c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</row>
    <row r="60" spans="1:48" ht="15.75" x14ac:dyDescent="0.25">
      <c r="A60" s="1">
        <v>39243</v>
      </c>
      <c r="B60" s="56" t="str">
        <f t="shared" si="0"/>
        <v>DaysInQtr</v>
      </c>
      <c r="C60" s="56" t="s">
        <v>255</v>
      </c>
      <c r="D60" s="111"/>
      <c r="F60" s="1">
        <v>39223</v>
      </c>
      <c r="G60" s="1">
        <v>39250</v>
      </c>
      <c r="H60" t="s">
        <v>87</v>
      </c>
      <c r="I60" t="s">
        <v>146</v>
      </c>
      <c r="J60" t="s">
        <v>143</v>
      </c>
      <c r="L60" t="s">
        <v>1121</v>
      </c>
      <c r="M60" s="17" t="str">
        <f t="shared" si="1"/>
        <v>DaysInQtr</v>
      </c>
      <c r="N60" s="18" t="str">
        <f t="shared" si="8"/>
        <v>P</v>
      </c>
      <c r="O60" s="119">
        <f t="shared" si="9"/>
        <v>49</v>
      </c>
      <c r="P60" s="123" t="str">
        <f t="shared" si="4"/>
        <v>1/ 1/2007</v>
      </c>
      <c r="Q60" s="94" t="str">
        <f t="shared" si="5"/>
        <v>4/23/2007</v>
      </c>
      <c r="R60" s="124" t="str">
        <f t="shared" si="6"/>
        <v>7/16/2007</v>
      </c>
      <c r="S60" s="125" t="str">
        <f t="shared" si="7"/>
        <v>10/ 8/2007</v>
      </c>
      <c r="T60" s="121" t="s">
        <v>940</v>
      </c>
      <c r="U60" s="98" t="s">
        <v>941</v>
      </c>
      <c r="V60" s="102" t="s">
        <v>942</v>
      </c>
      <c r="W60" s="100" t="s">
        <v>943</v>
      </c>
      <c r="X60" s="107" t="s">
        <v>944</v>
      </c>
      <c r="Y60" s="101" t="s">
        <v>945</v>
      </c>
      <c r="Z60" s="101" t="s">
        <v>946</v>
      </c>
      <c r="AA60" s="107" t="s">
        <v>947</v>
      </c>
      <c r="AB60" s="101" t="s">
        <v>948</v>
      </c>
      <c r="AC60" s="101" t="s">
        <v>949</v>
      </c>
      <c r="AD60" s="107" t="s">
        <v>950</v>
      </c>
      <c r="AE60" s="101" t="s">
        <v>951</v>
      </c>
      <c r="AF60" s="101" t="s">
        <v>952</v>
      </c>
      <c r="AG60" s="109" t="s">
        <v>953</v>
      </c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</row>
    <row r="61" spans="1:48" ht="15.75" x14ac:dyDescent="0.25">
      <c r="A61" s="1">
        <v>37579</v>
      </c>
      <c r="B61" s="56" t="str">
        <f t="shared" si="0"/>
        <v>DaysInQtr</v>
      </c>
      <c r="C61" s="56" t="s">
        <v>255</v>
      </c>
      <c r="D61" s="111"/>
      <c r="F61" s="1">
        <v>37564</v>
      </c>
      <c r="G61" s="1">
        <v>37591</v>
      </c>
      <c r="H61" t="s">
        <v>78</v>
      </c>
      <c r="I61" t="s">
        <v>13</v>
      </c>
      <c r="J61" t="s">
        <v>12</v>
      </c>
      <c r="L61" t="s">
        <v>1122</v>
      </c>
      <c r="M61" s="17" t="str">
        <f t="shared" si="1"/>
        <v>DaysInQtr</v>
      </c>
      <c r="N61" s="18" t="str">
        <f t="shared" si="8"/>
        <v>P</v>
      </c>
      <c r="O61" s="119">
        <f t="shared" si="9"/>
        <v>44</v>
      </c>
      <c r="P61" s="123" t="str">
        <f t="shared" si="4"/>
        <v>12/31/2001</v>
      </c>
      <c r="Q61" s="94" t="str">
        <f t="shared" si="5"/>
        <v>4/22/2002</v>
      </c>
      <c r="R61" s="124" t="str">
        <f t="shared" si="6"/>
        <v>7/15/2002</v>
      </c>
      <c r="S61" s="125" t="str">
        <f t="shared" si="7"/>
        <v>10/ 7/2002</v>
      </c>
      <c r="T61" s="121" t="s">
        <v>912</v>
      </c>
      <c r="U61" s="98" t="s">
        <v>913</v>
      </c>
      <c r="V61" s="102" t="s">
        <v>914</v>
      </c>
      <c r="W61" s="100" t="s">
        <v>915</v>
      </c>
      <c r="X61" s="107" t="s">
        <v>916</v>
      </c>
      <c r="Y61" s="101" t="s">
        <v>917</v>
      </c>
      <c r="Z61" s="101" t="s">
        <v>918</v>
      </c>
      <c r="AA61" s="107" t="s">
        <v>919</v>
      </c>
      <c r="AB61" s="101" t="s">
        <v>920</v>
      </c>
      <c r="AC61" s="101" t="s">
        <v>921</v>
      </c>
      <c r="AD61" s="107" t="s">
        <v>922</v>
      </c>
      <c r="AE61" s="101" t="s">
        <v>923</v>
      </c>
      <c r="AF61" s="101" t="s">
        <v>924</v>
      </c>
      <c r="AG61" s="109" t="s">
        <v>925</v>
      </c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</row>
    <row r="62" spans="1:48" ht="15.75" x14ac:dyDescent="0.25">
      <c r="A62" s="1">
        <v>39242</v>
      </c>
      <c r="B62" s="56" t="str">
        <f t="shared" si="0"/>
        <v>DaysInQtr</v>
      </c>
      <c r="C62" s="56" t="s">
        <v>255</v>
      </c>
      <c r="D62" s="111"/>
      <c r="F62" s="1">
        <v>39223</v>
      </c>
      <c r="G62" s="1">
        <v>39250</v>
      </c>
      <c r="H62" t="s">
        <v>87</v>
      </c>
      <c r="I62" t="s">
        <v>146</v>
      </c>
      <c r="J62" t="s">
        <v>143</v>
      </c>
      <c r="L62" t="s">
        <v>1123</v>
      </c>
      <c r="M62" s="17" t="str">
        <f t="shared" si="1"/>
        <v>DaysInQtr</v>
      </c>
      <c r="N62" s="18" t="str">
        <f t="shared" si="8"/>
        <v>P</v>
      </c>
      <c r="O62" s="119">
        <f t="shared" si="9"/>
        <v>48</v>
      </c>
      <c r="P62" s="123" t="str">
        <f t="shared" si="4"/>
        <v>1/ 1/2007</v>
      </c>
      <c r="Q62" s="94" t="str">
        <f t="shared" si="5"/>
        <v>4/23/2007</v>
      </c>
      <c r="R62" s="124" t="str">
        <f t="shared" si="6"/>
        <v>7/16/2007</v>
      </c>
      <c r="S62" s="125" t="str">
        <f t="shared" si="7"/>
        <v>10/ 8/2007</v>
      </c>
      <c r="T62" s="121" t="s">
        <v>940</v>
      </c>
      <c r="U62" s="98" t="s">
        <v>941</v>
      </c>
      <c r="V62" s="102" t="s">
        <v>942</v>
      </c>
      <c r="W62" s="100" t="s">
        <v>943</v>
      </c>
      <c r="X62" s="107" t="s">
        <v>944</v>
      </c>
      <c r="Y62" s="101" t="s">
        <v>945</v>
      </c>
      <c r="Z62" s="101" t="s">
        <v>946</v>
      </c>
      <c r="AA62" s="107" t="s">
        <v>947</v>
      </c>
      <c r="AB62" s="101" t="s">
        <v>948</v>
      </c>
      <c r="AC62" s="101" t="s">
        <v>949</v>
      </c>
      <c r="AD62" s="107" t="s">
        <v>950</v>
      </c>
      <c r="AE62" s="101" t="s">
        <v>951</v>
      </c>
      <c r="AF62" s="101" t="s">
        <v>952</v>
      </c>
      <c r="AG62" s="109" t="s">
        <v>953</v>
      </c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</row>
    <row r="63" spans="1:48" ht="15.75" x14ac:dyDescent="0.25">
      <c r="A63" s="1">
        <v>39904</v>
      </c>
      <c r="B63" s="56" t="str">
        <f t="shared" si="0"/>
        <v>DaysInQtr</v>
      </c>
      <c r="C63" s="56" t="s">
        <v>255</v>
      </c>
      <c r="D63" s="111"/>
      <c r="F63" s="1">
        <v>39895</v>
      </c>
      <c r="G63" s="1">
        <v>39922</v>
      </c>
      <c r="H63" t="s">
        <v>89</v>
      </c>
      <c r="I63" t="s">
        <v>12</v>
      </c>
      <c r="J63" t="s">
        <v>17</v>
      </c>
      <c r="L63" t="s">
        <v>1124</v>
      </c>
      <c r="M63" s="17" t="str">
        <f t="shared" si="1"/>
        <v>DaysInQtr</v>
      </c>
      <c r="N63" s="18" t="str">
        <f t="shared" si="8"/>
        <v>P</v>
      </c>
      <c r="O63" s="119">
        <f t="shared" si="9"/>
        <v>94</v>
      </c>
      <c r="P63" s="123" t="str">
        <f t="shared" si="4"/>
        <v>12/29/2008</v>
      </c>
      <c r="Q63" s="94" t="str">
        <f t="shared" si="5"/>
        <v>4/20/2009</v>
      </c>
      <c r="R63" s="124" t="str">
        <f t="shared" si="6"/>
        <v>7/13/2009</v>
      </c>
      <c r="S63" s="125" t="str">
        <f t="shared" si="7"/>
        <v>10/ 5/2009</v>
      </c>
      <c r="T63" s="121" t="s">
        <v>1038</v>
      </c>
      <c r="U63" s="98" t="s">
        <v>1039</v>
      </c>
      <c r="V63" s="102" t="s">
        <v>1040</v>
      </c>
      <c r="W63" s="100" t="s">
        <v>1041</v>
      </c>
      <c r="X63" s="107" t="s">
        <v>1042</v>
      </c>
      <c r="Y63" s="101" t="s">
        <v>1043</v>
      </c>
      <c r="Z63" s="101" t="s">
        <v>1044</v>
      </c>
      <c r="AA63" s="107" t="s">
        <v>1045</v>
      </c>
      <c r="AB63" s="101" t="s">
        <v>1046</v>
      </c>
      <c r="AC63" s="101" t="s">
        <v>1047</v>
      </c>
      <c r="AD63" s="107" t="s">
        <v>1048</v>
      </c>
      <c r="AE63" s="101" t="s">
        <v>1049</v>
      </c>
      <c r="AF63" s="101" t="s">
        <v>1050</v>
      </c>
      <c r="AG63" s="109" t="s">
        <v>1051</v>
      </c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</row>
    <row r="64" spans="1:48" ht="15.75" x14ac:dyDescent="0.25">
      <c r="A64" s="1">
        <v>39690</v>
      </c>
      <c r="B64" s="56" t="str">
        <f t="shared" si="0"/>
        <v>DaysInQtr</v>
      </c>
      <c r="C64" s="56" t="s">
        <v>255</v>
      </c>
      <c r="D64" s="111"/>
      <c r="F64" s="1">
        <v>39671</v>
      </c>
      <c r="G64" s="1">
        <v>39698</v>
      </c>
      <c r="H64" t="s">
        <v>88</v>
      </c>
      <c r="I64" t="s">
        <v>141</v>
      </c>
      <c r="J64" t="s">
        <v>54</v>
      </c>
      <c r="L64" t="s">
        <v>1123</v>
      </c>
      <c r="M64" s="17" t="str">
        <f t="shared" si="1"/>
        <v>DaysInQtr</v>
      </c>
      <c r="N64" s="18" t="str">
        <f t="shared" si="8"/>
        <v>P</v>
      </c>
      <c r="O64" s="119">
        <f t="shared" si="9"/>
        <v>48</v>
      </c>
      <c r="P64" s="123" t="str">
        <f t="shared" si="4"/>
        <v>12/31/2007</v>
      </c>
      <c r="Q64" s="94" t="str">
        <f t="shared" si="5"/>
        <v>4/21/2008</v>
      </c>
      <c r="R64" s="124" t="str">
        <f t="shared" si="6"/>
        <v>7/14/2008</v>
      </c>
      <c r="S64" s="125" t="str">
        <f t="shared" si="7"/>
        <v>10/ 6/2008</v>
      </c>
      <c r="T64" s="121" t="s">
        <v>954</v>
      </c>
      <c r="U64" s="98" t="s">
        <v>955</v>
      </c>
      <c r="V64" s="102" t="s">
        <v>956</v>
      </c>
      <c r="W64" s="100" t="s">
        <v>957</v>
      </c>
      <c r="X64" s="107" t="s">
        <v>958</v>
      </c>
      <c r="Y64" s="101" t="s">
        <v>959</v>
      </c>
      <c r="Z64" s="101" t="s">
        <v>960</v>
      </c>
      <c r="AA64" s="107" t="s">
        <v>961</v>
      </c>
      <c r="AB64" s="101" t="s">
        <v>962</v>
      </c>
      <c r="AC64" s="101" t="s">
        <v>963</v>
      </c>
      <c r="AD64" s="107" t="s">
        <v>964</v>
      </c>
      <c r="AE64" s="101" t="s">
        <v>965</v>
      </c>
      <c r="AF64" s="101" t="s">
        <v>966</v>
      </c>
      <c r="AG64" s="109" t="s">
        <v>967</v>
      </c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</row>
    <row r="65" spans="1:48" ht="15.75" x14ac:dyDescent="0.25">
      <c r="A65" s="1">
        <v>39621</v>
      </c>
      <c r="B65" s="56" t="str">
        <f t="shared" si="0"/>
        <v>DaysInQtr</v>
      </c>
      <c r="C65" s="56" t="s">
        <v>255</v>
      </c>
      <c r="D65" s="111"/>
      <c r="F65" s="1">
        <v>39615</v>
      </c>
      <c r="G65" s="1">
        <v>39642</v>
      </c>
      <c r="H65" t="s">
        <v>88</v>
      </c>
      <c r="I65" t="s">
        <v>151</v>
      </c>
      <c r="J65" t="s">
        <v>143</v>
      </c>
      <c r="L65" t="s">
        <v>1125</v>
      </c>
      <c r="M65" s="17" t="str">
        <f t="shared" si="1"/>
        <v>DaysInQtr</v>
      </c>
      <c r="N65" s="18" t="str">
        <f t="shared" si="8"/>
        <v>P</v>
      </c>
      <c r="O65" s="119">
        <f t="shared" si="9"/>
        <v>63</v>
      </c>
      <c r="P65" s="123" t="str">
        <f t="shared" si="4"/>
        <v>12/31/2007</v>
      </c>
      <c r="Q65" s="94" t="str">
        <f t="shared" si="5"/>
        <v>4/21/2008</v>
      </c>
      <c r="R65" s="124" t="str">
        <f t="shared" si="6"/>
        <v>7/14/2008</v>
      </c>
      <c r="S65" s="125" t="str">
        <f t="shared" si="7"/>
        <v>10/ 6/2008</v>
      </c>
      <c r="T65" s="121" t="s">
        <v>954</v>
      </c>
      <c r="U65" s="98" t="s">
        <v>955</v>
      </c>
      <c r="V65" s="102" t="s">
        <v>956</v>
      </c>
      <c r="W65" s="100" t="s">
        <v>957</v>
      </c>
      <c r="X65" s="107" t="s">
        <v>958</v>
      </c>
      <c r="Y65" s="101" t="s">
        <v>959</v>
      </c>
      <c r="Z65" s="101" t="s">
        <v>960</v>
      </c>
      <c r="AA65" s="107" t="s">
        <v>961</v>
      </c>
      <c r="AB65" s="101" t="s">
        <v>962</v>
      </c>
      <c r="AC65" s="101" t="s">
        <v>963</v>
      </c>
      <c r="AD65" s="107" t="s">
        <v>964</v>
      </c>
      <c r="AE65" s="101" t="s">
        <v>965</v>
      </c>
      <c r="AF65" s="101" t="s">
        <v>966</v>
      </c>
      <c r="AG65" s="109" t="s">
        <v>967</v>
      </c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</row>
    <row r="66" spans="1:48" ht="15.75" x14ac:dyDescent="0.25">
      <c r="A66" s="1">
        <v>43321</v>
      </c>
      <c r="B66" s="56" t="str">
        <f t="shared" si="0"/>
        <v>DaysInQtr</v>
      </c>
      <c r="C66" s="56" t="s">
        <v>255</v>
      </c>
      <c r="D66" s="111"/>
      <c r="F66" s="1">
        <v>43297</v>
      </c>
      <c r="G66" s="1">
        <v>43324</v>
      </c>
      <c r="H66" t="s">
        <v>72</v>
      </c>
      <c r="I66" t="s">
        <v>148</v>
      </c>
      <c r="J66" t="s">
        <v>54</v>
      </c>
      <c r="L66" t="s">
        <v>1126</v>
      </c>
      <c r="M66" s="17" t="str">
        <f t="shared" si="1"/>
        <v>DaysInQtr</v>
      </c>
      <c r="N66" s="18" t="str">
        <f t="shared" si="8"/>
        <v>P</v>
      </c>
      <c r="O66" s="119">
        <f t="shared" si="9"/>
        <v>25</v>
      </c>
      <c r="P66" s="123" t="str">
        <f t="shared" si="4"/>
        <v>1/ 1/2018</v>
      </c>
      <c r="Q66" s="94" t="str">
        <f t="shared" si="5"/>
        <v>4/23/2018</v>
      </c>
      <c r="R66" s="124" t="str">
        <f t="shared" si="6"/>
        <v>7/16/2018</v>
      </c>
      <c r="S66" s="125" t="str">
        <f t="shared" si="7"/>
        <v>10/ 8/2018</v>
      </c>
      <c r="T66" s="121" t="s">
        <v>1052</v>
      </c>
      <c r="U66" s="98" t="s">
        <v>1053</v>
      </c>
      <c r="V66" s="102" t="s">
        <v>1054</v>
      </c>
      <c r="W66" s="100" t="s">
        <v>1055</v>
      </c>
      <c r="X66" s="107" t="s">
        <v>1056</v>
      </c>
      <c r="Y66" s="101" t="s">
        <v>1057</v>
      </c>
      <c r="Z66" s="101" t="s">
        <v>1058</v>
      </c>
      <c r="AA66" s="107" t="s">
        <v>1059</v>
      </c>
      <c r="AB66" s="101" t="s">
        <v>1060</v>
      </c>
      <c r="AC66" s="101" t="s">
        <v>1061</v>
      </c>
      <c r="AD66" s="107" t="s">
        <v>1062</v>
      </c>
      <c r="AE66" s="101" t="s">
        <v>1063</v>
      </c>
      <c r="AF66" s="101" t="s">
        <v>1064</v>
      </c>
      <c r="AG66" s="109" t="s">
        <v>1065</v>
      </c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</row>
    <row r="67" spans="1:48" ht="15.75" x14ac:dyDescent="0.25">
      <c r="A67" s="1">
        <v>41348</v>
      </c>
      <c r="B67" s="56" t="str">
        <f t="shared" si="0"/>
        <v>DaysInQtr</v>
      </c>
      <c r="C67" s="56" t="s">
        <v>255</v>
      </c>
      <c r="D67" s="111"/>
      <c r="F67" s="1">
        <v>41330</v>
      </c>
      <c r="G67" s="1">
        <v>41357</v>
      </c>
      <c r="H67" t="s">
        <v>67</v>
      </c>
      <c r="I67" t="s">
        <v>54</v>
      </c>
      <c r="J67" t="s">
        <v>17</v>
      </c>
      <c r="L67" t="s">
        <v>1127</v>
      </c>
      <c r="M67" s="17" t="str">
        <f t="shared" si="1"/>
        <v>DaysInQtr</v>
      </c>
      <c r="N67" s="18" t="str">
        <f t="shared" si="8"/>
        <v>P</v>
      </c>
      <c r="O67" s="119">
        <f t="shared" si="9"/>
        <v>75</v>
      </c>
      <c r="P67" s="123" t="str">
        <f t="shared" si="4"/>
        <v>12/31/2012</v>
      </c>
      <c r="Q67" s="94" t="str">
        <f t="shared" si="5"/>
        <v>4/22/2013</v>
      </c>
      <c r="R67" s="124" t="str">
        <f t="shared" si="6"/>
        <v>7/15/2013</v>
      </c>
      <c r="S67" s="125" t="str">
        <f t="shared" si="7"/>
        <v>10/ 7/2013</v>
      </c>
      <c r="T67" s="121" t="s">
        <v>730</v>
      </c>
      <c r="U67" s="98" t="s">
        <v>731</v>
      </c>
      <c r="V67" s="102" t="s">
        <v>732</v>
      </c>
      <c r="W67" s="100" t="s">
        <v>733</v>
      </c>
      <c r="X67" s="107" t="s">
        <v>734</v>
      </c>
      <c r="Y67" s="101" t="s">
        <v>735</v>
      </c>
      <c r="Z67" s="101" t="s">
        <v>736</v>
      </c>
      <c r="AA67" s="107" t="s">
        <v>737</v>
      </c>
      <c r="AB67" s="101" t="s">
        <v>738</v>
      </c>
      <c r="AC67" s="101" t="s">
        <v>739</v>
      </c>
      <c r="AD67" s="107" t="s">
        <v>740</v>
      </c>
      <c r="AE67" s="101" t="s">
        <v>741</v>
      </c>
      <c r="AF67" s="101" t="s">
        <v>742</v>
      </c>
      <c r="AG67" s="109" t="s">
        <v>743</v>
      </c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</row>
    <row r="68" spans="1:48" ht="15.75" x14ac:dyDescent="0.25">
      <c r="A68" s="1">
        <v>37909</v>
      </c>
      <c r="B68" s="56" t="str">
        <f t="shared" si="0"/>
        <v>DaysInQtr</v>
      </c>
      <c r="C68" s="56" t="s">
        <v>255</v>
      </c>
      <c r="D68" s="111"/>
      <c r="F68" s="1">
        <v>37900</v>
      </c>
      <c r="G68" s="1">
        <v>37927</v>
      </c>
      <c r="H68" t="s">
        <v>80</v>
      </c>
      <c r="I68" t="s">
        <v>150</v>
      </c>
      <c r="J68" t="s">
        <v>12</v>
      </c>
      <c r="L68" t="s">
        <v>1124</v>
      </c>
      <c r="M68" s="17" t="str">
        <f t="shared" si="1"/>
        <v>DaysInQtr</v>
      </c>
      <c r="N68" s="18" t="str">
        <f t="shared" si="8"/>
        <v>F</v>
      </c>
      <c r="O68" s="119">
        <f t="shared" si="9"/>
        <v>10</v>
      </c>
      <c r="P68" s="123" t="str">
        <f t="shared" si="4"/>
        <v>12/30/2002</v>
      </c>
      <c r="Q68" s="94" t="str">
        <f t="shared" si="5"/>
        <v>4/21/2003</v>
      </c>
      <c r="R68" s="124" t="str">
        <f t="shared" si="6"/>
        <v>7/14/2003</v>
      </c>
      <c r="S68" s="125" t="str">
        <f t="shared" si="7"/>
        <v>10/ 6/2003</v>
      </c>
      <c r="T68" s="121" t="s">
        <v>786</v>
      </c>
      <c r="U68" s="98" t="s">
        <v>787</v>
      </c>
      <c r="V68" s="102" t="s">
        <v>788</v>
      </c>
      <c r="W68" s="100" t="s">
        <v>789</v>
      </c>
      <c r="X68" s="107" t="s">
        <v>790</v>
      </c>
      <c r="Y68" s="101" t="s">
        <v>791</v>
      </c>
      <c r="Z68" s="101" t="s">
        <v>792</v>
      </c>
      <c r="AA68" s="107" t="s">
        <v>793</v>
      </c>
      <c r="AB68" s="101" t="s">
        <v>794</v>
      </c>
      <c r="AC68" s="101" t="s">
        <v>795</v>
      </c>
      <c r="AD68" s="107" t="s">
        <v>796</v>
      </c>
      <c r="AE68" s="101" t="s">
        <v>797</v>
      </c>
      <c r="AF68" s="101" t="s">
        <v>798</v>
      </c>
      <c r="AG68" s="109" t="s">
        <v>799</v>
      </c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</row>
    <row r="69" spans="1:48" ht="15.75" x14ac:dyDescent="0.25">
      <c r="A69" s="1">
        <v>47427</v>
      </c>
      <c r="B69" s="56" t="str">
        <f t="shared" si="0"/>
        <v>DaysInQtr</v>
      </c>
      <c r="C69" s="56" t="s">
        <v>255</v>
      </c>
      <c r="D69" s="111"/>
      <c r="F69" s="1">
        <v>47427</v>
      </c>
      <c r="G69" s="1">
        <v>47454</v>
      </c>
      <c r="H69" t="s">
        <v>105</v>
      </c>
      <c r="I69" t="s">
        <v>13</v>
      </c>
      <c r="J69" t="s">
        <v>12</v>
      </c>
      <c r="L69" t="s">
        <v>1128</v>
      </c>
      <c r="M69" s="17" t="str">
        <f t="shared" si="1"/>
        <v>DaysInQtr</v>
      </c>
      <c r="N69" s="18" t="str">
        <f t="shared" si="8"/>
        <v>P</v>
      </c>
      <c r="O69" s="119">
        <f t="shared" si="9"/>
        <v>29</v>
      </c>
      <c r="P69" s="123" t="str">
        <f t="shared" si="4"/>
        <v>1/ 1/2029</v>
      </c>
      <c r="Q69" s="94" t="str">
        <f t="shared" si="5"/>
        <v>4/23/2029</v>
      </c>
      <c r="R69" s="124" t="str">
        <f t="shared" si="6"/>
        <v>7/16/2029</v>
      </c>
      <c r="S69" s="125" t="str">
        <f t="shared" si="7"/>
        <v>10/ 8/2029</v>
      </c>
      <c r="T69" s="121" t="s">
        <v>870</v>
      </c>
      <c r="U69" s="98" t="s">
        <v>871</v>
      </c>
      <c r="V69" s="102" t="s">
        <v>872</v>
      </c>
      <c r="W69" s="100" t="s">
        <v>873</v>
      </c>
      <c r="X69" s="107" t="s">
        <v>874</v>
      </c>
      <c r="Y69" s="101" t="s">
        <v>875</v>
      </c>
      <c r="Z69" s="101" t="s">
        <v>876</v>
      </c>
      <c r="AA69" s="107" t="s">
        <v>877</v>
      </c>
      <c r="AB69" s="101" t="s">
        <v>878</v>
      </c>
      <c r="AC69" s="101" t="s">
        <v>879</v>
      </c>
      <c r="AD69" s="107" t="s">
        <v>880</v>
      </c>
      <c r="AE69" s="101" t="s">
        <v>881</v>
      </c>
      <c r="AF69" s="101" t="s">
        <v>882</v>
      </c>
      <c r="AG69" s="109" t="s">
        <v>883</v>
      </c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</row>
    <row r="70" spans="1:48" ht="15.75" x14ac:dyDescent="0.25">
      <c r="A70" s="1">
        <v>37196</v>
      </c>
      <c r="B70" s="56" t="str">
        <f t="shared" si="0"/>
        <v>DaysInQtr</v>
      </c>
      <c r="C70" s="56" t="s">
        <v>255</v>
      </c>
      <c r="D70" s="111"/>
      <c r="F70" s="1">
        <v>37172</v>
      </c>
      <c r="G70" s="1">
        <v>37199</v>
      </c>
      <c r="H70" t="s">
        <v>77</v>
      </c>
      <c r="I70" t="s">
        <v>150</v>
      </c>
      <c r="J70" t="s">
        <v>12</v>
      </c>
      <c r="L70" t="s">
        <v>1129</v>
      </c>
      <c r="M70" s="17" t="str">
        <f t="shared" si="1"/>
        <v>DaysInQtr</v>
      </c>
      <c r="N70" s="18" t="str">
        <f t="shared" si="8"/>
        <v>F</v>
      </c>
      <c r="O70" s="119">
        <f t="shared" si="9"/>
        <v>25</v>
      </c>
      <c r="P70" s="123" t="str">
        <f t="shared" si="4"/>
        <v>1/ 1/2001</v>
      </c>
      <c r="Q70" s="94" t="str">
        <f t="shared" si="5"/>
        <v>4/23/2001</v>
      </c>
      <c r="R70" s="124" t="str">
        <f t="shared" si="6"/>
        <v>7/16/2001</v>
      </c>
      <c r="S70" s="125" t="str">
        <f t="shared" si="7"/>
        <v>10/ 8/2001</v>
      </c>
      <c r="T70" s="121" t="s">
        <v>898</v>
      </c>
      <c r="U70" s="98" t="s">
        <v>899</v>
      </c>
      <c r="V70" s="102" t="s">
        <v>900</v>
      </c>
      <c r="W70" s="100" t="s">
        <v>901</v>
      </c>
      <c r="X70" s="107" t="s">
        <v>902</v>
      </c>
      <c r="Y70" s="101" t="s">
        <v>903</v>
      </c>
      <c r="Z70" s="101" t="s">
        <v>904</v>
      </c>
      <c r="AA70" s="107" t="s">
        <v>905</v>
      </c>
      <c r="AB70" s="101" t="s">
        <v>906</v>
      </c>
      <c r="AC70" s="101" t="s">
        <v>907</v>
      </c>
      <c r="AD70" s="107" t="s">
        <v>908</v>
      </c>
      <c r="AE70" s="101" t="s">
        <v>909</v>
      </c>
      <c r="AF70" s="101" t="s">
        <v>910</v>
      </c>
      <c r="AG70" s="109" t="s">
        <v>911</v>
      </c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</row>
    <row r="71" spans="1:48" ht="15.75" x14ac:dyDescent="0.25">
      <c r="A71" s="1">
        <v>39101</v>
      </c>
      <c r="B71" s="56" t="str">
        <f t="shared" si="0"/>
        <v>DaysInQtr</v>
      </c>
      <c r="C71" s="56" t="s">
        <v>255</v>
      </c>
      <c r="D71" s="111"/>
      <c r="F71" s="1">
        <v>39083</v>
      </c>
      <c r="G71" s="1">
        <v>39110</v>
      </c>
      <c r="H71" t="s">
        <v>87</v>
      </c>
      <c r="I71" t="s">
        <v>17</v>
      </c>
      <c r="J71" t="s">
        <v>17</v>
      </c>
      <c r="L71" t="s">
        <v>1109</v>
      </c>
      <c r="M71" s="17" t="str">
        <f t="shared" si="1"/>
        <v>DaysInQtr</v>
      </c>
      <c r="N71" s="18" t="str">
        <f t="shared" si="8"/>
        <v>P</v>
      </c>
      <c r="O71" s="119">
        <f t="shared" si="9"/>
        <v>19</v>
      </c>
      <c r="P71" s="123" t="str">
        <f t="shared" si="4"/>
        <v>1/ 1/2007</v>
      </c>
      <c r="Q71" s="94" t="str">
        <f t="shared" si="5"/>
        <v>4/23/2007</v>
      </c>
      <c r="R71" s="124" t="str">
        <f t="shared" si="6"/>
        <v>7/16/2007</v>
      </c>
      <c r="S71" s="125" t="str">
        <f t="shared" si="7"/>
        <v>10/ 8/2007</v>
      </c>
      <c r="T71" s="121" t="s">
        <v>940</v>
      </c>
      <c r="U71" s="98" t="s">
        <v>941</v>
      </c>
      <c r="V71" s="102" t="s">
        <v>942</v>
      </c>
      <c r="W71" s="100" t="s">
        <v>943</v>
      </c>
      <c r="X71" s="107" t="s">
        <v>944</v>
      </c>
      <c r="Y71" s="101" t="s">
        <v>945</v>
      </c>
      <c r="Z71" s="101" t="s">
        <v>946</v>
      </c>
      <c r="AA71" s="107" t="s">
        <v>947</v>
      </c>
      <c r="AB71" s="101" t="s">
        <v>948</v>
      </c>
      <c r="AC71" s="101" t="s">
        <v>949</v>
      </c>
      <c r="AD71" s="107" t="s">
        <v>950</v>
      </c>
      <c r="AE71" s="101" t="s">
        <v>951</v>
      </c>
      <c r="AF71" s="101" t="s">
        <v>952</v>
      </c>
      <c r="AG71" s="109" t="s">
        <v>953</v>
      </c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</row>
    <row r="72" spans="1:48" ht="15.75" x14ac:dyDescent="0.25">
      <c r="A72" s="1">
        <v>40189</v>
      </c>
      <c r="B72" s="56" t="str">
        <f t="shared" si="0"/>
        <v>DaysInQtr</v>
      </c>
      <c r="C72" s="56" t="s">
        <v>255</v>
      </c>
      <c r="D72" s="111"/>
      <c r="F72" s="1">
        <v>40175</v>
      </c>
      <c r="G72" s="1">
        <v>40202</v>
      </c>
      <c r="H72" t="s">
        <v>90</v>
      </c>
      <c r="I72" t="s">
        <v>17</v>
      </c>
      <c r="J72" t="s">
        <v>17</v>
      </c>
      <c r="L72" t="s">
        <v>1130</v>
      </c>
      <c r="M72" s="17" t="str">
        <f t="shared" si="1"/>
        <v>DaysInQtr</v>
      </c>
      <c r="N72" s="18" t="str">
        <f t="shared" si="8"/>
        <v>P</v>
      </c>
      <c r="O72" s="119">
        <f t="shared" si="9"/>
        <v>15</v>
      </c>
      <c r="P72" s="123" t="str">
        <f t="shared" si="4"/>
        <v>12/28/2009</v>
      </c>
      <c r="Q72" s="94" t="str">
        <f t="shared" si="5"/>
        <v>4/19/2010</v>
      </c>
      <c r="R72" s="124" t="str">
        <f t="shared" si="6"/>
        <v>7/12/2010</v>
      </c>
      <c r="S72" s="125" t="str">
        <f t="shared" si="7"/>
        <v>10/ 4/2010</v>
      </c>
      <c r="T72" s="121" t="s">
        <v>1066</v>
      </c>
      <c r="U72" s="98" t="s">
        <v>1067</v>
      </c>
      <c r="V72" s="102" t="s">
        <v>1068</v>
      </c>
      <c r="W72" s="100" t="s">
        <v>1069</v>
      </c>
      <c r="X72" s="107" t="s">
        <v>1070</v>
      </c>
      <c r="Y72" s="101" t="s">
        <v>1071</v>
      </c>
      <c r="Z72" s="101" t="s">
        <v>1072</v>
      </c>
      <c r="AA72" s="107" t="s">
        <v>1073</v>
      </c>
      <c r="AB72" s="101" t="s">
        <v>1074</v>
      </c>
      <c r="AC72" s="101" t="s">
        <v>1075</v>
      </c>
      <c r="AD72" s="107" t="s">
        <v>1076</v>
      </c>
      <c r="AE72" s="101" t="s">
        <v>1077</v>
      </c>
      <c r="AF72" s="101" t="s">
        <v>1078</v>
      </c>
      <c r="AG72" s="109" t="s">
        <v>1079</v>
      </c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</row>
    <row r="73" spans="1:48" ht="15.75" x14ac:dyDescent="0.25">
      <c r="A73" s="1">
        <v>37291</v>
      </c>
      <c r="B73" s="56" t="str">
        <f t="shared" ref="B73:B86" si="10">$L$1</f>
        <v>DaysInQtr</v>
      </c>
      <c r="C73" s="56" t="s">
        <v>255</v>
      </c>
      <c r="D73" s="111"/>
      <c r="F73" s="1">
        <v>37284</v>
      </c>
      <c r="G73" s="1">
        <v>37311</v>
      </c>
      <c r="H73" t="s">
        <v>78</v>
      </c>
      <c r="I73" t="s">
        <v>143</v>
      </c>
      <c r="J73" t="s">
        <v>17</v>
      </c>
      <c r="L73" t="s">
        <v>1131</v>
      </c>
      <c r="M73" s="17" t="str">
        <f t="shared" ref="M73:M86" si="11">B73</f>
        <v>DaysInQtr</v>
      </c>
      <c r="N73" s="18" t="str">
        <f t="shared" si="8"/>
        <v>P</v>
      </c>
      <c r="O73" s="119">
        <f t="shared" si="9"/>
        <v>36</v>
      </c>
      <c r="P73" s="123" t="str">
        <f t="shared" ref="P73:P86" si="12">T73</f>
        <v>12/31/2001</v>
      </c>
      <c r="Q73" s="94" t="str">
        <f t="shared" ref="Q73:Q86" si="13">X73</f>
        <v>4/22/2002</v>
      </c>
      <c r="R73" s="124" t="str">
        <f t="shared" ref="R73:R86" si="14">AA73</f>
        <v>7/15/2002</v>
      </c>
      <c r="S73" s="125" t="str">
        <f t="shared" ref="S73:S86" si="15">AD73</f>
        <v>10/ 7/2002</v>
      </c>
      <c r="T73" s="121" t="s">
        <v>912</v>
      </c>
      <c r="U73" s="98" t="s">
        <v>913</v>
      </c>
      <c r="V73" s="102" t="s">
        <v>914</v>
      </c>
      <c r="W73" s="100" t="s">
        <v>915</v>
      </c>
      <c r="X73" s="107" t="s">
        <v>916</v>
      </c>
      <c r="Y73" s="101" t="s">
        <v>917</v>
      </c>
      <c r="Z73" s="101" t="s">
        <v>918</v>
      </c>
      <c r="AA73" s="107" t="s">
        <v>919</v>
      </c>
      <c r="AB73" s="101" t="s">
        <v>920</v>
      </c>
      <c r="AC73" s="101" t="s">
        <v>921</v>
      </c>
      <c r="AD73" s="107" t="s">
        <v>922</v>
      </c>
      <c r="AE73" s="101" t="s">
        <v>923</v>
      </c>
      <c r="AF73" s="101" t="s">
        <v>924</v>
      </c>
      <c r="AG73" s="109" t="s">
        <v>925</v>
      </c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</row>
    <row r="74" spans="1:48" ht="15.75" x14ac:dyDescent="0.25">
      <c r="A74" s="1">
        <v>47124</v>
      </c>
      <c r="B74" s="56" t="str">
        <f t="shared" si="10"/>
        <v>DaysInQtr</v>
      </c>
      <c r="C74" s="56" t="s">
        <v>255</v>
      </c>
      <c r="D74" s="111"/>
      <c r="F74" s="1">
        <v>47119</v>
      </c>
      <c r="G74" s="1">
        <v>47146</v>
      </c>
      <c r="H74" t="s">
        <v>105</v>
      </c>
      <c r="I74" t="s">
        <v>17</v>
      </c>
      <c r="J74" t="s">
        <v>17</v>
      </c>
      <c r="L74" t="s">
        <v>145</v>
      </c>
      <c r="M74" s="17" t="str">
        <f t="shared" si="11"/>
        <v>DaysInQtr</v>
      </c>
      <c r="N74" s="18" t="str">
        <f t="shared" si="8"/>
        <v>P</v>
      </c>
      <c r="O74" s="119">
        <f t="shared" si="9"/>
        <v>6</v>
      </c>
      <c r="P74" s="123" t="str">
        <f t="shared" si="12"/>
        <v>1/ 1/2029</v>
      </c>
      <c r="Q74" s="94" t="str">
        <f t="shared" si="13"/>
        <v>4/23/2029</v>
      </c>
      <c r="R74" s="124" t="str">
        <f t="shared" si="14"/>
        <v>7/16/2029</v>
      </c>
      <c r="S74" s="125" t="str">
        <f t="shared" si="15"/>
        <v>10/ 8/2029</v>
      </c>
      <c r="T74" s="121" t="s">
        <v>870</v>
      </c>
      <c r="U74" s="98" t="s">
        <v>871</v>
      </c>
      <c r="V74" s="102" t="s">
        <v>872</v>
      </c>
      <c r="W74" s="100" t="s">
        <v>873</v>
      </c>
      <c r="X74" s="107" t="s">
        <v>874</v>
      </c>
      <c r="Y74" s="101" t="s">
        <v>875</v>
      </c>
      <c r="Z74" s="101" t="s">
        <v>876</v>
      </c>
      <c r="AA74" s="107" t="s">
        <v>877</v>
      </c>
      <c r="AB74" s="101" t="s">
        <v>878</v>
      </c>
      <c r="AC74" s="101" t="s">
        <v>879</v>
      </c>
      <c r="AD74" s="107" t="s">
        <v>880</v>
      </c>
      <c r="AE74" s="101" t="s">
        <v>881</v>
      </c>
      <c r="AF74" s="101" t="s">
        <v>882</v>
      </c>
      <c r="AG74" s="109" t="s">
        <v>883</v>
      </c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</row>
    <row r="75" spans="1:48" ht="15.75" x14ac:dyDescent="0.25">
      <c r="A75" s="1">
        <v>45759</v>
      </c>
      <c r="B75" s="56" t="str">
        <f t="shared" si="10"/>
        <v>DaysInQtr</v>
      </c>
      <c r="C75" s="56" t="s">
        <v>255</v>
      </c>
      <c r="D75" s="111"/>
      <c r="F75" s="1">
        <v>45740</v>
      </c>
      <c r="G75" s="1">
        <v>45767</v>
      </c>
      <c r="H75" t="s">
        <v>97</v>
      </c>
      <c r="I75" t="s">
        <v>12</v>
      </c>
      <c r="J75" t="s">
        <v>17</v>
      </c>
      <c r="L75" t="s">
        <v>1132</v>
      </c>
      <c r="M75" s="17" t="str">
        <f t="shared" si="11"/>
        <v>DaysInQtr</v>
      </c>
      <c r="N75" s="18" t="str">
        <f t="shared" si="8"/>
        <v>P</v>
      </c>
      <c r="O75" s="119">
        <f t="shared" si="9"/>
        <v>104</v>
      </c>
      <c r="P75" s="123" t="str">
        <f t="shared" si="12"/>
        <v>12/30/2024</v>
      </c>
      <c r="Q75" s="94" t="str">
        <f t="shared" si="13"/>
        <v>4/21/2025</v>
      </c>
      <c r="R75" s="124" t="str">
        <f t="shared" si="14"/>
        <v>7/14/2025</v>
      </c>
      <c r="S75" s="125" t="str">
        <f t="shared" si="15"/>
        <v>10/ 6/2025</v>
      </c>
      <c r="T75" s="121" t="s">
        <v>1080</v>
      </c>
      <c r="U75" s="98" t="s">
        <v>1081</v>
      </c>
      <c r="V75" s="102" t="s">
        <v>1082</v>
      </c>
      <c r="W75" s="100" t="s">
        <v>1083</v>
      </c>
      <c r="X75" s="107" t="s">
        <v>1084</v>
      </c>
      <c r="Y75" s="101" t="s">
        <v>1085</v>
      </c>
      <c r="Z75" s="101" t="s">
        <v>1086</v>
      </c>
      <c r="AA75" s="107" t="s">
        <v>1087</v>
      </c>
      <c r="AB75" s="101" t="s">
        <v>1088</v>
      </c>
      <c r="AC75" s="101" t="s">
        <v>1089</v>
      </c>
      <c r="AD75" s="107" t="s">
        <v>1090</v>
      </c>
      <c r="AE75" s="101" t="s">
        <v>1091</v>
      </c>
      <c r="AF75" s="101" t="s">
        <v>1092</v>
      </c>
      <c r="AG75" s="109" t="s">
        <v>1093</v>
      </c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</row>
    <row r="76" spans="1:48" ht="15.75" x14ac:dyDescent="0.25">
      <c r="A76" s="1">
        <v>46257</v>
      </c>
      <c r="B76" s="56" t="str">
        <f t="shared" si="10"/>
        <v>DaysInQtr</v>
      </c>
      <c r="C76" s="56" t="s">
        <v>255</v>
      </c>
      <c r="D76" s="111"/>
      <c r="F76" s="1">
        <v>46244</v>
      </c>
      <c r="G76" s="1">
        <v>46271</v>
      </c>
      <c r="H76" t="s">
        <v>99</v>
      </c>
      <c r="I76" t="s">
        <v>141</v>
      </c>
      <c r="J76" t="s">
        <v>54</v>
      </c>
      <c r="L76" t="s">
        <v>1133</v>
      </c>
      <c r="M76" s="17" t="str">
        <f t="shared" si="11"/>
        <v>DaysInQtr</v>
      </c>
      <c r="N76" s="18" t="str">
        <f t="shared" si="8"/>
        <v>P</v>
      </c>
      <c r="O76" s="119">
        <f t="shared" si="9"/>
        <v>42</v>
      </c>
      <c r="P76" s="123" t="str">
        <f t="shared" si="12"/>
        <v>12/29/2025</v>
      </c>
      <c r="Q76" s="94" t="str">
        <f t="shared" si="13"/>
        <v>4/20/2026</v>
      </c>
      <c r="R76" s="124" t="str">
        <f t="shared" si="14"/>
        <v>7/13/2026</v>
      </c>
      <c r="S76" s="125" t="str">
        <f t="shared" si="15"/>
        <v>10/ 5/2026</v>
      </c>
      <c r="T76" s="121" t="s">
        <v>828</v>
      </c>
      <c r="U76" s="98" t="s">
        <v>829</v>
      </c>
      <c r="V76" s="102" t="s">
        <v>830</v>
      </c>
      <c r="W76" s="100" t="s">
        <v>831</v>
      </c>
      <c r="X76" s="107" t="s">
        <v>832</v>
      </c>
      <c r="Y76" s="101" t="s">
        <v>833</v>
      </c>
      <c r="Z76" s="101" t="s">
        <v>834</v>
      </c>
      <c r="AA76" s="107" t="s">
        <v>835</v>
      </c>
      <c r="AB76" s="101" t="s">
        <v>836</v>
      </c>
      <c r="AC76" s="101" t="s">
        <v>837</v>
      </c>
      <c r="AD76" s="107" t="s">
        <v>838</v>
      </c>
      <c r="AE76" s="101" t="s">
        <v>839</v>
      </c>
      <c r="AF76" s="101" t="s">
        <v>840</v>
      </c>
      <c r="AG76" s="109" t="s">
        <v>841</v>
      </c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</row>
    <row r="77" spans="1:48" ht="15.75" x14ac:dyDescent="0.25">
      <c r="A77" s="1">
        <v>40817</v>
      </c>
      <c r="B77" s="56" t="str">
        <f t="shared" si="10"/>
        <v>DaysInQtr</v>
      </c>
      <c r="C77" s="56" t="s">
        <v>255</v>
      </c>
      <c r="D77" s="111"/>
      <c r="F77" s="1">
        <v>40791</v>
      </c>
      <c r="G77" s="1">
        <v>40818</v>
      </c>
      <c r="H77" t="s">
        <v>91</v>
      </c>
      <c r="I77" t="s">
        <v>144</v>
      </c>
      <c r="J77" t="s">
        <v>54</v>
      </c>
      <c r="L77" t="s">
        <v>1134</v>
      </c>
      <c r="M77" s="17" t="str">
        <f t="shared" si="11"/>
        <v>DaysInQtr</v>
      </c>
      <c r="N77" s="18" t="str">
        <f t="shared" si="8"/>
        <v>P</v>
      </c>
      <c r="O77" s="119">
        <f t="shared" si="9"/>
        <v>83</v>
      </c>
      <c r="P77" s="123" t="str">
        <f t="shared" si="12"/>
        <v>12/27/2010</v>
      </c>
      <c r="Q77" s="94" t="str">
        <f t="shared" si="13"/>
        <v>4/18/2011</v>
      </c>
      <c r="R77" s="124" t="str">
        <f t="shared" si="14"/>
        <v>7/11/2011</v>
      </c>
      <c r="S77" s="125" t="str">
        <f t="shared" si="15"/>
        <v>10/ 3/2011</v>
      </c>
      <c r="T77" s="121" t="s">
        <v>968</v>
      </c>
      <c r="U77" s="98" t="s">
        <v>969</v>
      </c>
      <c r="V77" s="102" t="s">
        <v>970</v>
      </c>
      <c r="W77" s="100" t="s">
        <v>971</v>
      </c>
      <c r="X77" s="107" t="s">
        <v>972</v>
      </c>
      <c r="Y77" s="101" t="s">
        <v>973</v>
      </c>
      <c r="Z77" s="101" t="s">
        <v>974</v>
      </c>
      <c r="AA77" s="107" t="s">
        <v>975</v>
      </c>
      <c r="AB77" s="101" t="s">
        <v>976</v>
      </c>
      <c r="AC77" s="101" t="s">
        <v>977</v>
      </c>
      <c r="AD77" s="107" t="s">
        <v>978</v>
      </c>
      <c r="AE77" s="101" t="s">
        <v>979</v>
      </c>
      <c r="AF77" s="101" t="s">
        <v>980</v>
      </c>
      <c r="AG77" s="109" t="s">
        <v>981</v>
      </c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</row>
    <row r="78" spans="1:48" ht="15.75" x14ac:dyDescent="0.25">
      <c r="A78" s="1">
        <v>44758</v>
      </c>
      <c r="B78" s="56" t="str">
        <f t="shared" si="10"/>
        <v>DaysInQtr</v>
      </c>
      <c r="C78" s="56" t="s">
        <v>255</v>
      </c>
      <c r="D78" s="111"/>
      <c r="F78" s="1">
        <v>44753</v>
      </c>
      <c r="G78" s="1">
        <v>44780</v>
      </c>
      <c r="H78" t="s">
        <v>95</v>
      </c>
      <c r="I78" t="s">
        <v>148</v>
      </c>
      <c r="J78" t="s">
        <v>54</v>
      </c>
      <c r="L78" t="s">
        <v>145</v>
      </c>
      <c r="M78" s="17" t="str">
        <f t="shared" si="11"/>
        <v>DaysInQtr</v>
      </c>
      <c r="N78" s="18" t="str">
        <f t="shared" si="8"/>
        <v>P</v>
      </c>
      <c r="O78" s="119">
        <f t="shared" si="9"/>
        <v>6</v>
      </c>
      <c r="P78" s="123" t="str">
        <f t="shared" si="12"/>
        <v>12/27/2021</v>
      </c>
      <c r="Q78" s="94" t="str">
        <f t="shared" si="13"/>
        <v>4/18/2022</v>
      </c>
      <c r="R78" s="124" t="str">
        <f t="shared" si="14"/>
        <v>7/11/2022</v>
      </c>
      <c r="S78" s="125" t="str">
        <f t="shared" si="15"/>
        <v>10/ 3/2022</v>
      </c>
      <c r="T78" s="121" t="s">
        <v>1024</v>
      </c>
      <c r="U78" s="98" t="s">
        <v>1025</v>
      </c>
      <c r="V78" s="102" t="s">
        <v>1026</v>
      </c>
      <c r="W78" s="100" t="s">
        <v>1027</v>
      </c>
      <c r="X78" s="107" t="s">
        <v>1028</v>
      </c>
      <c r="Y78" s="101" t="s">
        <v>1029</v>
      </c>
      <c r="Z78" s="101" t="s">
        <v>1030</v>
      </c>
      <c r="AA78" s="107" t="s">
        <v>1031</v>
      </c>
      <c r="AB78" s="101" t="s">
        <v>1032</v>
      </c>
      <c r="AC78" s="101" t="s">
        <v>1033</v>
      </c>
      <c r="AD78" s="107" t="s">
        <v>1034</v>
      </c>
      <c r="AE78" s="101" t="s">
        <v>1035</v>
      </c>
      <c r="AF78" s="101" t="s">
        <v>1036</v>
      </c>
      <c r="AG78" s="109" t="s">
        <v>1037</v>
      </c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</row>
    <row r="79" spans="1:48" ht="15.75" x14ac:dyDescent="0.25">
      <c r="A79" s="1">
        <v>41402</v>
      </c>
      <c r="B79" s="56" t="str">
        <f t="shared" si="10"/>
        <v>DaysInQtr</v>
      </c>
      <c r="C79" s="56" t="s">
        <v>255</v>
      </c>
      <c r="D79" s="111"/>
      <c r="F79" s="1">
        <v>41386</v>
      </c>
      <c r="G79" s="1">
        <v>41413</v>
      </c>
      <c r="H79" t="s">
        <v>67</v>
      </c>
      <c r="I79" t="s">
        <v>142</v>
      </c>
      <c r="J79" t="s">
        <v>143</v>
      </c>
      <c r="L79" t="s">
        <v>1135</v>
      </c>
      <c r="M79" s="17" t="str">
        <f t="shared" si="11"/>
        <v>DaysInQtr</v>
      </c>
      <c r="N79" s="18" t="str">
        <f t="shared" si="8"/>
        <v>P</v>
      </c>
      <c r="O79" s="119">
        <f t="shared" si="9"/>
        <v>17</v>
      </c>
      <c r="P79" s="123" t="str">
        <f t="shared" si="12"/>
        <v>12/31/2012</v>
      </c>
      <c r="Q79" s="94" t="str">
        <f t="shared" si="13"/>
        <v>4/22/2013</v>
      </c>
      <c r="R79" s="124" t="str">
        <f t="shared" si="14"/>
        <v>7/15/2013</v>
      </c>
      <c r="S79" s="125" t="str">
        <f t="shared" si="15"/>
        <v>10/ 7/2013</v>
      </c>
      <c r="T79" s="121" t="s">
        <v>730</v>
      </c>
      <c r="U79" s="98" t="s">
        <v>731</v>
      </c>
      <c r="V79" s="102" t="s">
        <v>732</v>
      </c>
      <c r="W79" s="100" t="s">
        <v>733</v>
      </c>
      <c r="X79" s="107" t="s">
        <v>734</v>
      </c>
      <c r="Y79" s="101" t="s">
        <v>735</v>
      </c>
      <c r="Z79" s="101" t="s">
        <v>736</v>
      </c>
      <c r="AA79" s="107" t="s">
        <v>737</v>
      </c>
      <c r="AB79" s="101" t="s">
        <v>738</v>
      </c>
      <c r="AC79" s="101" t="s">
        <v>739</v>
      </c>
      <c r="AD79" s="107" t="s">
        <v>740</v>
      </c>
      <c r="AE79" s="101" t="s">
        <v>741</v>
      </c>
      <c r="AF79" s="101" t="s">
        <v>742</v>
      </c>
      <c r="AG79" s="109" t="s">
        <v>743</v>
      </c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</row>
    <row r="80" spans="1:48" ht="15.75" x14ac:dyDescent="0.25">
      <c r="A80" s="1">
        <v>40831</v>
      </c>
      <c r="B80" s="56" t="str">
        <f t="shared" si="10"/>
        <v>DaysInQtr</v>
      </c>
      <c r="C80" s="56" t="s">
        <v>255</v>
      </c>
      <c r="D80" s="111"/>
      <c r="F80" s="1">
        <v>40819</v>
      </c>
      <c r="G80" s="1">
        <v>40846</v>
      </c>
      <c r="H80" t="s">
        <v>91</v>
      </c>
      <c r="I80" t="s">
        <v>150</v>
      </c>
      <c r="J80" t="s">
        <v>12</v>
      </c>
      <c r="L80" t="s">
        <v>1136</v>
      </c>
      <c r="M80" s="17" t="str">
        <f t="shared" si="11"/>
        <v>DaysInQtr</v>
      </c>
      <c r="N80" s="18" t="str">
        <f t="shared" si="8"/>
        <v>F</v>
      </c>
      <c r="O80" s="119">
        <f t="shared" si="9"/>
        <v>13</v>
      </c>
      <c r="P80" s="123" t="str">
        <f t="shared" si="12"/>
        <v>12/27/2010</v>
      </c>
      <c r="Q80" s="94" t="str">
        <f t="shared" si="13"/>
        <v>4/18/2011</v>
      </c>
      <c r="R80" s="124" t="str">
        <f t="shared" si="14"/>
        <v>7/11/2011</v>
      </c>
      <c r="S80" s="125" t="str">
        <f t="shared" si="15"/>
        <v>10/ 3/2011</v>
      </c>
      <c r="T80" s="121" t="s">
        <v>968</v>
      </c>
      <c r="U80" s="98" t="s">
        <v>969</v>
      </c>
      <c r="V80" s="102" t="s">
        <v>970</v>
      </c>
      <c r="W80" s="100" t="s">
        <v>971</v>
      </c>
      <c r="X80" s="107" t="s">
        <v>972</v>
      </c>
      <c r="Y80" s="101" t="s">
        <v>973</v>
      </c>
      <c r="Z80" s="101" t="s">
        <v>974</v>
      </c>
      <c r="AA80" s="107" t="s">
        <v>975</v>
      </c>
      <c r="AB80" s="101" t="s">
        <v>976</v>
      </c>
      <c r="AC80" s="101" t="s">
        <v>977</v>
      </c>
      <c r="AD80" s="107" t="s">
        <v>978</v>
      </c>
      <c r="AE80" s="101" t="s">
        <v>979</v>
      </c>
      <c r="AF80" s="101" t="s">
        <v>980</v>
      </c>
      <c r="AG80" s="109" t="s">
        <v>981</v>
      </c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</row>
    <row r="81" spans="1:48" ht="15.75" x14ac:dyDescent="0.25">
      <c r="A81" s="1">
        <v>38093</v>
      </c>
      <c r="B81" s="56" t="str">
        <f t="shared" si="10"/>
        <v>DaysInQtr</v>
      </c>
      <c r="C81" s="56" t="s">
        <v>255</v>
      </c>
      <c r="D81" s="111"/>
      <c r="F81" s="1">
        <v>38068</v>
      </c>
      <c r="G81" s="1">
        <v>38095</v>
      </c>
      <c r="H81" t="s">
        <v>82</v>
      </c>
      <c r="I81" t="s">
        <v>12</v>
      </c>
      <c r="J81" t="s">
        <v>17</v>
      </c>
      <c r="L81" t="s">
        <v>1137</v>
      </c>
      <c r="M81" s="17" t="str">
        <f t="shared" si="11"/>
        <v>DaysInQtr</v>
      </c>
      <c r="N81" s="18" t="str">
        <f t="shared" si="8"/>
        <v>P</v>
      </c>
      <c r="O81" s="119">
        <f t="shared" si="9"/>
        <v>110</v>
      </c>
      <c r="P81" s="123" t="str">
        <f t="shared" si="12"/>
        <v>12/29/2003</v>
      </c>
      <c r="Q81" s="94" t="str">
        <f t="shared" si="13"/>
        <v>4/19/2004</v>
      </c>
      <c r="R81" s="124" t="str">
        <f t="shared" si="14"/>
        <v>7/12/2004</v>
      </c>
      <c r="S81" s="125" t="str">
        <f t="shared" si="15"/>
        <v>10/ 4/2004</v>
      </c>
      <c r="T81" s="121" t="s">
        <v>800</v>
      </c>
      <c r="U81" s="98" t="s">
        <v>801</v>
      </c>
      <c r="V81" s="102" t="s">
        <v>802</v>
      </c>
      <c r="W81" s="100" t="s">
        <v>803</v>
      </c>
      <c r="X81" s="107" t="s">
        <v>804</v>
      </c>
      <c r="Y81" s="101" t="s">
        <v>805</v>
      </c>
      <c r="Z81" s="101" t="s">
        <v>806</v>
      </c>
      <c r="AA81" s="107" t="s">
        <v>807</v>
      </c>
      <c r="AB81" s="101" t="s">
        <v>808</v>
      </c>
      <c r="AC81" s="101" t="s">
        <v>809</v>
      </c>
      <c r="AD81" s="107" t="s">
        <v>810</v>
      </c>
      <c r="AE81" s="101" t="s">
        <v>811</v>
      </c>
      <c r="AF81" s="101" t="s">
        <v>812</v>
      </c>
      <c r="AG81" s="109" t="s">
        <v>813</v>
      </c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</row>
    <row r="82" spans="1:48" ht="15.75" x14ac:dyDescent="0.25">
      <c r="A82" s="1">
        <v>42965</v>
      </c>
      <c r="B82" s="56" t="str">
        <f t="shared" si="10"/>
        <v>DaysInQtr</v>
      </c>
      <c r="C82" s="56" t="s">
        <v>255</v>
      </c>
      <c r="D82" s="111"/>
      <c r="F82" s="1">
        <v>42954</v>
      </c>
      <c r="G82" s="1">
        <v>42981</v>
      </c>
      <c r="H82" t="s">
        <v>70</v>
      </c>
      <c r="I82" t="s">
        <v>141</v>
      </c>
      <c r="J82" t="s">
        <v>54</v>
      </c>
      <c r="L82" t="s">
        <v>1138</v>
      </c>
      <c r="M82" s="17" t="str">
        <f t="shared" si="11"/>
        <v>DaysInQtr</v>
      </c>
      <c r="N82" s="18" t="str">
        <f t="shared" si="8"/>
        <v>P</v>
      </c>
      <c r="O82" s="119">
        <f t="shared" si="9"/>
        <v>40</v>
      </c>
      <c r="P82" s="123" t="str">
        <f t="shared" si="12"/>
        <v>12/26/2016</v>
      </c>
      <c r="Q82" s="94" t="str">
        <f t="shared" si="13"/>
        <v>4/17/2017</v>
      </c>
      <c r="R82" s="124" t="str">
        <f t="shared" si="14"/>
        <v>7/10/2017</v>
      </c>
      <c r="S82" s="125" t="str">
        <f t="shared" si="15"/>
        <v>10/ 2/2017</v>
      </c>
      <c r="T82" s="121" t="s">
        <v>772</v>
      </c>
      <c r="U82" s="98" t="s">
        <v>773</v>
      </c>
      <c r="V82" s="102" t="s">
        <v>774</v>
      </c>
      <c r="W82" s="100" t="s">
        <v>775</v>
      </c>
      <c r="X82" s="107" t="s">
        <v>776</v>
      </c>
      <c r="Y82" s="101" t="s">
        <v>777</v>
      </c>
      <c r="Z82" s="101" t="s">
        <v>778</v>
      </c>
      <c r="AA82" s="107" t="s">
        <v>779</v>
      </c>
      <c r="AB82" s="101" t="s">
        <v>780</v>
      </c>
      <c r="AC82" s="101" t="s">
        <v>781</v>
      </c>
      <c r="AD82" s="107" t="s">
        <v>782</v>
      </c>
      <c r="AE82" s="101" t="s">
        <v>783</v>
      </c>
      <c r="AF82" s="101" t="s">
        <v>784</v>
      </c>
      <c r="AG82" s="109" t="s">
        <v>785</v>
      </c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</row>
    <row r="83" spans="1:48" ht="15.75" x14ac:dyDescent="0.25">
      <c r="A83" s="1">
        <v>40487</v>
      </c>
      <c r="B83" s="56" t="str">
        <f t="shared" si="10"/>
        <v>DaysInQtr</v>
      </c>
      <c r="C83" s="56" t="s">
        <v>255</v>
      </c>
      <c r="D83" s="111"/>
      <c r="F83" s="1">
        <v>40483</v>
      </c>
      <c r="G83" s="1">
        <v>40510</v>
      </c>
      <c r="H83" t="s">
        <v>90</v>
      </c>
      <c r="I83" t="s">
        <v>13</v>
      </c>
      <c r="J83" t="s">
        <v>12</v>
      </c>
      <c r="L83" t="s">
        <v>1139</v>
      </c>
      <c r="M83" s="17" t="str">
        <f t="shared" si="11"/>
        <v>DaysInQtr</v>
      </c>
      <c r="N83" s="18" t="str">
        <f t="shared" si="8"/>
        <v>P</v>
      </c>
      <c r="O83" s="119">
        <f t="shared" si="9"/>
        <v>33</v>
      </c>
      <c r="P83" s="123" t="str">
        <f t="shared" si="12"/>
        <v>12/28/2009</v>
      </c>
      <c r="Q83" s="94" t="str">
        <f t="shared" si="13"/>
        <v>4/19/2010</v>
      </c>
      <c r="R83" s="124" t="str">
        <f t="shared" si="14"/>
        <v>7/12/2010</v>
      </c>
      <c r="S83" s="125" t="str">
        <f t="shared" si="15"/>
        <v>10/ 4/2010</v>
      </c>
      <c r="T83" s="121" t="s">
        <v>1066</v>
      </c>
      <c r="U83" s="98" t="s">
        <v>1067</v>
      </c>
      <c r="V83" s="102" t="s">
        <v>1068</v>
      </c>
      <c r="W83" s="100" t="s">
        <v>1069</v>
      </c>
      <c r="X83" s="107" t="s">
        <v>1070</v>
      </c>
      <c r="Y83" s="101" t="s">
        <v>1071</v>
      </c>
      <c r="Z83" s="101" t="s">
        <v>1072</v>
      </c>
      <c r="AA83" s="107" t="s">
        <v>1073</v>
      </c>
      <c r="AB83" s="101" t="s">
        <v>1074</v>
      </c>
      <c r="AC83" s="101" t="s">
        <v>1075</v>
      </c>
      <c r="AD83" s="107" t="s">
        <v>1076</v>
      </c>
      <c r="AE83" s="101" t="s">
        <v>1077</v>
      </c>
      <c r="AF83" s="101" t="s">
        <v>1078</v>
      </c>
      <c r="AG83" s="109" t="s">
        <v>1079</v>
      </c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</row>
    <row r="84" spans="1:48" ht="15.75" x14ac:dyDescent="0.25">
      <c r="A84" s="1">
        <v>46324</v>
      </c>
      <c r="B84" s="56" t="str">
        <f t="shared" si="10"/>
        <v>DaysInQtr</v>
      </c>
      <c r="C84" s="56" t="s">
        <v>255</v>
      </c>
      <c r="D84" s="111"/>
      <c r="F84" s="1">
        <v>46300</v>
      </c>
      <c r="G84" s="1">
        <v>46327</v>
      </c>
      <c r="H84" t="s">
        <v>99</v>
      </c>
      <c r="I84" t="s">
        <v>150</v>
      </c>
      <c r="J84" t="s">
        <v>12</v>
      </c>
      <c r="L84" t="s">
        <v>1129</v>
      </c>
      <c r="M84" s="17" t="str">
        <f t="shared" si="11"/>
        <v>DaysInQtr</v>
      </c>
      <c r="N84" s="18" t="str">
        <f t="shared" si="8"/>
        <v>F</v>
      </c>
      <c r="O84" s="119">
        <f t="shared" si="9"/>
        <v>25</v>
      </c>
      <c r="P84" s="123" t="str">
        <f t="shared" si="12"/>
        <v>12/29/2025</v>
      </c>
      <c r="Q84" s="94" t="str">
        <f t="shared" si="13"/>
        <v>4/20/2026</v>
      </c>
      <c r="R84" s="124" t="str">
        <f t="shared" si="14"/>
        <v>7/13/2026</v>
      </c>
      <c r="S84" s="125" t="str">
        <f t="shared" si="15"/>
        <v>10/ 5/2026</v>
      </c>
      <c r="T84" s="121" t="s">
        <v>828</v>
      </c>
      <c r="U84" s="98" t="s">
        <v>829</v>
      </c>
      <c r="V84" s="102" t="s">
        <v>830</v>
      </c>
      <c r="W84" s="100" t="s">
        <v>831</v>
      </c>
      <c r="X84" s="107" t="s">
        <v>832</v>
      </c>
      <c r="Y84" s="101" t="s">
        <v>833</v>
      </c>
      <c r="Z84" s="101" t="s">
        <v>834</v>
      </c>
      <c r="AA84" s="107" t="s">
        <v>835</v>
      </c>
      <c r="AB84" s="101" t="s">
        <v>836</v>
      </c>
      <c r="AC84" s="101" t="s">
        <v>837</v>
      </c>
      <c r="AD84" s="107" t="s">
        <v>838</v>
      </c>
      <c r="AE84" s="101" t="s">
        <v>839</v>
      </c>
      <c r="AF84" s="101" t="s">
        <v>840</v>
      </c>
      <c r="AG84" s="109" t="s">
        <v>841</v>
      </c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</row>
    <row r="85" spans="1:48" ht="15.75" x14ac:dyDescent="0.25">
      <c r="A85" s="1">
        <v>45178</v>
      </c>
      <c r="B85" s="56" t="str">
        <f t="shared" si="10"/>
        <v>DaysInQtr</v>
      </c>
      <c r="C85" s="56" t="s">
        <v>255</v>
      </c>
      <c r="D85" s="111"/>
      <c r="F85" s="1">
        <v>45173</v>
      </c>
      <c r="G85" s="1">
        <v>45200</v>
      </c>
      <c r="H85" t="s">
        <v>96</v>
      </c>
      <c r="I85" t="s">
        <v>144</v>
      </c>
      <c r="J85" t="s">
        <v>54</v>
      </c>
      <c r="L85" t="s">
        <v>1115</v>
      </c>
      <c r="M85" s="17" t="str">
        <f t="shared" si="11"/>
        <v>DaysInQtr</v>
      </c>
      <c r="N85" s="18" t="str">
        <f t="shared" si="8"/>
        <v>P</v>
      </c>
      <c r="O85" s="119">
        <f t="shared" si="9"/>
        <v>62</v>
      </c>
      <c r="P85" s="123" t="str">
        <f t="shared" si="12"/>
        <v>12/26/2022</v>
      </c>
      <c r="Q85" s="94" t="str">
        <f t="shared" si="13"/>
        <v>4/17/2023</v>
      </c>
      <c r="R85" s="124" t="str">
        <f t="shared" si="14"/>
        <v>7/10/2023</v>
      </c>
      <c r="S85" s="125" t="str">
        <f t="shared" si="15"/>
        <v>10/ 2/2023</v>
      </c>
      <c r="T85" s="121" t="s">
        <v>1094</v>
      </c>
      <c r="U85" s="98" t="s">
        <v>1095</v>
      </c>
      <c r="V85" s="102" t="s">
        <v>1096</v>
      </c>
      <c r="W85" s="100" t="s">
        <v>1097</v>
      </c>
      <c r="X85" s="107" t="s">
        <v>1098</v>
      </c>
      <c r="Y85" s="101" t="s">
        <v>1099</v>
      </c>
      <c r="Z85" s="101" t="s">
        <v>1100</v>
      </c>
      <c r="AA85" s="107" t="s">
        <v>1101</v>
      </c>
      <c r="AB85" s="101" t="s">
        <v>1102</v>
      </c>
      <c r="AC85" s="101" t="s">
        <v>1103</v>
      </c>
      <c r="AD85" s="107" t="s">
        <v>1104</v>
      </c>
      <c r="AE85" s="101" t="s">
        <v>1105</v>
      </c>
      <c r="AF85" s="101" t="s">
        <v>1106</v>
      </c>
      <c r="AG85" s="109" t="s">
        <v>1107</v>
      </c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</row>
    <row r="86" spans="1:48" ht="15.75" x14ac:dyDescent="0.25">
      <c r="A86" s="1">
        <v>42760</v>
      </c>
      <c r="B86" s="56" t="str">
        <f t="shared" si="10"/>
        <v>DaysInQtr</v>
      </c>
      <c r="C86" s="56" t="s">
        <v>255</v>
      </c>
      <c r="D86" s="111"/>
      <c r="F86" s="1">
        <v>42758</v>
      </c>
      <c r="G86" s="1">
        <v>42785</v>
      </c>
      <c r="H86" t="s">
        <v>70</v>
      </c>
      <c r="I86" t="s">
        <v>143</v>
      </c>
      <c r="J86" t="s">
        <v>17</v>
      </c>
      <c r="L86" t="s">
        <v>1114</v>
      </c>
      <c r="M86" s="17" t="str">
        <f t="shared" si="11"/>
        <v>DaysInQtr</v>
      </c>
      <c r="N86" s="18" t="str">
        <f t="shared" si="8"/>
        <v>P</v>
      </c>
      <c r="O86" s="119">
        <f t="shared" si="9"/>
        <v>31</v>
      </c>
      <c r="P86" s="123" t="str">
        <f t="shared" si="12"/>
        <v>12/26/2016</v>
      </c>
      <c r="Q86" s="94" t="str">
        <f t="shared" si="13"/>
        <v>4/17/2017</v>
      </c>
      <c r="R86" s="124" t="str">
        <f t="shared" si="14"/>
        <v>7/10/2017</v>
      </c>
      <c r="S86" s="125" t="str">
        <f t="shared" si="15"/>
        <v>10/ 2/2017</v>
      </c>
      <c r="T86" s="121" t="s">
        <v>772</v>
      </c>
      <c r="U86" s="98" t="s">
        <v>773</v>
      </c>
      <c r="V86" s="102" t="s">
        <v>774</v>
      </c>
      <c r="W86" s="100" t="s">
        <v>775</v>
      </c>
      <c r="X86" s="107" t="s">
        <v>776</v>
      </c>
      <c r="Y86" s="101" t="s">
        <v>777</v>
      </c>
      <c r="Z86" s="101" t="s">
        <v>778</v>
      </c>
      <c r="AA86" s="107" t="s">
        <v>779</v>
      </c>
      <c r="AB86" s="101" t="s">
        <v>780</v>
      </c>
      <c r="AC86" s="101" t="s">
        <v>781</v>
      </c>
      <c r="AD86" s="107" t="s">
        <v>782</v>
      </c>
      <c r="AE86" s="101" t="s">
        <v>783</v>
      </c>
      <c r="AF86" s="101" t="s">
        <v>784</v>
      </c>
      <c r="AG86" s="109" t="s">
        <v>785</v>
      </c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</row>
    <row r="87" spans="1:48" ht="15.75" x14ac:dyDescent="0.25">
      <c r="A87" s="112"/>
      <c r="B87" s="57"/>
      <c r="C87" s="57"/>
      <c r="D87" s="111"/>
      <c r="F87" s="1"/>
      <c r="G87" s="1"/>
      <c r="M87" s="17"/>
      <c r="N87" s="19"/>
      <c r="O87" s="96"/>
      <c r="P87" s="3"/>
      <c r="Q87" s="3"/>
      <c r="R87" s="3"/>
      <c r="S87" s="3"/>
    </row>
    <row r="88" spans="1:48" ht="15.75" x14ac:dyDescent="0.25">
      <c r="A88" s="112"/>
      <c r="B88" s="57"/>
      <c r="C88" s="57"/>
      <c r="D88" s="111"/>
      <c r="F88" s="1"/>
      <c r="G88" s="1"/>
      <c r="M88" s="17"/>
      <c r="N88" s="19"/>
      <c r="O88" s="96"/>
      <c r="P88" s="3"/>
      <c r="Q88" s="3"/>
      <c r="R88" s="3"/>
      <c r="S88" s="3"/>
    </row>
    <row r="89" spans="1:48" ht="15.75" x14ac:dyDescent="0.25">
      <c r="A89" s="112"/>
      <c r="B89" s="57"/>
      <c r="C89" s="57"/>
      <c r="D89" s="111"/>
      <c r="F89" s="1"/>
      <c r="G89" s="1"/>
      <c r="M89" s="17"/>
      <c r="N89" s="19"/>
      <c r="O89" s="96"/>
      <c r="P89" s="3"/>
      <c r="Q89" s="3"/>
      <c r="R89" s="3"/>
      <c r="S89" s="3"/>
    </row>
    <row r="90" spans="1:48" ht="15.75" x14ac:dyDescent="0.25">
      <c r="A90" s="112"/>
      <c r="B90" s="57"/>
      <c r="C90" s="57"/>
      <c r="D90" s="111"/>
      <c r="F90" s="1"/>
      <c r="G90" s="1"/>
      <c r="M90" s="17"/>
      <c r="N90" s="19"/>
      <c r="O90" s="96"/>
      <c r="P90" s="3"/>
      <c r="Q90" s="3"/>
      <c r="R90" s="3"/>
      <c r="S90" s="3"/>
    </row>
    <row r="91" spans="1:48" ht="15.75" x14ac:dyDescent="0.25">
      <c r="A91" s="112"/>
      <c r="B91" s="57"/>
      <c r="C91" s="57"/>
      <c r="D91" s="111"/>
      <c r="F91" s="1"/>
      <c r="G91" s="1"/>
      <c r="M91" s="17"/>
      <c r="N91" s="19"/>
      <c r="O91" s="96"/>
      <c r="P91" s="3"/>
      <c r="Q91" s="3"/>
      <c r="R91" s="3"/>
      <c r="S91" s="3"/>
    </row>
    <row r="92" spans="1:48" ht="15.75" x14ac:dyDescent="0.25">
      <c r="A92" s="112"/>
      <c r="B92" s="57"/>
      <c r="C92" s="57"/>
      <c r="D92" s="111"/>
      <c r="F92" s="1"/>
      <c r="G92" s="1"/>
      <c r="M92" s="17"/>
      <c r="N92" s="19"/>
      <c r="O92" s="96"/>
      <c r="P92" s="3"/>
      <c r="Q92" s="3"/>
      <c r="R92" s="3"/>
      <c r="S92" s="3"/>
    </row>
    <row r="93" spans="1:48" ht="15.75" x14ac:dyDescent="0.25">
      <c r="A93" s="112"/>
      <c r="B93" s="57"/>
      <c r="C93" s="57"/>
      <c r="D93" s="111"/>
      <c r="F93" s="1"/>
      <c r="G93" s="1"/>
      <c r="M93" s="17"/>
      <c r="N93" s="19"/>
      <c r="O93" s="96"/>
      <c r="P93" s="3"/>
      <c r="Q93" s="3"/>
      <c r="R93" s="3"/>
      <c r="S93" s="3"/>
    </row>
    <row r="94" spans="1:48" ht="15.75" x14ac:dyDescent="0.25">
      <c r="A94" s="112"/>
      <c r="B94" s="57"/>
      <c r="C94" s="57"/>
      <c r="D94" s="111"/>
      <c r="F94" s="1"/>
      <c r="G94" s="1"/>
      <c r="M94" s="17"/>
      <c r="N94" s="19"/>
      <c r="O94" s="96"/>
      <c r="P94" s="3"/>
      <c r="Q94" s="3"/>
      <c r="R94" s="3"/>
      <c r="S94" s="3"/>
    </row>
    <row r="95" spans="1:48" ht="15.75" x14ac:dyDescent="0.25">
      <c r="A95" s="112"/>
      <c r="B95" s="57"/>
      <c r="C95" s="57"/>
      <c r="D95" s="111"/>
      <c r="F95" s="1"/>
      <c r="G95" s="1"/>
      <c r="M95" s="17"/>
      <c r="N95" s="19"/>
      <c r="O95" s="96"/>
      <c r="P95" s="3"/>
      <c r="Q95" s="3"/>
      <c r="R95" s="3"/>
      <c r="S95" s="3"/>
    </row>
    <row r="96" spans="1:48" ht="15.75" x14ac:dyDescent="0.25">
      <c r="A96" s="112"/>
      <c r="B96" s="57"/>
      <c r="C96" s="57"/>
      <c r="D96" s="111"/>
      <c r="F96" s="1"/>
      <c r="G96" s="1"/>
      <c r="M96" s="17"/>
      <c r="N96" s="19"/>
      <c r="O96" s="96"/>
      <c r="P96" s="3"/>
      <c r="Q96" s="3"/>
      <c r="R96" s="3"/>
      <c r="S96" s="3"/>
    </row>
    <row r="97" spans="1:19" ht="15.75" x14ac:dyDescent="0.25">
      <c r="A97" s="112"/>
      <c r="B97" s="57"/>
      <c r="C97" s="57"/>
      <c r="D97" s="111"/>
      <c r="F97" s="1"/>
      <c r="G97" s="1"/>
      <c r="M97" s="17"/>
      <c r="N97" s="19"/>
      <c r="O97" s="96"/>
      <c r="P97" s="3"/>
      <c r="Q97" s="3"/>
      <c r="R97" s="3"/>
      <c r="S97" s="3"/>
    </row>
    <row r="98" spans="1:19" ht="15.75" x14ac:dyDescent="0.25">
      <c r="A98" s="112"/>
      <c r="B98" s="57"/>
      <c r="C98" s="57"/>
      <c r="D98" s="111"/>
      <c r="F98" s="1"/>
      <c r="G98" s="1"/>
      <c r="M98" s="17"/>
      <c r="N98" s="19"/>
      <c r="O98" s="96"/>
      <c r="P98" s="3"/>
      <c r="Q98" s="3"/>
      <c r="R98" s="3"/>
      <c r="S98" s="3"/>
    </row>
    <row r="99" spans="1:19" ht="15.75" x14ac:dyDescent="0.25">
      <c r="A99" s="112"/>
      <c r="B99" s="57"/>
      <c r="C99" s="57"/>
      <c r="D99" s="111"/>
      <c r="F99" s="1"/>
      <c r="G99" s="1"/>
      <c r="M99" s="17"/>
      <c r="N99" s="19"/>
      <c r="O99" s="96"/>
      <c r="P99" s="3"/>
      <c r="Q99" s="3"/>
      <c r="R99" s="3"/>
      <c r="S99" s="3"/>
    </row>
    <row r="100" spans="1:19" ht="15.75" x14ac:dyDescent="0.25">
      <c r="A100" s="112"/>
      <c r="B100" s="57"/>
      <c r="C100" s="57"/>
      <c r="D100" s="111"/>
      <c r="F100" s="1"/>
      <c r="G100" s="1"/>
      <c r="M100" s="17"/>
      <c r="N100" s="19"/>
      <c r="O100" s="96"/>
      <c r="P100" s="3"/>
      <c r="Q100" s="3"/>
      <c r="R100" s="3"/>
      <c r="S100" s="3"/>
    </row>
    <row r="101" spans="1:19" ht="15.75" x14ac:dyDescent="0.25">
      <c r="A101" s="112"/>
      <c r="B101" s="57"/>
      <c r="C101" s="57"/>
      <c r="D101" s="111"/>
      <c r="F101" s="1"/>
      <c r="G101" s="1"/>
      <c r="M101" s="17"/>
      <c r="N101" s="19"/>
      <c r="O101" s="96"/>
      <c r="P101" s="3"/>
      <c r="Q101" s="3"/>
      <c r="R101" s="3"/>
      <c r="S101" s="3"/>
    </row>
    <row r="102" spans="1:19" ht="15.75" x14ac:dyDescent="0.25">
      <c r="A102" s="112"/>
      <c r="B102" s="57"/>
      <c r="C102" s="57"/>
      <c r="D102" s="111"/>
      <c r="F102" s="1"/>
      <c r="G102" s="1"/>
      <c r="M102" s="17"/>
      <c r="N102" s="19"/>
      <c r="O102" s="96"/>
      <c r="P102" s="3"/>
      <c r="Q102" s="3"/>
      <c r="R102" s="3"/>
      <c r="S102" s="3"/>
    </row>
    <row r="103" spans="1:19" ht="15.75" x14ac:dyDescent="0.25">
      <c r="A103" s="112"/>
      <c r="B103" s="57"/>
      <c r="C103" s="57"/>
      <c r="D103" s="111"/>
      <c r="F103" s="1"/>
      <c r="G103" s="1"/>
      <c r="M103" s="17"/>
      <c r="N103" s="19"/>
      <c r="O103" s="96"/>
      <c r="P103" s="3"/>
      <c r="Q103" s="3"/>
      <c r="R103" s="3"/>
      <c r="S103" s="3"/>
    </row>
    <row r="104" spans="1:19" ht="15.75" x14ac:dyDescent="0.25">
      <c r="A104" s="112"/>
      <c r="B104" s="57"/>
      <c r="C104" s="57"/>
      <c r="D104" s="111"/>
      <c r="F104" s="1"/>
      <c r="G104" s="1"/>
      <c r="M104" s="17"/>
      <c r="N104" s="19"/>
      <c r="O104" s="96"/>
      <c r="P104" s="3"/>
      <c r="Q104" s="3"/>
      <c r="R104" s="3"/>
      <c r="S104" s="3"/>
    </row>
    <row r="105" spans="1:19" ht="15.75" x14ac:dyDescent="0.25">
      <c r="A105" s="112"/>
      <c r="B105" s="57"/>
      <c r="C105" s="57"/>
      <c r="D105" s="111"/>
      <c r="F105" s="1"/>
      <c r="G105" s="1"/>
      <c r="M105" s="17"/>
      <c r="N105" s="19"/>
      <c r="O105" s="96"/>
      <c r="P105" s="3"/>
      <c r="Q105" s="3"/>
      <c r="R105" s="3"/>
      <c r="S105" s="3"/>
    </row>
    <row r="106" spans="1:19" x14ac:dyDescent="0.25">
      <c r="A106" s="112"/>
      <c r="B106" s="57"/>
      <c r="C106" s="57"/>
      <c r="D106" s="111"/>
      <c r="F106" s="1"/>
      <c r="G106" s="1"/>
      <c r="M106" s="17"/>
    </row>
    <row r="107" spans="1:19" x14ac:dyDescent="0.25">
      <c r="A107" s="112"/>
      <c r="B107" s="57"/>
      <c r="C107" s="57"/>
      <c r="D107" s="111"/>
      <c r="F107" s="1"/>
      <c r="G107" s="1"/>
      <c r="M107" s="1"/>
    </row>
    <row r="108" spans="1:19" x14ac:dyDescent="0.25">
      <c r="A108" s="112"/>
      <c r="B108" s="57"/>
      <c r="C108" s="57"/>
      <c r="D108" s="111"/>
      <c r="F108" s="1"/>
      <c r="G108" s="1"/>
      <c r="M108" s="1"/>
    </row>
    <row r="109" spans="1:19" x14ac:dyDescent="0.25">
      <c r="A109" s="112"/>
      <c r="B109" s="57"/>
      <c r="C109" s="57"/>
      <c r="D109" s="111"/>
      <c r="F109" s="1"/>
      <c r="G109" s="1"/>
      <c r="M109" s="1"/>
    </row>
    <row r="110" spans="1:19" x14ac:dyDescent="0.25">
      <c r="A110" s="112"/>
      <c r="B110" s="57"/>
      <c r="C110" s="57"/>
      <c r="D110" s="111"/>
      <c r="F110" s="1"/>
      <c r="G110" s="1"/>
      <c r="M110" s="1"/>
    </row>
    <row r="111" spans="1:19" x14ac:dyDescent="0.25">
      <c r="A111" s="112"/>
      <c r="B111" s="57"/>
      <c r="C111" s="57"/>
      <c r="D111" s="111"/>
      <c r="F111" s="1"/>
      <c r="G111" s="1"/>
      <c r="M111" s="1"/>
    </row>
    <row r="112" spans="1:19" x14ac:dyDescent="0.25">
      <c r="A112" s="112"/>
      <c r="B112" s="57"/>
      <c r="C112" s="57"/>
      <c r="D112" s="111"/>
      <c r="F112" s="1"/>
      <c r="G112" s="1"/>
      <c r="M112" s="1"/>
    </row>
    <row r="113" spans="1:13" x14ac:dyDescent="0.25">
      <c r="A113" s="112"/>
      <c r="B113" s="57"/>
      <c r="C113" s="57"/>
      <c r="D113" s="111"/>
      <c r="F113" s="1"/>
      <c r="G113" s="1"/>
      <c r="M113" s="1"/>
    </row>
    <row r="114" spans="1:13" x14ac:dyDescent="0.25">
      <c r="A114" s="112"/>
      <c r="B114" s="57"/>
      <c r="C114" s="57"/>
      <c r="D114" s="111"/>
      <c r="F114" s="1"/>
      <c r="G114" s="1"/>
      <c r="M114" s="1"/>
    </row>
    <row r="115" spans="1:13" x14ac:dyDescent="0.25">
      <c r="A115" s="112"/>
      <c r="B115" s="57"/>
      <c r="C115" s="57"/>
      <c r="D115" s="111"/>
      <c r="F115" s="1"/>
      <c r="G115" s="1"/>
      <c r="M115" s="1"/>
    </row>
    <row r="116" spans="1:13" x14ac:dyDescent="0.25">
      <c r="A116" s="112"/>
      <c r="B116" s="57"/>
      <c r="C116" s="57"/>
      <c r="D116" s="111"/>
      <c r="F116" s="1"/>
      <c r="G116" s="1"/>
      <c r="M116" s="1"/>
    </row>
    <row r="117" spans="1:13" x14ac:dyDescent="0.25">
      <c r="A117" s="112"/>
      <c r="B117" s="57"/>
      <c r="C117" s="57"/>
      <c r="D117" s="111"/>
      <c r="F117" s="1"/>
      <c r="G117" s="1"/>
      <c r="M117" s="1"/>
    </row>
    <row r="118" spans="1:13" x14ac:dyDescent="0.25">
      <c r="A118" s="112"/>
      <c r="B118" s="57"/>
      <c r="C118" s="57"/>
      <c r="D118" s="111"/>
      <c r="F118" s="1"/>
      <c r="G118" s="1"/>
      <c r="M118" s="1"/>
    </row>
    <row r="119" spans="1:13" x14ac:dyDescent="0.25">
      <c r="A119" s="112"/>
      <c r="B119" s="57"/>
      <c r="C119" s="57"/>
      <c r="D119" s="111"/>
      <c r="F119" s="1"/>
      <c r="G119" s="1"/>
      <c r="M119" s="1"/>
    </row>
    <row r="120" spans="1:13" x14ac:dyDescent="0.25">
      <c r="A120" s="112"/>
      <c r="B120" s="57"/>
      <c r="C120" s="57"/>
      <c r="D120" s="111"/>
      <c r="F120" s="1"/>
      <c r="G120" s="1"/>
      <c r="M120" s="1"/>
    </row>
    <row r="121" spans="1:13" x14ac:dyDescent="0.25">
      <c r="A121" s="112"/>
      <c r="B121" s="57"/>
      <c r="C121" s="57"/>
      <c r="D121" s="111"/>
      <c r="F121" s="1"/>
      <c r="G121" s="1"/>
    </row>
    <row r="122" spans="1:13" x14ac:dyDescent="0.25">
      <c r="A122" s="112"/>
      <c r="B122" s="57"/>
      <c r="C122" s="57"/>
      <c r="D122" s="111"/>
      <c r="F122" s="1"/>
      <c r="G122" s="1"/>
    </row>
    <row r="123" spans="1:13" x14ac:dyDescent="0.25">
      <c r="A123" s="112"/>
      <c r="B123" s="57"/>
      <c r="C123" s="57"/>
      <c r="D123" s="111"/>
      <c r="F123" s="1"/>
      <c r="G123" s="1"/>
    </row>
    <row r="124" spans="1:13" x14ac:dyDescent="0.25">
      <c r="A124" s="112"/>
      <c r="B124" s="57"/>
      <c r="C124" s="57"/>
      <c r="D124" s="111"/>
      <c r="F124" s="1"/>
      <c r="G124" s="1"/>
    </row>
    <row r="125" spans="1:13" x14ac:dyDescent="0.25">
      <c r="A125" s="112"/>
      <c r="B125" s="57"/>
      <c r="C125" s="57"/>
      <c r="D125" s="111"/>
      <c r="F125" s="1"/>
      <c r="G125" s="1"/>
    </row>
    <row r="126" spans="1:13" x14ac:dyDescent="0.25">
      <c r="A126" s="112"/>
      <c r="B126" s="57"/>
      <c r="C126" s="57"/>
      <c r="D126" s="111"/>
      <c r="F126" s="1"/>
      <c r="G126" s="1"/>
    </row>
    <row r="127" spans="1:13" x14ac:dyDescent="0.25">
      <c r="A127" s="112"/>
      <c r="B127" s="57"/>
      <c r="C127" s="57"/>
      <c r="D127" s="111"/>
      <c r="F127" s="1"/>
      <c r="G127" s="1"/>
    </row>
    <row r="128" spans="1:13" x14ac:dyDescent="0.25">
      <c r="A128" s="112"/>
      <c r="B128" s="57"/>
      <c r="C128" s="57"/>
      <c r="D128" s="111"/>
      <c r="F128" s="1"/>
      <c r="G128" s="1"/>
    </row>
    <row r="129" spans="1:7" x14ac:dyDescent="0.25">
      <c r="A129" s="112"/>
      <c r="B129" s="57"/>
      <c r="C129" s="57"/>
      <c r="D129" s="111"/>
      <c r="F129" s="1"/>
      <c r="G129" s="1"/>
    </row>
    <row r="130" spans="1:7" x14ac:dyDescent="0.25">
      <c r="A130" s="112"/>
      <c r="B130" s="57"/>
      <c r="C130" s="57"/>
      <c r="D130" s="111"/>
      <c r="F130" s="1"/>
      <c r="G130" s="1"/>
    </row>
    <row r="131" spans="1:7" x14ac:dyDescent="0.25">
      <c r="A131" s="112"/>
      <c r="B131" s="57"/>
      <c r="C131" s="57"/>
      <c r="D131" s="111"/>
      <c r="F131" s="1"/>
      <c r="G131" s="1"/>
    </row>
    <row r="132" spans="1:7" x14ac:dyDescent="0.25">
      <c r="A132" s="112"/>
      <c r="B132" s="57"/>
      <c r="C132" s="57"/>
      <c r="D132" s="111"/>
      <c r="F132" s="1"/>
      <c r="G132" s="1"/>
    </row>
    <row r="133" spans="1:7" x14ac:dyDescent="0.25">
      <c r="A133" s="112"/>
      <c r="B133" s="57"/>
      <c r="C133" s="57"/>
      <c r="D133" s="111"/>
      <c r="F133" s="1"/>
      <c r="G133" s="1"/>
    </row>
    <row r="134" spans="1:7" x14ac:dyDescent="0.25">
      <c r="A134" s="112"/>
      <c r="B134" s="57"/>
      <c r="C134" s="57"/>
      <c r="D134" s="111"/>
      <c r="F134" s="1"/>
      <c r="G134" s="1"/>
    </row>
    <row r="135" spans="1:7" x14ac:dyDescent="0.25">
      <c r="A135" s="112"/>
      <c r="B135" s="57"/>
      <c r="C135" s="57"/>
      <c r="D135" s="111"/>
      <c r="F135" s="1"/>
      <c r="G135" s="1"/>
    </row>
    <row r="136" spans="1:7" x14ac:dyDescent="0.25">
      <c r="A136" s="112"/>
      <c r="B136" s="57"/>
      <c r="C136" s="57"/>
      <c r="D136" s="111"/>
      <c r="F136" s="1"/>
      <c r="G136" s="1"/>
    </row>
    <row r="137" spans="1:7" x14ac:dyDescent="0.25">
      <c r="A137" s="112"/>
      <c r="B137" s="57"/>
      <c r="C137" s="57"/>
      <c r="D137" s="111"/>
      <c r="F137" s="1"/>
      <c r="G137" s="1"/>
    </row>
    <row r="138" spans="1:7" x14ac:dyDescent="0.25">
      <c r="A138" s="112"/>
      <c r="B138" s="57"/>
      <c r="C138" s="57"/>
      <c r="D138" s="111"/>
      <c r="F138" s="1"/>
      <c r="G138" s="1"/>
    </row>
    <row r="139" spans="1:7" x14ac:dyDescent="0.25">
      <c r="A139" s="110"/>
      <c r="B139" s="110"/>
      <c r="C139" s="111"/>
      <c r="D139" s="111"/>
      <c r="F139" s="1"/>
      <c r="G139" s="1"/>
    </row>
    <row r="140" spans="1:7" x14ac:dyDescent="0.25">
      <c r="A140" s="110"/>
      <c r="B140" s="110"/>
      <c r="C140" s="111"/>
      <c r="D140" s="111"/>
      <c r="F140" s="1"/>
      <c r="G140" s="1"/>
    </row>
    <row r="141" spans="1:7" x14ac:dyDescent="0.25">
      <c r="A141" s="110"/>
      <c r="B141" s="110"/>
      <c r="C141" s="111"/>
      <c r="D141" s="111"/>
      <c r="F141" s="1"/>
      <c r="G141" s="1"/>
    </row>
    <row r="142" spans="1:7" x14ac:dyDescent="0.25">
      <c r="A142" s="110"/>
      <c r="B142" s="110"/>
      <c r="C142" s="111"/>
      <c r="D142" s="111"/>
      <c r="F142" s="1"/>
      <c r="G142" s="1"/>
    </row>
    <row r="143" spans="1:7" x14ac:dyDescent="0.25">
      <c r="A143" s="110"/>
      <c r="B143" s="110"/>
      <c r="C143" s="111"/>
      <c r="D143" s="111"/>
      <c r="F143" s="1"/>
      <c r="G143" s="1"/>
    </row>
    <row r="144" spans="1:7" x14ac:dyDescent="0.25">
      <c r="A144" s="110"/>
      <c r="B144" s="110"/>
      <c r="C144" s="111"/>
      <c r="D144" s="111"/>
      <c r="F144" s="1"/>
      <c r="G144" s="1"/>
    </row>
    <row r="145" spans="1:7" x14ac:dyDescent="0.25">
      <c r="A145" s="110"/>
      <c r="B145" s="110"/>
      <c r="C145" s="111"/>
      <c r="D145" s="111"/>
      <c r="F145" s="1"/>
      <c r="G145" s="1"/>
    </row>
    <row r="146" spans="1:7" x14ac:dyDescent="0.25">
      <c r="A146" s="110"/>
      <c r="B146" s="110"/>
      <c r="C146" s="111"/>
      <c r="D146" s="111"/>
      <c r="F146" s="1"/>
      <c r="G146" s="1"/>
    </row>
    <row r="147" spans="1:7" x14ac:dyDescent="0.25">
      <c r="A147" s="110"/>
      <c r="B147" s="110"/>
      <c r="C147" s="111"/>
      <c r="D147" s="111"/>
      <c r="F147" s="1"/>
      <c r="G147" s="1"/>
    </row>
    <row r="148" spans="1:7" x14ac:dyDescent="0.25">
      <c r="A148" s="110"/>
      <c r="B148" s="110"/>
      <c r="C148" s="111"/>
      <c r="D148" s="111"/>
      <c r="F148" s="1"/>
      <c r="G148" s="1"/>
    </row>
    <row r="149" spans="1:7" x14ac:dyDescent="0.25">
      <c r="A149" s="110"/>
      <c r="B149" s="110"/>
      <c r="C149" s="111"/>
      <c r="D149" s="111"/>
      <c r="F149" s="1"/>
      <c r="G149" s="1"/>
    </row>
    <row r="150" spans="1:7" x14ac:dyDescent="0.25">
      <c r="A150" s="110"/>
      <c r="B150" s="110"/>
      <c r="C150" s="111"/>
      <c r="D150" s="111"/>
      <c r="F150" s="1"/>
      <c r="G150" s="1"/>
    </row>
    <row r="151" spans="1:7" x14ac:dyDescent="0.25">
      <c r="A151" s="110"/>
      <c r="B151" s="110"/>
      <c r="C151" s="111"/>
      <c r="D151" s="111"/>
      <c r="F151" s="1"/>
      <c r="G151" s="1"/>
    </row>
    <row r="152" spans="1:7" x14ac:dyDescent="0.25">
      <c r="A152" s="110"/>
      <c r="B152" s="110"/>
      <c r="C152" s="111"/>
      <c r="D152" s="111"/>
      <c r="F152" s="1"/>
      <c r="G152" s="1"/>
    </row>
    <row r="153" spans="1:7" x14ac:dyDescent="0.25">
      <c r="A153" s="110"/>
      <c r="B153" s="110"/>
      <c r="C153" s="111"/>
      <c r="D153" s="111"/>
      <c r="F153" s="1"/>
      <c r="G153" s="1"/>
    </row>
    <row r="154" spans="1:7" x14ac:dyDescent="0.25">
      <c r="A154" s="110"/>
      <c r="B154" s="110"/>
      <c r="C154" s="111"/>
      <c r="D154" s="111"/>
      <c r="F154" s="1"/>
      <c r="G154" s="1"/>
    </row>
    <row r="155" spans="1:7" x14ac:dyDescent="0.25">
      <c r="A155" s="110"/>
      <c r="B155" s="110"/>
      <c r="C155" s="111"/>
      <c r="D155" s="111"/>
      <c r="F155" s="1"/>
      <c r="G155" s="1"/>
    </row>
    <row r="156" spans="1:7" x14ac:dyDescent="0.25">
      <c r="A156" s="110"/>
      <c r="B156" s="110"/>
      <c r="C156" s="111"/>
      <c r="D156" s="111"/>
      <c r="F156" s="1"/>
      <c r="G156" s="1"/>
    </row>
    <row r="157" spans="1:7" x14ac:dyDescent="0.25">
      <c r="A157" s="110"/>
      <c r="B157" s="110"/>
      <c r="C157" s="111"/>
      <c r="D157" s="111"/>
      <c r="F157" s="1"/>
      <c r="G157" s="1"/>
    </row>
    <row r="158" spans="1:7" x14ac:dyDescent="0.25">
      <c r="A158" s="110"/>
      <c r="B158" s="110"/>
      <c r="C158" s="111"/>
      <c r="D158" s="111"/>
      <c r="F158" s="1"/>
      <c r="G158" s="1"/>
    </row>
    <row r="159" spans="1:7" x14ac:dyDescent="0.25">
      <c r="A159" s="110"/>
      <c r="B159" s="110"/>
      <c r="C159" s="111"/>
      <c r="D159" s="111"/>
      <c r="F159" s="1"/>
      <c r="G159" s="1"/>
    </row>
    <row r="160" spans="1:7" x14ac:dyDescent="0.25">
      <c r="A160" s="110"/>
      <c r="B160" s="110"/>
      <c r="C160" s="111"/>
      <c r="D160" s="111"/>
      <c r="F160" s="1"/>
      <c r="G160" s="1"/>
    </row>
    <row r="161" spans="1:7" x14ac:dyDescent="0.25">
      <c r="A161" s="110"/>
      <c r="B161" s="110"/>
      <c r="C161" s="111"/>
      <c r="D161" s="111"/>
      <c r="F161" s="1"/>
      <c r="G161" s="1"/>
    </row>
    <row r="162" spans="1:7" x14ac:dyDescent="0.25">
      <c r="A162" s="110"/>
      <c r="B162" s="110"/>
      <c r="C162" s="111"/>
      <c r="D162" s="111"/>
      <c r="F162" s="1"/>
      <c r="G162" s="1"/>
    </row>
    <row r="163" spans="1:7" x14ac:dyDescent="0.25">
      <c r="A163" s="110"/>
      <c r="B163" s="110"/>
      <c r="C163" s="111"/>
      <c r="D163" s="111"/>
      <c r="F163" s="1"/>
      <c r="G163" s="1"/>
    </row>
    <row r="164" spans="1:7" x14ac:dyDescent="0.25">
      <c r="A164" s="110"/>
      <c r="B164" s="110"/>
      <c r="C164" s="111"/>
      <c r="D164" s="111"/>
      <c r="F164" s="1"/>
      <c r="G164" s="1"/>
    </row>
    <row r="165" spans="1:7" x14ac:dyDescent="0.25">
      <c r="A165" s="110"/>
      <c r="B165" s="110"/>
      <c r="C165" s="111"/>
      <c r="D165" s="111"/>
      <c r="F165" s="1"/>
      <c r="G165" s="1"/>
    </row>
    <row r="166" spans="1:7" x14ac:dyDescent="0.25">
      <c r="A166" s="110"/>
      <c r="B166" s="110"/>
      <c r="C166" s="111"/>
      <c r="D166" s="11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F410" s="1"/>
      <c r="G410" s="1"/>
    </row>
    <row r="411" spans="1:7" x14ac:dyDescent="0.25">
      <c r="A411" s="1"/>
      <c r="B411" s="1"/>
      <c r="F411" s="1"/>
      <c r="G411" s="1"/>
    </row>
    <row r="412" spans="1:7" x14ac:dyDescent="0.25">
      <c r="A412" s="1"/>
      <c r="B412" s="1"/>
      <c r="F412" s="1"/>
      <c r="G412" s="1"/>
    </row>
    <row r="413" spans="1:7" x14ac:dyDescent="0.25">
      <c r="A413" s="1"/>
      <c r="B413" s="1"/>
      <c r="F413" s="1"/>
      <c r="G413" s="1"/>
    </row>
    <row r="414" spans="1:7" x14ac:dyDescent="0.25">
      <c r="A414" s="1"/>
      <c r="B414" s="1"/>
      <c r="F414" s="1"/>
      <c r="G414" s="1"/>
    </row>
    <row r="415" spans="1:7" x14ac:dyDescent="0.25">
      <c r="A415" s="1"/>
      <c r="B415" s="1"/>
      <c r="F415" s="1"/>
      <c r="G415" s="1"/>
    </row>
    <row r="416" spans="1:7" x14ac:dyDescent="0.25">
      <c r="A416" s="1"/>
      <c r="B416" s="1"/>
      <c r="G416" s="1"/>
    </row>
    <row r="417" spans="1:7" x14ac:dyDescent="0.25">
      <c r="A417" s="1"/>
      <c r="B417" s="1"/>
      <c r="G417" s="1"/>
    </row>
    <row r="418" spans="1:7" x14ac:dyDescent="0.25">
      <c r="A418" s="1"/>
      <c r="B418" s="1"/>
      <c r="G418" s="1"/>
    </row>
  </sheetData>
  <mergeCells count="3">
    <mergeCell ref="A5:D5"/>
    <mergeCell ref="F5:J5"/>
    <mergeCell ref="L5:S5"/>
  </mergeCells>
  <conditionalFormatting sqref="N8:O105">
    <cfRule type="cellIs" dxfId="15" priority="3" operator="equal">
      <formula>"F"</formula>
    </cfRule>
  </conditionalFormatting>
  <conditionalFormatting sqref="V8:V86">
    <cfRule type="cellIs" dxfId="14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54273" r:id="rId4" name="ExecuteQueries"/>
      </mc:Fallback>
    </mc:AlternateContent>
    <mc:AlternateContent xmlns:mc="http://schemas.openxmlformats.org/markup-compatibility/2006">
      <mc:Choice Requires="x14">
        <control shapeId="54274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4</xdr:col>
                <xdr:colOff>9525</xdr:colOff>
                <xdr:row>2</xdr:row>
                <xdr:rowOff>104775</xdr:rowOff>
              </to>
            </anchor>
          </controlPr>
        </control>
      </mc:Choice>
      <mc:Fallback>
        <control shapeId="54274" r:id="rId6" name="ClearBt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9" tint="-0.249977111117893"/>
  </sheetPr>
  <dimension ref="A1:R425"/>
  <sheetViews>
    <sheetView workbookViewId="0">
      <selection activeCell="C59" sqref="C59"/>
    </sheetView>
  </sheetViews>
  <sheetFormatPr defaultRowHeight="15" x14ac:dyDescent="0.25"/>
  <cols>
    <col min="1" max="1" width="10.7109375" bestFit="1" customWidth="1"/>
    <col min="2" max="2" width="20.7109375" customWidth="1"/>
    <col min="3" max="3" width="24.7109375" customWidth="1"/>
    <col min="4" max="4" width="21.710937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47.7109375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43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274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0">
        <v>41274</v>
      </c>
      <c r="B8" s="5" t="s">
        <v>250</v>
      </c>
      <c r="C8" s="88"/>
      <c r="D8" s="5"/>
      <c r="E8" s="5"/>
      <c r="F8" s="50">
        <v>41274</v>
      </c>
      <c r="G8" s="50">
        <v>41301</v>
      </c>
      <c r="H8" s="5" t="s">
        <v>67</v>
      </c>
      <c r="I8" s="5" t="s">
        <v>17</v>
      </c>
      <c r="J8" s="5" t="s">
        <v>17</v>
      </c>
      <c r="K8" s="5"/>
      <c r="L8" s="5" t="s">
        <v>251</v>
      </c>
      <c r="M8" s="17"/>
      <c r="N8" s="18"/>
      <c r="O8" s="3"/>
      <c r="R8" t="s">
        <v>24</v>
      </c>
    </row>
    <row r="9" spans="1:18" ht="15.75" x14ac:dyDescent="0.25">
      <c r="A9" s="50">
        <v>41638</v>
      </c>
      <c r="B9" s="5" t="s">
        <v>250</v>
      </c>
      <c r="C9" s="88"/>
      <c r="D9" s="5"/>
      <c r="E9" s="5"/>
      <c r="F9" s="50">
        <v>41638</v>
      </c>
      <c r="G9" s="50">
        <v>41665</v>
      </c>
      <c r="H9" s="5" t="s">
        <v>92</v>
      </c>
      <c r="I9" s="5" t="s">
        <v>17</v>
      </c>
      <c r="J9" s="5" t="s">
        <v>17</v>
      </c>
      <c r="K9" s="5"/>
      <c r="L9" s="5" t="s">
        <v>252</v>
      </c>
      <c r="M9" s="17"/>
      <c r="N9" s="18"/>
      <c r="O9" s="3"/>
      <c r="R9" t="s">
        <v>26</v>
      </c>
    </row>
    <row r="10" spans="1:18" ht="15.75" x14ac:dyDescent="0.25">
      <c r="A10" s="50">
        <v>42368</v>
      </c>
      <c r="B10" s="5" t="s">
        <v>250</v>
      </c>
      <c r="C10" s="88"/>
      <c r="D10" s="5"/>
      <c r="E10" s="5"/>
      <c r="F10" s="50">
        <v>42366</v>
      </c>
      <c r="G10" s="50">
        <v>42393</v>
      </c>
      <c r="H10" s="5" t="s">
        <v>16</v>
      </c>
      <c r="I10" s="5" t="s">
        <v>17</v>
      </c>
      <c r="J10" s="5" t="s">
        <v>17</v>
      </c>
      <c r="K10" s="5"/>
      <c r="L10" s="5" t="s">
        <v>249</v>
      </c>
      <c r="M10" s="17"/>
      <c r="N10" s="18"/>
      <c r="O10" s="3"/>
      <c r="R10" t="s">
        <v>27</v>
      </c>
    </row>
    <row r="11" spans="1:18" ht="15.75" x14ac:dyDescent="0.25">
      <c r="A11" s="50">
        <v>42369</v>
      </c>
      <c r="B11" s="5" t="s">
        <v>250</v>
      </c>
      <c r="C11" s="88"/>
      <c r="D11" s="5"/>
      <c r="E11" s="5"/>
      <c r="F11" s="50">
        <v>42366</v>
      </c>
      <c r="G11" s="50">
        <v>42393</v>
      </c>
      <c r="H11" s="5" t="s">
        <v>16</v>
      </c>
      <c r="I11" s="5" t="s">
        <v>17</v>
      </c>
      <c r="J11" s="5" t="s">
        <v>17</v>
      </c>
      <c r="K11" s="5"/>
      <c r="L11" s="5" t="s">
        <v>249</v>
      </c>
      <c r="M11" s="17"/>
      <c r="N11" s="18"/>
      <c r="O11" s="3"/>
      <c r="R11" t="s">
        <v>28</v>
      </c>
    </row>
    <row r="12" spans="1:18" ht="15.75" x14ac:dyDescent="0.25">
      <c r="A12" s="30">
        <v>42491</v>
      </c>
      <c r="B12" s="4" t="s">
        <v>250</v>
      </c>
      <c r="C12" s="56"/>
      <c r="F12" s="1">
        <v>42478</v>
      </c>
      <c r="G12" s="1">
        <v>42505</v>
      </c>
      <c r="H12" t="s">
        <v>16</v>
      </c>
      <c r="I12" t="s">
        <v>142</v>
      </c>
      <c r="J12" t="s">
        <v>143</v>
      </c>
      <c r="L12" t="s">
        <v>249</v>
      </c>
      <c r="M12" s="17"/>
      <c r="N12" s="18"/>
      <c r="O12" s="3"/>
      <c r="R12" t="s">
        <v>29</v>
      </c>
    </row>
    <row r="13" spans="1:18" ht="15.75" x14ac:dyDescent="0.25">
      <c r="A13" s="30">
        <v>42860</v>
      </c>
      <c r="B13" s="4" t="s">
        <v>250</v>
      </c>
      <c r="C13" s="56"/>
      <c r="F13" s="1">
        <v>42842</v>
      </c>
      <c r="G13" s="1">
        <v>42869</v>
      </c>
      <c r="H13" t="s">
        <v>70</v>
      </c>
      <c r="I13" t="s">
        <v>142</v>
      </c>
      <c r="J13" t="s">
        <v>143</v>
      </c>
      <c r="L13" t="s">
        <v>253</v>
      </c>
      <c r="M13" s="17"/>
      <c r="N13" s="18"/>
      <c r="O13" s="3"/>
      <c r="R13" t="s">
        <v>30</v>
      </c>
    </row>
    <row r="14" spans="1:18" ht="15.75" x14ac:dyDescent="0.25">
      <c r="A14" s="1">
        <v>43227</v>
      </c>
      <c r="B14" s="4" t="s">
        <v>250</v>
      </c>
      <c r="C14" s="56"/>
      <c r="F14" s="1">
        <v>43213</v>
      </c>
      <c r="G14" s="1">
        <v>43240</v>
      </c>
      <c r="H14" t="s">
        <v>72</v>
      </c>
      <c r="I14" t="s">
        <v>142</v>
      </c>
      <c r="J14" t="s">
        <v>143</v>
      </c>
      <c r="L14" t="s">
        <v>254</v>
      </c>
      <c r="M14" s="17"/>
      <c r="N14" s="18"/>
      <c r="O14" s="3"/>
      <c r="R14" t="s">
        <v>31</v>
      </c>
    </row>
    <row r="15" spans="1:18" ht="15.75" x14ac:dyDescent="0.25">
      <c r="A15" s="1">
        <v>42817</v>
      </c>
      <c r="B15" s="4" t="s">
        <v>250</v>
      </c>
      <c r="C15" s="56" t="s">
        <v>255</v>
      </c>
      <c r="F15" s="1">
        <v>42814</v>
      </c>
      <c r="G15" s="1">
        <v>42841</v>
      </c>
      <c r="H15" t="s">
        <v>70</v>
      </c>
      <c r="I15" t="s">
        <v>12</v>
      </c>
      <c r="J15" t="s">
        <v>17</v>
      </c>
      <c r="L15" t="s">
        <v>253</v>
      </c>
      <c r="M15" s="17"/>
      <c r="N15" s="18"/>
      <c r="O15" s="3"/>
      <c r="R15" t="s">
        <v>32</v>
      </c>
    </row>
    <row r="16" spans="1:18" ht="15.75" x14ac:dyDescent="0.25">
      <c r="A16" s="1">
        <v>40855</v>
      </c>
      <c r="B16" s="4" t="s">
        <v>250</v>
      </c>
      <c r="C16" s="56" t="s">
        <v>255</v>
      </c>
      <c r="F16" s="1">
        <v>40847</v>
      </c>
      <c r="G16" s="1">
        <v>40874</v>
      </c>
      <c r="H16" t="s">
        <v>91</v>
      </c>
      <c r="I16" t="s">
        <v>13</v>
      </c>
      <c r="J16" t="s">
        <v>12</v>
      </c>
      <c r="L16" t="s">
        <v>256</v>
      </c>
      <c r="M16" s="17"/>
      <c r="N16" s="18"/>
      <c r="O16" s="3"/>
    </row>
    <row r="17" spans="1:18" ht="15.75" x14ac:dyDescent="0.25">
      <c r="A17" s="1">
        <v>42676</v>
      </c>
      <c r="B17" s="4" t="s">
        <v>250</v>
      </c>
      <c r="C17" s="56" t="s">
        <v>255</v>
      </c>
      <c r="F17" s="1">
        <v>42674</v>
      </c>
      <c r="G17" s="1">
        <v>42701</v>
      </c>
      <c r="H17" t="s">
        <v>16</v>
      </c>
      <c r="I17" t="s">
        <v>13</v>
      </c>
      <c r="J17" t="s">
        <v>12</v>
      </c>
      <c r="L17" t="s">
        <v>249</v>
      </c>
      <c r="M17" s="17"/>
      <c r="N17" s="18"/>
      <c r="O17" s="3"/>
    </row>
    <row r="18" spans="1:18" ht="15.75" x14ac:dyDescent="0.25">
      <c r="A18" s="1">
        <v>37793</v>
      </c>
      <c r="B18" s="4" t="s">
        <v>250</v>
      </c>
      <c r="C18" s="56" t="s">
        <v>255</v>
      </c>
      <c r="F18" s="1">
        <v>37788</v>
      </c>
      <c r="G18" s="1">
        <v>37815</v>
      </c>
      <c r="H18" t="s">
        <v>80</v>
      </c>
      <c r="I18" t="s">
        <v>151</v>
      </c>
      <c r="J18" t="s">
        <v>143</v>
      </c>
      <c r="L18" t="s">
        <v>262</v>
      </c>
      <c r="M18" s="17"/>
      <c r="N18" s="18"/>
      <c r="O18" s="3"/>
    </row>
    <row r="19" spans="1:18" ht="15.75" x14ac:dyDescent="0.25">
      <c r="A19" s="1">
        <v>38644</v>
      </c>
      <c r="B19" s="4" t="s">
        <v>250</v>
      </c>
      <c r="C19" s="56" t="s">
        <v>255</v>
      </c>
      <c r="F19" s="1">
        <v>38628</v>
      </c>
      <c r="G19" s="1">
        <v>38655</v>
      </c>
      <c r="H19" t="s">
        <v>84</v>
      </c>
      <c r="I19" t="s">
        <v>150</v>
      </c>
      <c r="J19" t="s">
        <v>12</v>
      </c>
      <c r="L19" t="s">
        <v>261</v>
      </c>
      <c r="M19" s="17"/>
      <c r="N19" s="18"/>
      <c r="O19" s="3"/>
    </row>
    <row r="20" spans="1:18" ht="15.75" x14ac:dyDescent="0.25">
      <c r="A20" s="1">
        <v>43850</v>
      </c>
      <c r="B20" s="4" t="s">
        <v>250</v>
      </c>
      <c r="C20" s="56" t="s">
        <v>255</v>
      </c>
      <c r="F20" s="1">
        <v>43829</v>
      </c>
      <c r="G20" s="1">
        <v>43856</v>
      </c>
      <c r="H20" t="s">
        <v>55</v>
      </c>
      <c r="I20" t="s">
        <v>17</v>
      </c>
      <c r="J20" t="s">
        <v>17</v>
      </c>
      <c r="L20" t="s">
        <v>269</v>
      </c>
      <c r="M20" s="17"/>
      <c r="N20" s="18"/>
      <c r="O20" s="3"/>
    </row>
    <row r="21" spans="1:18" ht="15.75" x14ac:dyDescent="0.25">
      <c r="A21" s="1">
        <v>45605</v>
      </c>
      <c r="B21" s="4" t="s">
        <v>250</v>
      </c>
      <c r="C21" s="56" t="s">
        <v>255</v>
      </c>
      <c r="F21" s="1">
        <v>45600</v>
      </c>
      <c r="G21" s="1">
        <v>45627</v>
      </c>
      <c r="H21" t="s">
        <v>56</v>
      </c>
      <c r="I21" t="s">
        <v>13</v>
      </c>
      <c r="J21" t="s">
        <v>12</v>
      </c>
      <c r="L21" t="s">
        <v>268</v>
      </c>
      <c r="M21" s="17"/>
      <c r="N21" s="18"/>
      <c r="O21" s="3"/>
    </row>
    <row r="22" spans="1:18" ht="15" customHeight="1" x14ac:dyDescent="0.25">
      <c r="A22" s="1">
        <v>42068</v>
      </c>
      <c r="B22" s="4" t="s">
        <v>250</v>
      </c>
      <c r="C22" s="56" t="s">
        <v>255</v>
      </c>
      <c r="F22" s="1">
        <v>42058</v>
      </c>
      <c r="G22" s="1">
        <v>42085</v>
      </c>
      <c r="H22" t="s">
        <v>93</v>
      </c>
      <c r="I22" t="s">
        <v>54</v>
      </c>
      <c r="J22" t="s">
        <v>17</v>
      </c>
      <c r="L22" t="s">
        <v>273</v>
      </c>
      <c r="M22" s="17"/>
      <c r="N22" s="19"/>
      <c r="O22" s="3"/>
      <c r="R22" t="s">
        <v>33</v>
      </c>
    </row>
    <row r="23" spans="1:18" ht="15.75" x14ac:dyDescent="0.25">
      <c r="A23" s="1">
        <v>44795</v>
      </c>
      <c r="B23" s="4" t="s">
        <v>250</v>
      </c>
      <c r="C23" s="56" t="s">
        <v>255</v>
      </c>
      <c r="F23" s="1">
        <v>44781</v>
      </c>
      <c r="G23" s="1">
        <v>44808</v>
      </c>
      <c r="H23" t="s">
        <v>95</v>
      </c>
      <c r="I23" t="s">
        <v>141</v>
      </c>
      <c r="J23" t="s">
        <v>54</v>
      </c>
      <c r="L23" t="s">
        <v>267</v>
      </c>
      <c r="M23" s="17"/>
      <c r="N23" s="19"/>
      <c r="O23" s="3"/>
      <c r="R23" t="s">
        <v>34</v>
      </c>
    </row>
    <row r="24" spans="1:18" ht="15.75" x14ac:dyDescent="0.25">
      <c r="A24" s="1">
        <v>39243</v>
      </c>
      <c r="B24" s="4" t="s">
        <v>250</v>
      </c>
      <c r="C24" s="56" t="s">
        <v>255</v>
      </c>
      <c r="F24" s="1">
        <v>39223</v>
      </c>
      <c r="G24" s="1">
        <v>39250</v>
      </c>
      <c r="H24" t="s">
        <v>87</v>
      </c>
      <c r="I24" t="s">
        <v>146</v>
      </c>
      <c r="J24" t="s">
        <v>143</v>
      </c>
      <c r="L24" t="s">
        <v>265</v>
      </c>
      <c r="M24" s="17"/>
      <c r="N24" s="19"/>
      <c r="O24" s="3"/>
      <c r="R24" t="s">
        <v>35</v>
      </c>
    </row>
    <row r="25" spans="1:18" ht="15.75" x14ac:dyDescent="0.25">
      <c r="A25" s="1">
        <v>37579</v>
      </c>
      <c r="B25" s="4" t="s">
        <v>250</v>
      </c>
      <c r="C25" s="56" t="s">
        <v>255</v>
      </c>
      <c r="F25" s="1">
        <v>37564</v>
      </c>
      <c r="G25" s="1">
        <v>37591</v>
      </c>
      <c r="H25" t="s">
        <v>78</v>
      </c>
      <c r="I25" t="s">
        <v>13</v>
      </c>
      <c r="J25" t="s">
        <v>12</v>
      </c>
      <c r="L25" t="s">
        <v>263</v>
      </c>
      <c r="M25" s="17"/>
      <c r="N25" s="19"/>
      <c r="O25" s="3"/>
      <c r="R25" t="s">
        <v>36</v>
      </c>
    </row>
    <row r="26" spans="1:18" ht="15.75" x14ac:dyDescent="0.25">
      <c r="A26" s="1">
        <v>39242</v>
      </c>
      <c r="B26" s="4" t="s">
        <v>250</v>
      </c>
      <c r="C26" s="56" t="s">
        <v>255</v>
      </c>
      <c r="F26" s="1">
        <v>39223</v>
      </c>
      <c r="G26" s="1">
        <v>39250</v>
      </c>
      <c r="H26" t="s">
        <v>87</v>
      </c>
      <c r="I26" t="s">
        <v>146</v>
      </c>
      <c r="J26" t="s">
        <v>143</v>
      </c>
      <c r="L26" t="s">
        <v>265</v>
      </c>
      <c r="M26" s="17"/>
      <c r="N26" s="19"/>
      <c r="O26" s="3"/>
      <c r="R26" t="s">
        <v>37</v>
      </c>
    </row>
    <row r="27" spans="1:18" ht="15.75" x14ac:dyDescent="0.25">
      <c r="A27" s="1">
        <v>39904</v>
      </c>
      <c r="B27" s="4" t="s">
        <v>250</v>
      </c>
      <c r="C27" s="56" t="s">
        <v>255</v>
      </c>
      <c r="F27" s="1">
        <v>39895</v>
      </c>
      <c r="G27" s="1">
        <v>39922</v>
      </c>
      <c r="H27" t="s">
        <v>89</v>
      </c>
      <c r="I27" t="s">
        <v>12</v>
      </c>
      <c r="J27" t="s">
        <v>17</v>
      </c>
      <c r="L27" t="s">
        <v>264</v>
      </c>
      <c r="M27" s="17"/>
      <c r="N27" s="19"/>
      <c r="O27" s="3"/>
      <c r="R27" t="s">
        <v>38</v>
      </c>
    </row>
    <row r="28" spans="1:18" ht="15.75" x14ac:dyDescent="0.25">
      <c r="A28" s="1">
        <v>39690</v>
      </c>
      <c r="B28" s="4" t="s">
        <v>250</v>
      </c>
      <c r="C28" s="56" t="s">
        <v>255</v>
      </c>
      <c r="F28" s="1">
        <v>39671</v>
      </c>
      <c r="G28" s="1">
        <v>39698</v>
      </c>
      <c r="H28" t="s">
        <v>88</v>
      </c>
      <c r="I28" t="s">
        <v>141</v>
      </c>
      <c r="J28" t="s">
        <v>54</v>
      </c>
      <c r="L28" t="s">
        <v>258</v>
      </c>
      <c r="M28" s="17"/>
      <c r="N28" s="19"/>
      <c r="O28" s="3"/>
      <c r="R28" t="s">
        <v>39</v>
      </c>
    </row>
    <row r="29" spans="1:18" ht="15.75" x14ac:dyDescent="0.25">
      <c r="A29" s="1">
        <v>39621</v>
      </c>
      <c r="B29" s="4" t="s">
        <v>250</v>
      </c>
      <c r="C29" s="56" t="s">
        <v>255</v>
      </c>
      <c r="F29" s="1">
        <v>39615</v>
      </c>
      <c r="G29" s="1">
        <v>39642</v>
      </c>
      <c r="H29" t="s">
        <v>88</v>
      </c>
      <c r="I29" t="s">
        <v>151</v>
      </c>
      <c r="J29" t="s">
        <v>143</v>
      </c>
      <c r="L29" t="s">
        <v>258</v>
      </c>
      <c r="M29" s="17"/>
      <c r="N29" s="19"/>
      <c r="O29" s="3"/>
      <c r="R29" t="s">
        <v>40</v>
      </c>
    </row>
    <row r="30" spans="1:18" ht="15.75" x14ac:dyDescent="0.25">
      <c r="A30" s="1">
        <v>43321</v>
      </c>
      <c r="B30" s="4" t="s">
        <v>250</v>
      </c>
      <c r="C30" s="56" t="s">
        <v>255</v>
      </c>
      <c r="F30" s="1">
        <v>43297</v>
      </c>
      <c r="G30" s="1">
        <v>43324</v>
      </c>
      <c r="H30" t="s">
        <v>72</v>
      </c>
      <c r="I30" t="s">
        <v>148</v>
      </c>
      <c r="J30" t="s">
        <v>54</v>
      </c>
      <c r="L30" t="s">
        <v>254</v>
      </c>
      <c r="M30" s="17"/>
      <c r="N30" s="19"/>
      <c r="O30" s="3"/>
    </row>
    <row r="31" spans="1:18" ht="15.75" x14ac:dyDescent="0.25">
      <c r="A31" s="1">
        <v>41348</v>
      </c>
      <c r="B31" s="4" t="s">
        <v>250</v>
      </c>
      <c r="C31" s="56" t="s">
        <v>255</v>
      </c>
      <c r="F31" s="1">
        <v>41330</v>
      </c>
      <c r="G31" s="1">
        <v>41357</v>
      </c>
      <c r="H31" t="s">
        <v>67</v>
      </c>
      <c r="I31" t="s">
        <v>54</v>
      </c>
      <c r="J31" t="s">
        <v>17</v>
      </c>
      <c r="L31" t="s">
        <v>251</v>
      </c>
      <c r="M31" s="17"/>
      <c r="N31" s="19"/>
      <c r="O31" s="3"/>
    </row>
    <row r="32" spans="1:18" ht="15.75" x14ac:dyDescent="0.25">
      <c r="A32" s="1">
        <v>37909</v>
      </c>
      <c r="B32" s="4" t="s">
        <v>250</v>
      </c>
      <c r="C32" s="56" t="s">
        <v>255</v>
      </c>
      <c r="F32" s="1">
        <v>37900</v>
      </c>
      <c r="G32" s="1">
        <v>37927</v>
      </c>
      <c r="H32" t="s">
        <v>80</v>
      </c>
      <c r="I32" t="s">
        <v>150</v>
      </c>
      <c r="J32" t="s">
        <v>12</v>
      </c>
      <c r="L32" t="s">
        <v>262</v>
      </c>
      <c r="M32" s="17"/>
      <c r="N32" s="19"/>
      <c r="O32" s="3"/>
    </row>
    <row r="33" spans="1:15" ht="15.75" x14ac:dyDescent="0.25">
      <c r="A33" s="1">
        <v>47427</v>
      </c>
      <c r="B33" s="4" t="s">
        <v>250</v>
      </c>
      <c r="C33" s="56" t="s">
        <v>255</v>
      </c>
      <c r="F33" s="1">
        <v>47427</v>
      </c>
      <c r="G33" s="1">
        <v>47454</v>
      </c>
      <c r="H33" t="s">
        <v>105</v>
      </c>
      <c r="I33" t="s">
        <v>13</v>
      </c>
      <c r="J33" t="s">
        <v>12</v>
      </c>
      <c r="L33" t="s">
        <v>259</v>
      </c>
      <c r="M33" s="17"/>
      <c r="N33" s="19"/>
      <c r="O33" s="3"/>
    </row>
    <row r="34" spans="1:15" ht="15.75" x14ac:dyDescent="0.25">
      <c r="A34" s="1">
        <v>37196</v>
      </c>
      <c r="B34" s="4" t="s">
        <v>250</v>
      </c>
      <c r="C34" s="56" t="s">
        <v>255</v>
      </c>
      <c r="F34" s="1">
        <v>37172</v>
      </c>
      <c r="G34" s="1">
        <v>37199</v>
      </c>
      <c r="H34" t="s">
        <v>77</v>
      </c>
      <c r="I34" t="s">
        <v>150</v>
      </c>
      <c r="J34" t="s">
        <v>12</v>
      </c>
      <c r="L34" t="s">
        <v>266</v>
      </c>
      <c r="M34" s="17"/>
      <c r="N34" s="19"/>
      <c r="O34" s="3"/>
    </row>
    <row r="35" spans="1:15" ht="15.75" x14ac:dyDescent="0.25">
      <c r="A35" s="1">
        <v>39101</v>
      </c>
      <c r="B35" s="4" t="s">
        <v>250</v>
      </c>
      <c r="C35" s="56" t="s">
        <v>255</v>
      </c>
      <c r="F35" s="1">
        <v>39083</v>
      </c>
      <c r="G35" s="1">
        <v>39110</v>
      </c>
      <c r="H35" t="s">
        <v>87</v>
      </c>
      <c r="I35" t="s">
        <v>17</v>
      </c>
      <c r="J35" t="s">
        <v>17</v>
      </c>
      <c r="L35" t="s">
        <v>265</v>
      </c>
      <c r="M35" s="17"/>
      <c r="N35" s="19"/>
      <c r="O35" s="3"/>
    </row>
    <row r="36" spans="1:15" ht="15.75" x14ac:dyDescent="0.25">
      <c r="A36" s="1">
        <v>40189</v>
      </c>
      <c r="B36" s="4" t="s">
        <v>250</v>
      </c>
      <c r="C36" s="56" t="s">
        <v>255</v>
      </c>
      <c r="F36" s="1">
        <v>40175</v>
      </c>
      <c r="G36" s="1">
        <v>40202</v>
      </c>
      <c r="H36" t="s">
        <v>90</v>
      </c>
      <c r="I36" t="s">
        <v>17</v>
      </c>
      <c r="J36" t="s">
        <v>17</v>
      </c>
      <c r="L36" t="s">
        <v>271</v>
      </c>
      <c r="M36" s="17"/>
      <c r="N36" s="19"/>
      <c r="O36" s="3"/>
    </row>
    <row r="37" spans="1:15" ht="15.75" x14ac:dyDescent="0.25">
      <c r="A37" s="1">
        <v>37291</v>
      </c>
      <c r="B37" s="4" t="s">
        <v>250</v>
      </c>
      <c r="C37" s="56" t="s">
        <v>255</v>
      </c>
      <c r="F37" s="1">
        <v>37284</v>
      </c>
      <c r="G37" s="1">
        <v>37311</v>
      </c>
      <c r="H37" t="s">
        <v>78</v>
      </c>
      <c r="I37" t="s">
        <v>143</v>
      </c>
      <c r="J37" t="s">
        <v>17</v>
      </c>
      <c r="L37" t="s">
        <v>263</v>
      </c>
      <c r="M37" s="17"/>
      <c r="N37" s="19"/>
      <c r="O37" s="3"/>
    </row>
    <row r="38" spans="1:15" ht="15.75" x14ac:dyDescent="0.25">
      <c r="A38" s="1">
        <v>47124</v>
      </c>
      <c r="B38" s="4" t="s">
        <v>250</v>
      </c>
      <c r="C38" s="56" t="s">
        <v>255</v>
      </c>
      <c r="F38" s="1">
        <v>47119</v>
      </c>
      <c r="G38" s="1">
        <v>47146</v>
      </c>
      <c r="H38" t="s">
        <v>105</v>
      </c>
      <c r="I38" t="s">
        <v>17</v>
      </c>
      <c r="J38" t="s">
        <v>17</v>
      </c>
      <c r="L38" t="s">
        <v>259</v>
      </c>
      <c r="M38" s="17"/>
      <c r="N38" s="19"/>
      <c r="O38" s="3"/>
    </row>
    <row r="39" spans="1:15" ht="15.75" x14ac:dyDescent="0.25">
      <c r="A39" s="1">
        <v>45759</v>
      </c>
      <c r="B39" s="4" t="s">
        <v>250</v>
      </c>
      <c r="C39" s="56" t="s">
        <v>255</v>
      </c>
      <c r="F39" s="1">
        <v>45740</v>
      </c>
      <c r="G39" s="1">
        <v>45767</v>
      </c>
      <c r="H39" t="s">
        <v>97</v>
      </c>
      <c r="I39" t="s">
        <v>12</v>
      </c>
      <c r="J39" t="s">
        <v>17</v>
      </c>
      <c r="L39" t="s">
        <v>272</v>
      </c>
      <c r="M39" s="17"/>
      <c r="N39" s="19"/>
      <c r="O39" s="3"/>
    </row>
    <row r="40" spans="1:15" ht="15.75" x14ac:dyDescent="0.25">
      <c r="A40" s="1">
        <v>46257</v>
      </c>
      <c r="B40" s="4" t="s">
        <v>250</v>
      </c>
      <c r="C40" s="56" t="s">
        <v>255</v>
      </c>
      <c r="F40" s="1">
        <v>46244</v>
      </c>
      <c r="G40" s="1">
        <v>46271</v>
      </c>
      <c r="H40" t="s">
        <v>99</v>
      </c>
      <c r="I40" t="s">
        <v>141</v>
      </c>
      <c r="J40" t="s">
        <v>54</v>
      </c>
      <c r="L40" t="s">
        <v>270</v>
      </c>
      <c r="M40" s="17"/>
      <c r="N40" s="19"/>
      <c r="O40" s="3"/>
    </row>
    <row r="41" spans="1:15" ht="15.75" x14ac:dyDescent="0.25">
      <c r="A41" s="1">
        <v>40817</v>
      </c>
      <c r="B41" s="4" t="s">
        <v>250</v>
      </c>
      <c r="C41" s="56" t="s">
        <v>255</v>
      </c>
      <c r="F41" s="1">
        <v>40791</v>
      </c>
      <c r="G41" s="1">
        <v>40818</v>
      </c>
      <c r="H41" t="s">
        <v>91</v>
      </c>
      <c r="I41" t="s">
        <v>144</v>
      </c>
      <c r="J41" t="s">
        <v>54</v>
      </c>
      <c r="L41" t="s">
        <v>256</v>
      </c>
      <c r="M41" s="17"/>
      <c r="N41" s="19"/>
      <c r="O41" s="3"/>
    </row>
    <row r="42" spans="1:15" ht="15.75" x14ac:dyDescent="0.25">
      <c r="A42" s="1">
        <v>44758</v>
      </c>
      <c r="B42" s="4" t="s">
        <v>250</v>
      </c>
      <c r="C42" s="56" t="s">
        <v>255</v>
      </c>
      <c r="F42" s="1">
        <v>44753</v>
      </c>
      <c r="G42" s="1">
        <v>44780</v>
      </c>
      <c r="H42" t="s">
        <v>95</v>
      </c>
      <c r="I42" t="s">
        <v>148</v>
      </c>
      <c r="J42" t="s">
        <v>54</v>
      </c>
      <c r="L42" t="s">
        <v>267</v>
      </c>
      <c r="M42" s="17"/>
      <c r="N42" s="19"/>
      <c r="O42" s="3"/>
    </row>
    <row r="43" spans="1:15" ht="15.75" x14ac:dyDescent="0.25">
      <c r="A43" s="1">
        <v>41402</v>
      </c>
      <c r="B43" s="4" t="s">
        <v>250</v>
      </c>
      <c r="C43" s="56" t="s">
        <v>255</v>
      </c>
      <c r="F43" s="1">
        <v>41386</v>
      </c>
      <c r="G43" s="1">
        <v>41413</v>
      </c>
      <c r="H43" t="s">
        <v>67</v>
      </c>
      <c r="I43" t="s">
        <v>142</v>
      </c>
      <c r="J43" t="s">
        <v>143</v>
      </c>
      <c r="L43" t="s">
        <v>251</v>
      </c>
      <c r="M43" s="17"/>
      <c r="N43" s="19"/>
      <c r="O43" s="3"/>
    </row>
    <row r="44" spans="1:15" ht="15.75" x14ac:dyDescent="0.25">
      <c r="A44" s="1">
        <v>40831</v>
      </c>
      <c r="B44" s="4" t="s">
        <v>250</v>
      </c>
      <c r="C44" s="56" t="s">
        <v>255</v>
      </c>
      <c r="F44" s="1">
        <v>40819</v>
      </c>
      <c r="G44" s="1">
        <v>40846</v>
      </c>
      <c r="H44" t="s">
        <v>91</v>
      </c>
      <c r="I44" t="s">
        <v>150</v>
      </c>
      <c r="J44" t="s">
        <v>12</v>
      </c>
      <c r="L44" t="s">
        <v>256</v>
      </c>
      <c r="M44" s="17" t="str">
        <f t="shared" ref="M44:M85" si="0">B44</f>
        <v>PeriodsInYr</v>
      </c>
      <c r="N44" s="19"/>
      <c r="O44" s="3"/>
    </row>
    <row r="45" spans="1:15" ht="15.75" x14ac:dyDescent="0.25">
      <c r="A45" s="1">
        <v>38093</v>
      </c>
      <c r="B45" s="4" t="s">
        <v>250</v>
      </c>
      <c r="C45" s="56" t="s">
        <v>255</v>
      </c>
      <c r="F45" s="1">
        <v>38068</v>
      </c>
      <c r="G45" s="1">
        <v>38095</v>
      </c>
      <c r="H45" t="s">
        <v>82</v>
      </c>
      <c r="I45" t="s">
        <v>12</v>
      </c>
      <c r="J45" t="s">
        <v>17</v>
      </c>
      <c r="L45" t="s">
        <v>257</v>
      </c>
      <c r="M45" s="17" t="str">
        <f t="shared" si="0"/>
        <v>PeriodsInYr</v>
      </c>
      <c r="N45" s="19"/>
      <c r="O45" s="3"/>
    </row>
    <row r="46" spans="1:15" ht="15.75" x14ac:dyDescent="0.25">
      <c r="A46" s="1">
        <v>42965</v>
      </c>
      <c r="B46" s="4" t="s">
        <v>250</v>
      </c>
      <c r="C46" s="56" t="s">
        <v>255</v>
      </c>
      <c r="F46" s="1">
        <v>42954</v>
      </c>
      <c r="G46" s="1">
        <v>42981</v>
      </c>
      <c r="H46" t="s">
        <v>70</v>
      </c>
      <c r="I46" t="s">
        <v>141</v>
      </c>
      <c r="J46" t="s">
        <v>54</v>
      </c>
      <c r="L46" t="s">
        <v>253</v>
      </c>
      <c r="M46" s="17" t="str">
        <f t="shared" si="0"/>
        <v>PeriodsInYr</v>
      </c>
      <c r="N46" s="19"/>
      <c r="O46" s="3"/>
    </row>
    <row r="47" spans="1:15" ht="15.75" x14ac:dyDescent="0.25">
      <c r="A47" s="1">
        <v>40487</v>
      </c>
      <c r="B47" s="4" t="s">
        <v>250</v>
      </c>
      <c r="C47" s="56" t="s">
        <v>255</v>
      </c>
      <c r="F47" s="1">
        <v>40483</v>
      </c>
      <c r="G47" s="1">
        <v>40510</v>
      </c>
      <c r="H47" t="s">
        <v>90</v>
      </c>
      <c r="I47" t="s">
        <v>13</v>
      </c>
      <c r="J47" t="s">
        <v>12</v>
      </c>
      <c r="L47" t="s">
        <v>271</v>
      </c>
      <c r="M47" s="17" t="str">
        <f t="shared" si="0"/>
        <v>PeriodsInYr</v>
      </c>
      <c r="N47" s="19"/>
      <c r="O47" s="3"/>
    </row>
    <row r="48" spans="1:15" ht="15.75" x14ac:dyDescent="0.25">
      <c r="A48" s="1">
        <v>46324</v>
      </c>
      <c r="B48" s="4" t="s">
        <v>250</v>
      </c>
      <c r="C48" s="56" t="s">
        <v>255</v>
      </c>
      <c r="F48" s="1">
        <v>46300</v>
      </c>
      <c r="G48" s="1">
        <v>46327</v>
      </c>
      <c r="H48" t="s">
        <v>99</v>
      </c>
      <c r="I48" t="s">
        <v>150</v>
      </c>
      <c r="J48" t="s">
        <v>12</v>
      </c>
      <c r="L48" t="s">
        <v>270</v>
      </c>
      <c r="M48" s="17" t="str">
        <f t="shared" si="0"/>
        <v>PeriodsInYr</v>
      </c>
      <c r="N48" s="19"/>
      <c r="O48" s="3"/>
    </row>
    <row r="49" spans="1:15" ht="15.75" x14ac:dyDescent="0.25">
      <c r="A49" s="1">
        <v>45178</v>
      </c>
      <c r="B49" s="4" t="s">
        <v>250</v>
      </c>
      <c r="C49" s="56" t="s">
        <v>255</v>
      </c>
      <c r="F49" s="1">
        <v>45173</v>
      </c>
      <c r="G49" s="1">
        <v>45200</v>
      </c>
      <c r="H49" t="s">
        <v>96</v>
      </c>
      <c r="I49" t="s">
        <v>144</v>
      </c>
      <c r="J49" t="s">
        <v>54</v>
      </c>
      <c r="L49" t="s">
        <v>260</v>
      </c>
      <c r="M49" s="17" t="str">
        <f t="shared" si="0"/>
        <v>PeriodsInYr</v>
      </c>
      <c r="N49" s="19"/>
      <c r="O49" s="3"/>
    </row>
    <row r="50" spans="1:15" ht="15.75" x14ac:dyDescent="0.25">
      <c r="A50" s="1">
        <v>42760</v>
      </c>
      <c r="B50" s="4" t="s">
        <v>250</v>
      </c>
      <c r="C50" s="56" t="s">
        <v>255</v>
      </c>
      <c r="F50" s="1">
        <v>42758</v>
      </c>
      <c r="G50" s="1">
        <v>42785</v>
      </c>
      <c r="H50" t="s">
        <v>70</v>
      </c>
      <c r="I50" t="s">
        <v>143</v>
      </c>
      <c r="J50" t="s">
        <v>17</v>
      </c>
      <c r="L50" t="s">
        <v>253</v>
      </c>
      <c r="M50" s="17" t="str">
        <f t="shared" si="0"/>
        <v>PeriodsInYr</v>
      </c>
      <c r="N50" s="19"/>
      <c r="O50" s="3"/>
    </row>
    <row r="51" spans="1:15" ht="15.75" x14ac:dyDescent="0.25">
      <c r="A51" s="1"/>
      <c r="B51" s="3"/>
      <c r="F51" s="1"/>
      <c r="G51" s="1"/>
      <c r="M51" s="17">
        <f t="shared" si="0"/>
        <v>0</v>
      </c>
      <c r="N51" s="19"/>
      <c r="O51" s="3"/>
    </row>
    <row r="52" spans="1:15" ht="15.75" x14ac:dyDescent="0.25">
      <c r="A52" s="1"/>
      <c r="B52" s="3"/>
      <c r="F52" s="1"/>
      <c r="G52" s="1"/>
      <c r="M52" s="17">
        <f t="shared" si="0"/>
        <v>0</v>
      </c>
      <c r="N52" s="19"/>
      <c r="O52" s="3"/>
    </row>
    <row r="53" spans="1:15" ht="15.75" x14ac:dyDescent="0.25">
      <c r="A53" s="1"/>
      <c r="B53" s="3"/>
      <c r="F53" s="1"/>
      <c r="G53" s="1"/>
      <c r="M53" s="17">
        <f t="shared" si="0"/>
        <v>0</v>
      </c>
      <c r="N53" s="19"/>
      <c r="O53" s="3"/>
    </row>
    <row r="54" spans="1:15" ht="15.75" x14ac:dyDescent="0.25">
      <c r="A54" s="1"/>
      <c r="B54" s="3"/>
      <c r="F54" s="1"/>
      <c r="G54" s="1"/>
      <c r="M54" s="17">
        <f t="shared" si="0"/>
        <v>0</v>
      </c>
      <c r="N54" s="19"/>
      <c r="O54" s="3"/>
    </row>
    <row r="55" spans="1:15" ht="15.75" x14ac:dyDescent="0.25">
      <c r="A55" s="1"/>
      <c r="B55" s="3"/>
      <c r="E55" s="2" t="s">
        <v>71</v>
      </c>
      <c r="F55" s="1"/>
      <c r="G55" s="1"/>
      <c r="M55" s="17">
        <f t="shared" si="0"/>
        <v>0</v>
      </c>
      <c r="N55" s="19"/>
      <c r="O55" s="3"/>
    </row>
    <row r="56" spans="1:15" ht="15.75" x14ac:dyDescent="0.25">
      <c r="A56" s="1"/>
      <c r="B56" s="3"/>
      <c r="F56" s="1"/>
      <c r="G56" s="1"/>
      <c r="M56" s="17">
        <f t="shared" si="0"/>
        <v>0</v>
      </c>
      <c r="N56" s="19"/>
      <c r="O56" s="3"/>
    </row>
    <row r="57" spans="1:15" ht="15.75" x14ac:dyDescent="0.25">
      <c r="A57" s="1"/>
      <c r="B57" s="3"/>
      <c r="F57" s="1"/>
      <c r="G57" s="1"/>
      <c r="M57" s="17">
        <f t="shared" si="0"/>
        <v>0</v>
      </c>
      <c r="N57" s="19"/>
      <c r="O57" s="3"/>
    </row>
    <row r="58" spans="1:15" ht="15.75" x14ac:dyDescent="0.25">
      <c r="A58" s="1"/>
      <c r="B58" s="3"/>
      <c r="F58" s="1"/>
      <c r="G58" s="1"/>
      <c r="M58" s="17">
        <f t="shared" si="0"/>
        <v>0</v>
      </c>
      <c r="N58" s="19"/>
      <c r="O58" s="3"/>
    </row>
    <row r="59" spans="1:15" ht="15.75" x14ac:dyDescent="0.25">
      <c r="A59" s="1"/>
      <c r="B59" s="3"/>
      <c r="F59" s="1"/>
      <c r="G59" s="1"/>
      <c r="M59" s="17">
        <f t="shared" si="0"/>
        <v>0</v>
      </c>
      <c r="N59" s="19"/>
      <c r="O59" s="3"/>
    </row>
    <row r="60" spans="1:15" ht="15.75" x14ac:dyDescent="0.25">
      <c r="A60" s="1"/>
      <c r="B60" s="3"/>
      <c r="F60" s="1"/>
      <c r="G60" s="1"/>
      <c r="M60" s="17">
        <f t="shared" si="0"/>
        <v>0</v>
      </c>
      <c r="N60" s="19"/>
      <c r="O60" s="3"/>
    </row>
    <row r="61" spans="1:15" ht="15.75" x14ac:dyDescent="0.25">
      <c r="A61" s="1"/>
      <c r="B61" s="3"/>
      <c r="F61" s="1"/>
      <c r="G61" s="1"/>
      <c r="M61" s="17">
        <f t="shared" si="0"/>
        <v>0</v>
      </c>
      <c r="N61" s="19"/>
      <c r="O61" s="3"/>
    </row>
    <row r="62" spans="1:15" ht="15.75" x14ac:dyDescent="0.25">
      <c r="A62" s="1"/>
      <c r="B62" s="3"/>
      <c r="F62" s="1"/>
      <c r="G62" s="1"/>
      <c r="M62" s="17">
        <f t="shared" si="0"/>
        <v>0</v>
      </c>
      <c r="N62" s="19"/>
      <c r="O62" s="3"/>
    </row>
    <row r="63" spans="1:15" ht="15.75" x14ac:dyDescent="0.25">
      <c r="A63" s="1"/>
      <c r="B63" s="3"/>
      <c r="F63" s="1"/>
      <c r="G63" s="1"/>
      <c r="M63" s="17">
        <f t="shared" si="0"/>
        <v>0</v>
      </c>
      <c r="N63" s="19"/>
      <c r="O63" s="3"/>
    </row>
    <row r="64" spans="1:15" ht="15.75" x14ac:dyDescent="0.25">
      <c r="A64" s="1"/>
      <c r="B64" s="3"/>
      <c r="F64" s="1"/>
      <c r="G64" s="1"/>
      <c r="M64" s="17">
        <f t="shared" si="0"/>
        <v>0</v>
      </c>
      <c r="N64" s="19"/>
      <c r="O64" s="3"/>
    </row>
    <row r="65" spans="1:15" ht="15.75" x14ac:dyDescent="0.25">
      <c r="A65" s="1"/>
      <c r="B65" s="3"/>
      <c r="F65" s="1"/>
      <c r="G65" s="1"/>
      <c r="M65" s="17">
        <f t="shared" si="0"/>
        <v>0</v>
      </c>
      <c r="N65" s="19"/>
      <c r="O65" s="3"/>
    </row>
    <row r="66" spans="1:15" ht="15.75" x14ac:dyDescent="0.25">
      <c r="A66" s="1"/>
      <c r="B66" s="3"/>
      <c r="F66" s="1"/>
      <c r="G66" s="1"/>
      <c r="M66" s="17">
        <f t="shared" si="0"/>
        <v>0</v>
      </c>
      <c r="N66" s="19"/>
      <c r="O66" s="3"/>
    </row>
    <row r="67" spans="1:15" ht="15.75" x14ac:dyDescent="0.25">
      <c r="A67" s="1"/>
      <c r="B67" s="3"/>
      <c r="F67" s="1"/>
      <c r="G67" s="1"/>
      <c r="M67" s="17">
        <f t="shared" si="0"/>
        <v>0</v>
      </c>
      <c r="N67" s="19"/>
      <c r="O67" s="3"/>
    </row>
    <row r="68" spans="1:15" ht="15.75" x14ac:dyDescent="0.25">
      <c r="A68" s="1"/>
      <c r="B68" s="3"/>
      <c r="F68" s="1"/>
      <c r="G68" s="1"/>
      <c r="M68" s="17">
        <f t="shared" si="0"/>
        <v>0</v>
      </c>
      <c r="N68" s="19"/>
      <c r="O68" s="3"/>
    </row>
    <row r="69" spans="1:15" ht="15.75" x14ac:dyDescent="0.25">
      <c r="A69" s="1"/>
      <c r="B69" s="3"/>
      <c r="F69" s="1"/>
      <c r="G69" s="1"/>
      <c r="M69" s="17">
        <f t="shared" si="0"/>
        <v>0</v>
      </c>
      <c r="N69" s="19"/>
      <c r="O69" s="3"/>
    </row>
    <row r="70" spans="1:15" ht="15.75" x14ac:dyDescent="0.25">
      <c r="A70" s="1"/>
      <c r="B70" s="3"/>
      <c r="F70" s="1"/>
      <c r="G70" s="1"/>
      <c r="M70" s="17">
        <f t="shared" si="0"/>
        <v>0</v>
      </c>
      <c r="N70" s="19"/>
      <c r="O70" s="3"/>
    </row>
    <row r="71" spans="1:15" ht="15.75" x14ac:dyDescent="0.25">
      <c r="A71" s="1"/>
      <c r="B71" s="3"/>
      <c r="F71" s="1"/>
      <c r="G71" s="1"/>
      <c r="M71" s="17">
        <f t="shared" si="0"/>
        <v>0</v>
      </c>
      <c r="N71" s="19"/>
      <c r="O71" s="3"/>
    </row>
    <row r="72" spans="1:15" ht="15.75" x14ac:dyDescent="0.25">
      <c r="A72" s="1"/>
      <c r="B72" s="3"/>
      <c r="F72" s="1"/>
      <c r="G72" s="1"/>
      <c r="M72" s="17">
        <f t="shared" si="0"/>
        <v>0</v>
      </c>
      <c r="N72" s="19"/>
      <c r="O72" s="3"/>
    </row>
    <row r="73" spans="1:15" ht="15.75" x14ac:dyDescent="0.25">
      <c r="A73" s="1"/>
      <c r="B73" s="3"/>
      <c r="F73" s="1"/>
      <c r="G73" s="1"/>
      <c r="M73" s="17">
        <f t="shared" si="0"/>
        <v>0</v>
      </c>
      <c r="N73" s="19"/>
      <c r="O73" s="3"/>
    </row>
    <row r="74" spans="1:15" ht="15.75" x14ac:dyDescent="0.25">
      <c r="A74" s="1"/>
      <c r="B74" s="3"/>
      <c r="F74" s="1"/>
      <c r="G74" s="1"/>
      <c r="M74" s="17">
        <f t="shared" si="0"/>
        <v>0</v>
      </c>
      <c r="N74" s="19"/>
      <c r="O74" s="3"/>
    </row>
    <row r="75" spans="1:15" ht="15.75" x14ac:dyDescent="0.25">
      <c r="A75" s="1"/>
      <c r="B75" s="3"/>
      <c r="F75" s="1"/>
      <c r="G75" s="1"/>
      <c r="M75" s="17">
        <f t="shared" si="0"/>
        <v>0</v>
      </c>
      <c r="N75" s="19"/>
      <c r="O75" s="3"/>
    </row>
    <row r="76" spans="1:15" ht="15.75" x14ac:dyDescent="0.25">
      <c r="A76" s="1"/>
      <c r="B76" s="3"/>
      <c r="F76" s="1"/>
      <c r="G76" s="1"/>
      <c r="M76" s="17">
        <f t="shared" si="0"/>
        <v>0</v>
      </c>
      <c r="N76" s="19"/>
      <c r="O76" s="3"/>
    </row>
    <row r="77" spans="1:15" ht="15.75" x14ac:dyDescent="0.25">
      <c r="A77" s="1"/>
      <c r="B77" s="3"/>
      <c r="F77" s="1"/>
      <c r="G77" s="1"/>
      <c r="M77" s="17">
        <f t="shared" si="0"/>
        <v>0</v>
      </c>
      <c r="N77" s="19"/>
      <c r="O77" s="3"/>
    </row>
    <row r="78" spans="1:15" ht="15.75" x14ac:dyDescent="0.25">
      <c r="A78" s="1"/>
      <c r="B78" s="3"/>
      <c r="F78" s="1"/>
      <c r="G78" s="1"/>
      <c r="M78" s="17">
        <f t="shared" si="0"/>
        <v>0</v>
      </c>
      <c r="N78" s="19"/>
      <c r="O78" s="3"/>
    </row>
    <row r="79" spans="1:15" ht="15.75" x14ac:dyDescent="0.25">
      <c r="A79" s="1"/>
      <c r="B79" s="3"/>
      <c r="F79" s="1"/>
      <c r="G79" s="1"/>
      <c r="M79" s="17">
        <f t="shared" si="0"/>
        <v>0</v>
      </c>
      <c r="N79" s="19"/>
      <c r="O79" s="3"/>
    </row>
    <row r="80" spans="1:15" ht="15.75" x14ac:dyDescent="0.25">
      <c r="A80" s="1"/>
      <c r="B80" s="3"/>
      <c r="F80" s="1"/>
      <c r="G80" s="1"/>
      <c r="M80" s="17">
        <f t="shared" si="0"/>
        <v>0</v>
      </c>
      <c r="N80" s="19"/>
      <c r="O80" s="3"/>
    </row>
    <row r="81" spans="1:15" ht="15.75" x14ac:dyDescent="0.25">
      <c r="A81" s="1"/>
      <c r="B81" s="3"/>
      <c r="F81" s="1"/>
      <c r="G81" s="1"/>
      <c r="M81" s="17">
        <f t="shared" si="0"/>
        <v>0</v>
      </c>
      <c r="N81" s="19"/>
      <c r="O81" s="3"/>
    </row>
    <row r="82" spans="1:15" ht="15.75" x14ac:dyDescent="0.25">
      <c r="A82" s="1"/>
      <c r="B82" s="3"/>
      <c r="F82" s="1"/>
      <c r="G82" s="1"/>
      <c r="M82" s="17">
        <f t="shared" si="0"/>
        <v>0</v>
      </c>
      <c r="N82" s="19"/>
      <c r="O82" s="3"/>
    </row>
    <row r="83" spans="1:15" ht="15.75" x14ac:dyDescent="0.25">
      <c r="A83" s="1"/>
      <c r="B83" s="3"/>
      <c r="F83" s="1"/>
      <c r="G83" s="1"/>
      <c r="M83" s="17">
        <f t="shared" si="0"/>
        <v>0</v>
      </c>
      <c r="N83" s="19"/>
      <c r="O83" s="3"/>
    </row>
    <row r="84" spans="1:15" ht="15.75" x14ac:dyDescent="0.25">
      <c r="A84" s="1"/>
      <c r="B84" s="3"/>
      <c r="F84" s="1"/>
      <c r="G84" s="1"/>
      <c r="M84" s="17">
        <f t="shared" si="0"/>
        <v>0</v>
      </c>
      <c r="N84" s="19"/>
      <c r="O84" s="3"/>
    </row>
    <row r="85" spans="1:15" ht="15.75" x14ac:dyDescent="0.25">
      <c r="A85" s="1"/>
      <c r="B85" s="3"/>
      <c r="F85" s="1"/>
      <c r="G85" s="1"/>
      <c r="M85" s="17">
        <f t="shared" si="0"/>
        <v>0</v>
      </c>
      <c r="N85" s="19"/>
      <c r="O85" s="3"/>
    </row>
    <row r="86" spans="1:15" ht="15.75" x14ac:dyDescent="0.25">
      <c r="A86" s="1"/>
      <c r="B86" s="3"/>
      <c r="F86" s="1"/>
      <c r="G86" s="1"/>
      <c r="M86" s="17">
        <f t="shared" ref="M86:M112" si="1">B86</f>
        <v>0</v>
      </c>
      <c r="N86" s="19"/>
      <c r="O86" s="3"/>
    </row>
    <row r="87" spans="1:15" ht="15.75" x14ac:dyDescent="0.25">
      <c r="A87" s="1"/>
      <c r="B87" s="3"/>
      <c r="F87" s="1"/>
      <c r="G87" s="1"/>
      <c r="M87" s="17">
        <f t="shared" si="1"/>
        <v>0</v>
      </c>
      <c r="N87" s="19"/>
      <c r="O87" s="3"/>
    </row>
    <row r="88" spans="1:15" ht="15.75" x14ac:dyDescent="0.25">
      <c r="A88" s="1"/>
      <c r="B88" s="3"/>
      <c r="F88" s="1"/>
      <c r="G88" s="1"/>
      <c r="M88" s="17">
        <f t="shared" si="1"/>
        <v>0</v>
      </c>
      <c r="N88" s="19"/>
      <c r="O88" s="3"/>
    </row>
    <row r="89" spans="1:15" ht="15.75" x14ac:dyDescent="0.25">
      <c r="A89" s="1"/>
      <c r="B89" s="3"/>
      <c r="F89" s="1"/>
      <c r="G89" s="1"/>
      <c r="M89" s="17">
        <f t="shared" si="1"/>
        <v>0</v>
      </c>
      <c r="N89" s="19"/>
      <c r="O89" s="3"/>
    </row>
    <row r="90" spans="1:15" ht="15.75" x14ac:dyDescent="0.25">
      <c r="A90" s="1"/>
      <c r="B90" s="3"/>
      <c r="F90" s="1"/>
      <c r="G90" s="1"/>
      <c r="M90" s="17">
        <f t="shared" si="1"/>
        <v>0</v>
      </c>
      <c r="N90" s="19"/>
      <c r="O90" s="3"/>
    </row>
    <row r="91" spans="1:15" ht="15.75" x14ac:dyDescent="0.25">
      <c r="A91" s="1"/>
      <c r="B91" s="3"/>
      <c r="F91" s="1"/>
      <c r="G91" s="1"/>
      <c r="M91" s="17">
        <f t="shared" si="1"/>
        <v>0</v>
      </c>
      <c r="N91" s="19"/>
      <c r="O91" s="3"/>
    </row>
    <row r="92" spans="1:15" ht="15.75" x14ac:dyDescent="0.25">
      <c r="A92" s="1"/>
      <c r="B92" s="3"/>
      <c r="F92" s="1"/>
      <c r="G92" s="1"/>
      <c r="M92" s="17">
        <f t="shared" si="1"/>
        <v>0</v>
      </c>
      <c r="N92" s="19"/>
      <c r="O92" s="3"/>
    </row>
    <row r="93" spans="1:15" ht="15.75" x14ac:dyDescent="0.25">
      <c r="A93" s="1"/>
      <c r="B93" s="3"/>
      <c r="F93" s="1"/>
      <c r="G93" s="1"/>
      <c r="M93" s="17">
        <f t="shared" si="1"/>
        <v>0</v>
      </c>
      <c r="N93" s="19"/>
      <c r="O93" s="3"/>
    </row>
    <row r="94" spans="1:15" ht="15.75" x14ac:dyDescent="0.25">
      <c r="A94" s="1"/>
      <c r="B94" s="3"/>
      <c r="F94" s="1"/>
      <c r="G94" s="1"/>
      <c r="M94" s="17">
        <f t="shared" si="1"/>
        <v>0</v>
      </c>
      <c r="N94" s="19"/>
      <c r="O94" s="3"/>
    </row>
    <row r="95" spans="1:15" ht="15.75" x14ac:dyDescent="0.25">
      <c r="A95" s="1"/>
      <c r="B95" s="3"/>
      <c r="F95" s="1"/>
      <c r="G95" s="1"/>
      <c r="M95" s="17">
        <f t="shared" si="1"/>
        <v>0</v>
      </c>
      <c r="N95" s="19"/>
      <c r="O95" s="3"/>
    </row>
    <row r="96" spans="1:15" ht="15.75" x14ac:dyDescent="0.25">
      <c r="A96" s="1"/>
      <c r="B96" s="3"/>
      <c r="F96" s="1"/>
      <c r="G96" s="1"/>
      <c r="M96" s="17">
        <f t="shared" si="1"/>
        <v>0</v>
      </c>
      <c r="N96" s="19"/>
      <c r="O96" s="3"/>
    </row>
    <row r="97" spans="1:15" ht="15.75" x14ac:dyDescent="0.25">
      <c r="A97" s="1"/>
      <c r="B97" s="3"/>
      <c r="F97" s="1"/>
      <c r="G97" s="1"/>
      <c r="M97" s="17">
        <f t="shared" si="1"/>
        <v>0</v>
      </c>
      <c r="N97" s="19"/>
      <c r="O97" s="3"/>
    </row>
    <row r="98" spans="1:15" ht="15.75" x14ac:dyDescent="0.25">
      <c r="A98" s="1"/>
      <c r="B98" s="3"/>
      <c r="F98" s="1"/>
      <c r="G98" s="1"/>
      <c r="M98" s="17">
        <f t="shared" si="1"/>
        <v>0</v>
      </c>
      <c r="N98" s="19"/>
      <c r="O98" s="3"/>
    </row>
    <row r="99" spans="1:15" ht="15.75" x14ac:dyDescent="0.25">
      <c r="A99" s="1"/>
      <c r="B99" s="3"/>
      <c r="F99" s="1"/>
      <c r="G99" s="1"/>
      <c r="M99" s="17">
        <f t="shared" si="1"/>
        <v>0</v>
      </c>
      <c r="N99" s="19"/>
      <c r="O99" s="3"/>
    </row>
    <row r="100" spans="1:15" ht="15.75" x14ac:dyDescent="0.25">
      <c r="A100" s="1"/>
      <c r="B100" s="3"/>
      <c r="F100" s="1"/>
      <c r="G100" s="1"/>
      <c r="M100" s="17">
        <f t="shared" si="1"/>
        <v>0</v>
      </c>
      <c r="N100" s="19"/>
      <c r="O100" s="3"/>
    </row>
    <row r="101" spans="1:15" ht="15.75" x14ac:dyDescent="0.25">
      <c r="A101" s="1"/>
      <c r="B101" s="3"/>
      <c r="F101" s="1"/>
      <c r="G101" s="1"/>
      <c r="M101" s="17">
        <f t="shared" si="1"/>
        <v>0</v>
      </c>
      <c r="N101" s="19"/>
      <c r="O101" s="3"/>
    </row>
    <row r="102" spans="1:15" ht="15.75" x14ac:dyDescent="0.25">
      <c r="A102" s="1"/>
      <c r="B102" s="3"/>
      <c r="F102" s="1"/>
      <c r="G102" s="1"/>
      <c r="M102" s="17">
        <f t="shared" si="1"/>
        <v>0</v>
      </c>
      <c r="N102" s="19"/>
      <c r="O102" s="3"/>
    </row>
    <row r="103" spans="1:15" ht="15.75" x14ac:dyDescent="0.25">
      <c r="A103" s="1"/>
      <c r="B103" s="3"/>
      <c r="F103" s="1"/>
      <c r="G103" s="1"/>
      <c r="M103" s="17">
        <f t="shared" si="1"/>
        <v>0</v>
      </c>
      <c r="N103" s="19"/>
      <c r="O103" s="3"/>
    </row>
    <row r="104" spans="1:15" ht="15.75" x14ac:dyDescent="0.25">
      <c r="A104" s="1"/>
      <c r="B104" s="3"/>
      <c r="F104" s="1"/>
      <c r="G104" s="1"/>
      <c r="M104" s="17">
        <f t="shared" si="1"/>
        <v>0</v>
      </c>
      <c r="N104" s="19"/>
      <c r="O104" s="3"/>
    </row>
    <row r="105" spans="1:15" ht="15.75" x14ac:dyDescent="0.25">
      <c r="A105" s="1"/>
      <c r="B105" s="3"/>
      <c r="F105" s="1"/>
      <c r="G105" s="1"/>
      <c r="M105" s="17">
        <f t="shared" si="1"/>
        <v>0</v>
      </c>
      <c r="N105" s="19"/>
      <c r="O105" s="3"/>
    </row>
    <row r="106" spans="1:15" ht="15.75" x14ac:dyDescent="0.25">
      <c r="A106" s="1"/>
      <c r="B106" s="3"/>
      <c r="F106" s="1"/>
      <c r="G106" s="1"/>
      <c r="M106" s="17">
        <f t="shared" si="1"/>
        <v>0</v>
      </c>
      <c r="N106" s="19"/>
      <c r="O106" s="3"/>
    </row>
    <row r="107" spans="1:15" ht="15.75" x14ac:dyDescent="0.25">
      <c r="A107" s="1"/>
      <c r="B107" s="3"/>
      <c r="F107" s="1"/>
      <c r="G107" s="1"/>
      <c r="M107" s="17">
        <f t="shared" si="1"/>
        <v>0</v>
      </c>
      <c r="N107" s="19"/>
      <c r="O107" s="3"/>
    </row>
    <row r="108" spans="1:15" ht="15.75" x14ac:dyDescent="0.25">
      <c r="A108" s="1"/>
      <c r="B108" s="3"/>
      <c r="F108" s="1"/>
      <c r="G108" s="1"/>
      <c r="M108" s="17">
        <f t="shared" si="1"/>
        <v>0</v>
      </c>
      <c r="N108" s="19"/>
      <c r="O108" s="3"/>
    </row>
    <row r="109" spans="1:15" ht="15.75" x14ac:dyDescent="0.25">
      <c r="A109" s="1"/>
      <c r="B109" s="3"/>
      <c r="F109" s="1"/>
      <c r="G109" s="1"/>
      <c r="M109" s="17">
        <f t="shared" si="1"/>
        <v>0</v>
      </c>
      <c r="N109" s="19"/>
      <c r="O109" s="3"/>
    </row>
    <row r="110" spans="1:15" ht="15.75" x14ac:dyDescent="0.25">
      <c r="A110" s="1"/>
      <c r="B110" s="3"/>
      <c r="F110" s="1"/>
      <c r="G110" s="1"/>
      <c r="M110" s="17">
        <f t="shared" si="1"/>
        <v>0</v>
      </c>
      <c r="N110" s="19"/>
      <c r="O110" s="3"/>
    </row>
    <row r="111" spans="1:15" ht="15.75" x14ac:dyDescent="0.25">
      <c r="A111" s="1"/>
      <c r="B111" s="3"/>
      <c r="F111" s="1"/>
      <c r="G111" s="1"/>
      <c r="M111" s="17">
        <f t="shared" si="1"/>
        <v>0</v>
      </c>
      <c r="N111" s="19"/>
      <c r="O111" s="3"/>
    </row>
    <row r="112" spans="1:15" ht="15.75" x14ac:dyDescent="0.25">
      <c r="A112" s="1"/>
      <c r="B112" s="3"/>
      <c r="F112" s="1"/>
      <c r="G112" s="1"/>
      <c r="M112" s="17">
        <f t="shared" si="1"/>
        <v>0</v>
      </c>
      <c r="N112" s="19"/>
      <c r="O112" s="3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  <c r="M115" s="1"/>
    </row>
    <row r="116" spans="1:13" x14ac:dyDescent="0.25">
      <c r="A116" s="1"/>
      <c r="B116" s="3"/>
      <c r="F116" s="1"/>
      <c r="G116" s="1"/>
      <c r="M116" s="1"/>
    </row>
    <row r="117" spans="1:13" x14ac:dyDescent="0.25">
      <c r="A117" s="1"/>
      <c r="B117" s="3"/>
      <c r="F117" s="1"/>
      <c r="G117" s="1"/>
      <c r="M117" s="1"/>
    </row>
    <row r="118" spans="1:13" x14ac:dyDescent="0.25">
      <c r="A118" s="1"/>
      <c r="B118" s="3"/>
      <c r="F118" s="1"/>
      <c r="G118" s="1"/>
      <c r="M118" s="1"/>
    </row>
    <row r="119" spans="1:13" x14ac:dyDescent="0.25">
      <c r="A119" s="1"/>
      <c r="B119" s="3"/>
      <c r="F119" s="1"/>
      <c r="G119" s="1"/>
      <c r="M119" s="1"/>
    </row>
    <row r="120" spans="1:13" x14ac:dyDescent="0.25">
      <c r="A120" s="1"/>
      <c r="B120" s="3"/>
      <c r="F120" s="1"/>
      <c r="G120" s="1"/>
      <c r="M120" s="1"/>
    </row>
    <row r="121" spans="1:13" x14ac:dyDescent="0.25">
      <c r="A121" s="1"/>
      <c r="B121" s="3"/>
      <c r="F121" s="1"/>
      <c r="G121" s="1"/>
      <c r="M121" s="1"/>
    </row>
    <row r="122" spans="1:13" x14ac:dyDescent="0.25">
      <c r="A122" s="1"/>
      <c r="B122" s="3"/>
      <c r="F122" s="1"/>
      <c r="G122" s="1"/>
      <c r="M122" s="1"/>
    </row>
    <row r="123" spans="1:13" x14ac:dyDescent="0.25">
      <c r="A123" s="1"/>
      <c r="B123" s="3"/>
      <c r="F123" s="1"/>
      <c r="G123" s="1"/>
      <c r="M123" s="1"/>
    </row>
    <row r="124" spans="1:13" x14ac:dyDescent="0.25">
      <c r="A124" s="1"/>
      <c r="B124" s="3"/>
      <c r="F124" s="1"/>
      <c r="G124" s="1"/>
      <c r="M124" s="1"/>
    </row>
    <row r="125" spans="1:13" x14ac:dyDescent="0.25">
      <c r="A125" s="1"/>
      <c r="B125" s="3"/>
      <c r="F125" s="1"/>
      <c r="G125" s="1"/>
      <c r="M125" s="1"/>
    </row>
    <row r="126" spans="1:13" x14ac:dyDescent="0.25">
      <c r="A126" s="1"/>
      <c r="B126" s="3"/>
      <c r="F126" s="1"/>
      <c r="G126" s="1"/>
      <c r="M126" s="1"/>
    </row>
    <row r="127" spans="1:13" x14ac:dyDescent="0.25">
      <c r="A127" s="1"/>
      <c r="B127" s="3"/>
      <c r="F127" s="1"/>
      <c r="G127" s="1"/>
      <c r="M127" s="1"/>
    </row>
    <row r="128" spans="1:13" x14ac:dyDescent="0.25">
      <c r="A128" s="1"/>
      <c r="B128" s="3"/>
      <c r="F128" s="1"/>
      <c r="G128" s="1"/>
    </row>
    <row r="129" spans="1:7" x14ac:dyDescent="0.25">
      <c r="A129" s="1"/>
      <c r="B129" s="3"/>
      <c r="F129" s="1"/>
      <c r="G129" s="1"/>
    </row>
    <row r="130" spans="1:7" x14ac:dyDescent="0.25">
      <c r="A130" s="1"/>
      <c r="B130" s="3"/>
      <c r="F130" s="1"/>
      <c r="G130" s="1"/>
    </row>
    <row r="131" spans="1:7" x14ac:dyDescent="0.25">
      <c r="A131" s="1"/>
      <c r="B131" s="3"/>
      <c r="F131" s="1"/>
      <c r="G131" s="1"/>
    </row>
    <row r="132" spans="1:7" x14ac:dyDescent="0.25">
      <c r="A132" s="1"/>
      <c r="B132" s="3"/>
      <c r="F132" s="1"/>
      <c r="G132" s="1"/>
    </row>
    <row r="133" spans="1:7" x14ac:dyDescent="0.25">
      <c r="A133" s="1"/>
      <c r="B133" s="3"/>
      <c r="F133" s="1"/>
      <c r="G133" s="1"/>
    </row>
    <row r="134" spans="1:7" x14ac:dyDescent="0.25">
      <c r="A134" s="1"/>
      <c r="B134" s="3"/>
      <c r="F134" s="1"/>
      <c r="G134" s="1"/>
    </row>
    <row r="135" spans="1:7" x14ac:dyDescent="0.25">
      <c r="A135" s="1"/>
      <c r="B135" s="3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F410" s="1"/>
      <c r="G410" s="1"/>
    </row>
    <row r="411" spans="1:7" x14ac:dyDescent="0.25">
      <c r="A411" s="1"/>
      <c r="B411" s="1"/>
      <c r="F411" s="1"/>
      <c r="G411" s="1"/>
    </row>
    <row r="412" spans="1:7" x14ac:dyDescent="0.25">
      <c r="A412" s="1"/>
      <c r="B412" s="1"/>
      <c r="F412" s="1"/>
      <c r="G412" s="1"/>
    </row>
    <row r="413" spans="1:7" x14ac:dyDescent="0.25">
      <c r="A413" s="1"/>
      <c r="B413" s="1"/>
      <c r="F413" s="1"/>
      <c r="G413" s="1"/>
    </row>
    <row r="414" spans="1:7" x14ac:dyDescent="0.25">
      <c r="A414" s="1"/>
      <c r="B414" s="1"/>
      <c r="F414" s="1"/>
      <c r="G414" s="1"/>
    </row>
    <row r="415" spans="1:7" x14ac:dyDescent="0.25">
      <c r="A415" s="1"/>
      <c r="B415" s="1"/>
      <c r="F415" s="1"/>
      <c r="G415" s="1"/>
    </row>
    <row r="416" spans="1:7" x14ac:dyDescent="0.25">
      <c r="A416" s="1"/>
      <c r="B416" s="1"/>
      <c r="F416" s="1"/>
      <c r="G416" s="1"/>
    </row>
    <row r="417" spans="1:7" x14ac:dyDescent="0.25">
      <c r="A417" s="1"/>
      <c r="B417" s="1"/>
      <c r="F417" s="1"/>
      <c r="G417" s="1"/>
    </row>
    <row r="418" spans="1:7" x14ac:dyDescent="0.25">
      <c r="A418" s="1"/>
      <c r="B418" s="1"/>
      <c r="F418" s="1"/>
      <c r="G418" s="1"/>
    </row>
    <row r="419" spans="1:7" x14ac:dyDescent="0.25">
      <c r="A419" s="1"/>
      <c r="B419" s="1"/>
      <c r="F419" s="1"/>
      <c r="G419" s="1"/>
    </row>
    <row r="420" spans="1:7" x14ac:dyDescent="0.25">
      <c r="A420" s="1"/>
      <c r="B420" s="1"/>
      <c r="F420" s="1"/>
      <c r="G420" s="1"/>
    </row>
    <row r="421" spans="1:7" x14ac:dyDescent="0.25">
      <c r="A421" s="1"/>
      <c r="B421" s="1"/>
      <c r="F421" s="1"/>
      <c r="G421" s="1"/>
    </row>
    <row r="422" spans="1:7" x14ac:dyDescent="0.25">
      <c r="A422" s="1"/>
      <c r="B422" s="1"/>
      <c r="F422" s="1"/>
      <c r="G422" s="1"/>
    </row>
    <row r="423" spans="1:7" x14ac:dyDescent="0.25">
      <c r="A423" s="1"/>
      <c r="B423" s="1"/>
      <c r="G423" s="1"/>
    </row>
    <row r="424" spans="1:7" x14ac:dyDescent="0.25">
      <c r="A424" s="1"/>
      <c r="B424" s="1"/>
      <c r="G424" s="1"/>
    </row>
    <row r="425" spans="1:7" x14ac:dyDescent="0.25">
      <c r="A425" s="1"/>
      <c r="B425" s="1"/>
      <c r="G425" s="1"/>
    </row>
  </sheetData>
  <mergeCells count="3">
    <mergeCell ref="A5:D5"/>
    <mergeCell ref="F5:J5"/>
    <mergeCell ref="L5:P5"/>
  </mergeCells>
  <conditionalFormatting sqref="N8:N112">
    <cfRule type="cellIs" dxfId="13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7345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1</xdr:col>
                <xdr:colOff>1362075</xdr:colOff>
                <xdr:row>2</xdr:row>
                <xdr:rowOff>104775</xdr:rowOff>
              </to>
            </anchor>
          </controlPr>
        </control>
      </mc:Choice>
      <mc:Fallback>
        <control shapeId="57345" r:id="rId4" name="ExecuteQueries"/>
      </mc:Fallback>
    </mc:AlternateContent>
    <mc:AlternateContent xmlns:mc="http://schemas.openxmlformats.org/markup-compatibility/2006">
      <mc:Choice Requires="x14">
        <control shapeId="57346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419100</xdr:colOff>
                <xdr:row>2</xdr:row>
                <xdr:rowOff>104775</xdr:rowOff>
              </to>
            </anchor>
          </controlPr>
        </control>
      </mc:Choice>
      <mc:Fallback>
        <control shapeId="57346" r:id="rId6" name="ClearBtn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9" tint="-0.249977111117893"/>
  </sheetPr>
  <dimension ref="A1:AM461"/>
  <sheetViews>
    <sheetView topLeftCell="E1" workbookViewId="0">
      <selection activeCell="B14" sqref="B14"/>
    </sheetView>
  </sheetViews>
  <sheetFormatPr defaultRowHeight="15" x14ac:dyDescent="0.25"/>
  <cols>
    <col min="1" max="1" width="10.7109375" bestFit="1" customWidth="1"/>
    <col min="2" max="2" width="20.7109375" customWidth="1"/>
    <col min="3" max="3" width="24.7109375" customWidth="1"/>
    <col min="4" max="4" width="21.710937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1.140625" bestFit="1" customWidth="1"/>
    <col min="13" max="13" width="12.5703125" bestFit="1" customWidth="1"/>
    <col min="14" max="14" width="12.28515625" bestFit="1" customWidth="1"/>
    <col min="15" max="15" width="11.28515625" bestFit="1" customWidth="1"/>
    <col min="16" max="16" width="11" bestFit="1" customWidth="1"/>
    <col min="17" max="17" width="11.5703125" bestFit="1" customWidth="1"/>
    <col min="18" max="18" width="10.85546875" bestFit="1" customWidth="1"/>
    <col min="19" max="19" width="10.28515625" bestFit="1" customWidth="1"/>
    <col min="20" max="20" width="11.28515625" bestFit="1" customWidth="1"/>
    <col min="22" max="22" width="10.28515625" bestFit="1" customWidth="1"/>
    <col min="23" max="23" width="10.85546875" bestFit="1" customWidth="1"/>
    <col min="24" max="24" width="11.42578125" bestFit="1" customWidth="1"/>
    <col min="25" max="25" width="11.140625" bestFit="1" customWidth="1"/>
    <col min="39" max="39" width="11.42578125" bestFit="1" customWidth="1"/>
  </cols>
  <sheetData>
    <row r="1" spans="1:39" x14ac:dyDescent="0.25">
      <c r="E1"/>
      <c r="K1"/>
    </row>
    <row r="2" spans="1:39" x14ac:dyDescent="0.25">
      <c r="E2"/>
      <c r="H2" t="s">
        <v>20</v>
      </c>
      <c r="I2" s="5">
        <v>158</v>
      </c>
      <c r="K2"/>
    </row>
    <row r="3" spans="1:39" x14ac:dyDescent="0.25">
      <c r="E3"/>
      <c r="K3"/>
    </row>
    <row r="4" spans="1:39" s="2" customFormat="1" ht="15.75" thickBot="1" x14ac:dyDescent="0.3"/>
    <row r="5" spans="1:39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65" t="s">
        <v>10</v>
      </c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15"/>
      <c r="AA5" s="95"/>
    </row>
    <row r="6" spans="1:39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67" t="s">
        <v>574</v>
      </c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16"/>
      <c r="AA6" s="111"/>
    </row>
    <row r="7" spans="1:39" s="2" customFormat="1" x14ac:dyDescent="0.25">
      <c r="F7" s="6"/>
      <c r="G7" s="6"/>
      <c r="L7" s="106" t="s">
        <v>584</v>
      </c>
      <c r="M7" s="106" t="s">
        <v>575</v>
      </c>
      <c r="N7" s="106" t="s">
        <v>576</v>
      </c>
      <c r="O7" s="106" t="s">
        <v>577</v>
      </c>
      <c r="P7" s="106" t="s">
        <v>585</v>
      </c>
      <c r="Q7" s="106" t="s">
        <v>578</v>
      </c>
      <c r="R7" s="106" t="s">
        <v>579</v>
      </c>
      <c r="S7" s="106" t="s">
        <v>587</v>
      </c>
      <c r="T7" s="106" t="s">
        <v>580</v>
      </c>
      <c r="U7" s="106" t="s">
        <v>581</v>
      </c>
      <c r="V7" s="106" t="s">
        <v>586</v>
      </c>
      <c r="W7" s="106" t="s">
        <v>582</v>
      </c>
      <c r="X7" s="106" t="s">
        <v>583</v>
      </c>
      <c r="Y7" s="114" t="s">
        <v>725</v>
      </c>
    </row>
    <row r="8" spans="1:39" ht="15.75" x14ac:dyDescent="0.25">
      <c r="A8" s="50">
        <v>41274</v>
      </c>
      <c r="B8" s="5" t="s">
        <v>250</v>
      </c>
      <c r="C8" s="88"/>
      <c r="D8" s="5"/>
      <c r="E8" s="5"/>
      <c r="F8" s="50">
        <v>41274</v>
      </c>
      <c r="G8" s="50">
        <v>41301</v>
      </c>
      <c r="H8" s="5" t="s">
        <v>67</v>
      </c>
      <c r="I8" s="5" t="s">
        <v>17</v>
      </c>
      <c r="J8" s="5" t="s">
        <v>17</v>
      </c>
      <c r="K8" s="5"/>
      <c r="L8" s="97" t="s">
        <v>275</v>
      </c>
      <c r="M8" s="103" t="s">
        <v>276</v>
      </c>
      <c r="N8" s="104" t="s">
        <v>277</v>
      </c>
      <c r="O8" s="105" t="s">
        <v>278</v>
      </c>
      <c r="P8" s="97" t="s">
        <v>279</v>
      </c>
      <c r="Q8" s="97" t="s">
        <v>280</v>
      </c>
      <c r="R8" s="97" t="s">
        <v>281</v>
      </c>
      <c r="S8" s="97" t="s">
        <v>282</v>
      </c>
      <c r="T8" s="97" t="s">
        <v>283</v>
      </c>
      <c r="U8" s="97" t="s">
        <v>284</v>
      </c>
      <c r="V8" s="97" t="s">
        <v>285</v>
      </c>
      <c r="W8" s="97" t="s">
        <v>286</v>
      </c>
      <c r="X8" s="97" t="s">
        <v>287</v>
      </c>
      <c r="Y8" s="10" t="s">
        <v>712</v>
      </c>
      <c r="Z8" s="92"/>
      <c r="AA8" s="92"/>
      <c r="AB8" s="103" t="s">
        <v>276</v>
      </c>
      <c r="AC8" s="104" t="s">
        <v>277</v>
      </c>
      <c r="AD8" s="105" t="s">
        <v>278</v>
      </c>
      <c r="AE8" s="97" t="s">
        <v>279</v>
      </c>
      <c r="AF8" s="97" t="s">
        <v>280</v>
      </c>
      <c r="AG8" s="97" t="s">
        <v>281</v>
      </c>
      <c r="AH8" s="97" t="s">
        <v>282</v>
      </c>
      <c r="AI8" s="97" t="s">
        <v>283</v>
      </c>
      <c r="AJ8" s="97" t="s">
        <v>284</v>
      </c>
      <c r="AK8" s="97" t="s">
        <v>285</v>
      </c>
      <c r="AL8" s="97" t="s">
        <v>286</v>
      </c>
      <c r="AM8" s="97" t="s">
        <v>287</v>
      </c>
    </row>
    <row r="9" spans="1:39" ht="15.75" x14ac:dyDescent="0.25">
      <c r="A9" s="50">
        <v>41638</v>
      </c>
      <c r="B9" s="5" t="s">
        <v>250</v>
      </c>
      <c r="C9" s="88"/>
      <c r="D9" s="5"/>
      <c r="E9" s="5"/>
      <c r="F9" s="50">
        <v>41638</v>
      </c>
      <c r="G9" s="50">
        <v>41665</v>
      </c>
      <c r="H9" s="5" t="s">
        <v>92</v>
      </c>
      <c r="I9" s="5" t="s">
        <v>17</v>
      </c>
      <c r="J9" s="5" t="s">
        <v>17</v>
      </c>
      <c r="K9" s="5"/>
      <c r="L9" s="97" t="s">
        <v>288</v>
      </c>
      <c r="M9" s="103" t="s">
        <v>289</v>
      </c>
      <c r="N9" s="104" t="s">
        <v>290</v>
      </c>
      <c r="O9" s="105" t="s">
        <v>291</v>
      </c>
      <c r="P9" s="97" t="s">
        <v>292</v>
      </c>
      <c r="Q9" s="97" t="s">
        <v>293</v>
      </c>
      <c r="R9" s="97" t="s">
        <v>294</v>
      </c>
      <c r="S9" s="97" t="s">
        <v>295</v>
      </c>
      <c r="T9" s="97" t="s">
        <v>296</v>
      </c>
      <c r="U9" s="97" t="s">
        <v>297</v>
      </c>
      <c r="V9" s="97" t="s">
        <v>298</v>
      </c>
      <c r="W9" s="97" t="s">
        <v>299</v>
      </c>
      <c r="X9" s="97" t="s">
        <v>300</v>
      </c>
      <c r="Y9" s="10" t="s">
        <v>713</v>
      </c>
      <c r="Z9" s="92"/>
      <c r="AA9" s="92"/>
      <c r="AB9" s="103" t="s">
        <v>289</v>
      </c>
      <c r="AC9" s="104" t="s">
        <v>290</v>
      </c>
      <c r="AD9" s="105" t="s">
        <v>291</v>
      </c>
      <c r="AE9" s="97" t="s">
        <v>292</v>
      </c>
      <c r="AF9" s="97" t="s">
        <v>293</v>
      </c>
      <c r="AG9" s="97" t="s">
        <v>294</v>
      </c>
      <c r="AH9" s="97" t="s">
        <v>295</v>
      </c>
      <c r="AI9" s="97" t="s">
        <v>296</v>
      </c>
      <c r="AJ9" s="97" t="s">
        <v>297</v>
      </c>
      <c r="AK9" s="97" t="s">
        <v>298</v>
      </c>
      <c r="AL9" s="97" t="s">
        <v>299</v>
      </c>
      <c r="AM9" s="97" t="s">
        <v>300</v>
      </c>
    </row>
    <row r="10" spans="1:39" ht="15.75" x14ac:dyDescent="0.25">
      <c r="A10" s="50">
        <v>42368</v>
      </c>
      <c r="B10" s="5" t="s">
        <v>250</v>
      </c>
      <c r="C10" s="88"/>
      <c r="D10" s="5"/>
      <c r="E10" s="5"/>
      <c r="F10" s="50">
        <v>42366</v>
      </c>
      <c r="G10" s="50">
        <v>42393</v>
      </c>
      <c r="H10" s="5" t="s">
        <v>16</v>
      </c>
      <c r="I10" s="5" t="s">
        <v>17</v>
      </c>
      <c r="J10" s="5" t="s">
        <v>17</v>
      </c>
      <c r="K10" s="5"/>
      <c r="L10" s="97" t="s">
        <v>301</v>
      </c>
      <c r="M10" s="103" t="s">
        <v>302</v>
      </c>
      <c r="N10" s="104" t="s">
        <v>303</v>
      </c>
      <c r="O10" s="105" t="s">
        <v>304</v>
      </c>
      <c r="P10" s="97" t="s">
        <v>305</v>
      </c>
      <c r="Q10" s="97" t="s">
        <v>306</v>
      </c>
      <c r="R10" s="97" t="s">
        <v>307</v>
      </c>
      <c r="S10" s="97" t="s">
        <v>308</v>
      </c>
      <c r="T10" s="97" t="s">
        <v>309</v>
      </c>
      <c r="U10" s="97" t="s">
        <v>310</v>
      </c>
      <c r="V10" s="97" t="s">
        <v>311</v>
      </c>
      <c r="W10" s="97" t="s">
        <v>312</v>
      </c>
      <c r="X10" s="97" t="s">
        <v>313</v>
      </c>
      <c r="Y10" s="10" t="s">
        <v>714</v>
      </c>
      <c r="Z10" s="92"/>
      <c r="AA10" s="92"/>
      <c r="AB10" s="103" t="s">
        <v>302</v>
      </c>
      <c r="AC10" s="104" t="s">
        <v>303</v>
      </c>
      <c r="AD10" s="105" t="s">
        <v>304</v>
      </c>
      <c r="AE10" s="97" t="s">
        <v>305</v>
      </c>
      <c r="AF10" s="97" t="s">
        <v>306</v>
      </c>
      <c r="AG10" s="97" t="s">
        <v>307</v>
      </c>
      <c r="AH10" s="97" t="s">
        <v>308</v>
      </c>
      <c r="AI10" s="97" t="s">
        <v>309</v>
      </c>
      <c r="AJ10" s="97" t="s">
        <v>310</v>
      </c>
      <c r="AK10" s="97" t="s">
        <v>311</v>
      </c>
      <c r="AL10" s="97" t="s">
        <v>312</v>
      </c>
      <c r="AM10" s="97" t="s">
        <v>313</v>
      </c>
    </row>
    <row r="11" spans="1:39" ht="15.75" x14ac:dyDescent="0.25">
      <c r="A11" s="50">
        <v>42369</v>
      </c>
      <c r="B11" s="5" t="s">
        <v>250</v>
      </c>
      <c r="C11" s="88"/>
      <c r="D11" s="5"/>
      <c r="E11" s="5"/>
      <c r="F11" s="50">
        <v>42366</v>
      </c>
      <c r="G11" s="50">
        <v>42393</v>
      </c>
      <c r="H11" s="5" t="s">
        <v>16</v>
      </c>
      <c r="I11" s="5" t="s">
        <v>17</v>
      </c>
      <c r="J11" s="5" t="s">
        <v>17</v>
      </c>
      <c r="K11" s="5"/>
      <c r="L11" s="97" t="s">
        <v>301</v>
      </c>
      <c r="M11" s="103" t="s">
        <v>302</v>
      </c>
      <c r="N11" s="104" t="s">
        <v>303</v>
      </c>
      <c r="O11" s="105" t="s">
        <v>304</v>
      </c>
      <c r="P11" s="97" t="s">
        <v>305</v>
      </c>
      <c r="Q11" s="97" t="s">
        <v>306</v>
      </c>
      <c r="R11" s="97" t="s">
        <v>307</v>
      </c>
      <c r="S11" s="97" t="s">
        <v>308</v>
      </c>
      <c r="T11" s="97" t="s">
        <v>309</v>
      </c>
      <c r="U11" s="97" t="s">
        <v>310</v>
      </c>
      <c r="V11" s="97" t="s">
        <v>311</v>
      </c>
      <c r="W11" s="97" t="s">
        <v>312</v>
      </c>
      <c r="X11" s="97" t="s">
        <v>313</v>
      </c>
      <c r="Y11" s="10" t="s">
        <v>714</v>
      </c>
      <c r="Z11" s="92"/>
      <c r="AA11" s="92"/>
      <c r="AB11" s="103" t="s">
        <v>302</v>
      </c>
      <c r="AC11" s="104" t="s">
        <v>303</v>
      </c>
      <c r="AD11" s="105" t="s">
        <v>304</v>
      </c>
      <c r="AE11" s="97" t="s">
        <v>305</v>
      </c>
      <c r="AF11" s="97" t="s">
        <v>306</v>
      </c>
      <c r="AG11" s="97" t="s">
        <v>307</v>
      </c>
      <c r="AH11" s="97" t="s">
        <v>308</v>
      </c>
      <c r="AI11" s="97" t="s">
        <v>309</v>
      </c>
      <c r="AJ11" s="97" t="s">
        <v>310</v>
      </c>
      <c r="AK11" s="97" t="s">
        <v>311</v>
      </c>
      <c r="AL11" s="97" t="s">
        <v>312</v>
      </c>
      <c r="AM11" s="97" t="s">
        <v>313</v>
      </c>
    </row>
    <row r="12" spans="1:39" ht="15.75" x14ac:dyDescent="0.25">
      <c r="A12" s="30">
        <v>42491</v>
      </c>
      <c r="B12" s="4" t="s">
        <v>250</v>
      </c>
      <c r="C12" s="56"/>
      <c r="F12" s="1">
        <v>42478</v>
      </c>
      <c r="G12" s="1">
        <v>42505</v>
      </c>
      <c r="H12" t="s">
        <v>16</v>
      </c>
      <c r="I12" t="s">
        <v>142</v>
      </c>
      <c r="J12" t="s">
        <v>143</v>
      </c>
      <c r="L12" s="107" t="s">
        <v>301</v>
      </c>
      <c r="M12" s="98" t="s">
        <v>302</v>
      </c>
      <c r="N12" s="99" t="s">
        <v>303</v>
      </c>
      <c r="O12" s="100" t="s">
        <v>304</v>
      </c>
      <c r="P12" s="107" t="s">
        <v>305</v>
      </c>
      <c r="Q12" s="101" t="s">
        <v>306</v>
      </c>
      <c r="R12" s="101" t="s">
        <v>307</v>
      </c>
      <c r="S12" s="107" t="s">
        <v>308</v>
      </c>
      <c r="T12" s="101" t="s">
        <v>309</v>
      </c>
      <c r="U12" s="101" t="s">
        <v>310</v>
      </c>
      <c r="V12" s="107" t="s">
        <v>311</v>
      </c>
      <c r="W12" s="101" t="s">
        <v>312</v>
      </c>
      <c r="X12" s="101" t="s">
        <v>313</v>
      </c>
      <c r="Y12" s="109" t="s">
        <v>714</v>
      </c>
      <c r="Z12" s="92"/>
      <c r="AA12" s="92"/>
      <c r="AB12" s="98" t="s">
        <v>302</v>
      </c>
      <c r="AC12" s="99" t="s">
        <v>303</v>
      </c>
      <c r="AD12" s="100" t="s">
        <v>304</v>
      </c>
      <c r="AE12" s="107" t="s">
        <v>305</v>
      </c>
      <c r="AF12" s="101" t="s">
        <v>306</v>
      </c>
      <c r="AG12" s="101" t="s">
        <v>307</v>
      </c>
      <c r="AH12" s="107" t="s">
        <v>308</v>
      </c>
      <c r="AI12" s="101" t="s">
        <v>309</v>
      </c>
      <c r="AJ12" s="101" t="s">
        <v>310</v>
      </c>
      <c r="AK12" s="107" t="s">
        <v>311</v>
      </c>
      <c r="AL12" s="101" t="s">
        <v>312</v>
      </c>
      <c r="AM12" s="101" t="s">
        <v>313</v>
      </c>
    </row>
    <row r="13" spans="1:39" ht="15.75" x14ac:dyDescent="0.25">
      <c r="A13" s="30">
        <v>42860</v>
      </c>
      <c r="B13" s="4" t="s">
        <v>250</v>
      </c>
      <c r="C13" s="56"/>
      <c r="F13" s="1">
        <v>42842</v>
      </c>
      <c r="G13" s="1">
        <v>42869</v>
      </c>
      <c r="H13" t="s">
        <v>70</v>
      </c>
      <c r="I13" t="s">
        <v>142</v>
      </c>
      <c r="J13" t="s">
        <v>143</v>
      </c>
      <c r="L13" s="107" t="s">
        <v>314</v>
      </c>
      <c r="M13" s="98" t="s">
        <v>315</v>
      </c>
      <c r="N13" s="99" t="s">
        <v>316</v>
      </c>
      <c r="O13" s="100" t="s">
        <v>317</v>
      </c>
      <c r="P13" s="107" t="s">
        <v>318</v>
      </c>
      <c r="Q13" s="101" t="s">
        <v>319</v>
      </c>
      <c r="R13" s="101" t="s">
        <v>320</v>
      </c>
      <c r="S13" s="107" t="s">
        <v>321</v>
      </c>
      <c r="T13" s="101" t="s">
        <v>322</v>
      </c>
      <c r="U13" s="101" t="s">
        <v>323</v>
      </c>
      <c r="V13" s="107" t="s">
        <v>324</v>
      </c>
      <c r="W13" s="101" t="s">
        <v>325</v>
      </c>
      <c r="X13" s="101" t="s">
        <v>326</v>
      </c>
      <c r="Y13" s="109" t="s">
        <v>707</v>
      </c>
      <c r="Z13" s="92"/>
      <c r="AA13" s="92"/>
      <c r="AB13" s="98" t="s">
        <v>315</v>
      </c>
      <c r="AC13" s="99" t="s">
        <v>316</v>
      </c>
      <c r="AD13" s="100" t="s">
        <v>317</v>
      </c>
      <c r="AE13" s="107" t="s">
        <v>318</v>
      </c>
      <c r="AF13" s="101" t="s">
        <v>319</v>
      </c>
      <c r="AG13" s="101" t="s">
        <v>320</v>
      </c>
      <c r="AH13" s="107" t="s">
        <v>321</v>
      </c>
      <c r="AI13" s="101" t="s">
        <v>322</v>
      </c>
      <c r="AJ13" s="101" t="s">
        <v>323</v>
      </c>
      <c r="AK13" s="107" t="s">
        <v>324</v>
      </c>
      <c r="AL13" s="101" t="s">
        <v>325</v>
      </c>
      <c r="AM13" s="101" t="s">
        <v>326</v>
      </c>
    </row>
    <row r="14" spans="1:39" ht="15.75" x14ac:dyDescent="0.25">
      <c r="A14" s="55">
        <v>37953</v>
      </c>
      <c r="B14" s="4" t="s">
        <v>250</v>
      </c>
      <c r="C14" s="56" t="s">
        <v>108</v>
      </c>
      <c r="F14" s="1">
        <v>37928</v>
      </c>
      <c r="G14" s="1">
        <v>37955</v>
      </c>
      <c r="H14" t="s">
        <v>80</v>
      </c>
      <c r="I14" t="s">
        <v>13</v>
      </c>
      <c r="J14" t="s">
        <v>12</v>
      </c>
      <c r="L14" s="107" t="s">
        <v>353</v>
      </c>
      <c r="M14" s="98" t="s">
        <v>354</v>
      </c>
      <c r="N14" s="99" t="s">
        <v>355</v>
      </c>
      <c r="O14" s="100" t="s">
        <v>356</v>
      </c>
      <c r="P14" s="107" t="s">
        <v>357</v>
      </c>
      <c r="Q14" s="101" t="s">
        <v>358</v>
      </c>
      <c r="R14" s="101" t="s">
        <v>359</v>
      </c>
      <c r="S14" s="107" t="s">
        <v>360</v>
      </c>
      <c r="T14" s="101" t="s">
        <v>361</v>
      </c>
      <c r="U14" s="101" t="s">
        <v>362</v>
      </c>
      <c r="V14" s="107" t="s">
        <v>363</v>
      </c>
      <c r="W14" s="101" t="s">
        <v>364</v>
      </c>
      <c r="X14" s="101" t="s">
        <v>365</v>
      </c>
      <c r="Y14" s="109" t="s">
        <v>694</v>
      </c>
      <c r="Z14" s="92"/>
      <c r="AA14" s="92"/>
      <c r="AB14" s="98" t="s">
        <v>354</v>
      </c>
      <c r="AC14" s="99" t="s">
        <v>355</v>
      </c>
      <c r="AD14" s="100" t="s">
        <v>356</v>
      </c>
      <c r="AE14" s="107" t="s">
        <v>357</v>
      </c>
      <c r="AF14" s="101" t="s">
        <v>358</v>
      </c>
      <c r="AG14" s="101" t="s">
        <v>359</v>
      </c>
      <c r="AH14" s="107" t="s">
        <v>360</v>
      </c>
      <c r="AI14" s="101" t="s">
        <v>361</v>
      </c>
      <c r="AJ14" s="101" t="s">
        <v>362</v>
      </c>
      <c r="AK14" s="107" t="s">
        <v>363</v>
      </c>
      <c r="AL14" s="101" t="s">
        <v>364</v>
      </c>
      <c r="AM14" s="101" t="s">
        <v>365</v>
      </c>
    </row>
    <row r="15" spans="1:39" ht="15.75" x14ac:dyDescent="0.25">
      <c r="A15" s="55">
        <v>37954</v>
      </c>
      <c r="B15" s="4" t="s">
        <v>250</v>
      </c>
      <c r="C15" s="56" t="s">
        <v>108</v>
      </c>
      <c r="F15" s="1">
        <v>37928</v>
      </c>
      <c r="G15" s="1">
        <v>37955</v>
      </c>
      <c r="H15" t="s">
        <v>80</v>
      </c>
      <c r="I15" t="s">
        <v>13</v>
      </c>
      <c r="J15" t="s">
        <v>12</v>
      </c>
      <c r="L15" s="107" t="s">
        <v>353</v>
      </c>
      <c r="M15" s="98" t="s">
        <v>354</v>
      </c>
      <c r="N15" s="99" t="s">
        <v>355</v>
      </c>
      <c r="O15" s="100" t="s">
        <v>356</v>
      </c>
      <c r="P15" s="107" t="s">
        <v>357</v>
      </c>
      <c r="Q15" s="101" t="s">
        <v>358</v>
      </c>
      <c r="R15" s="101" t="s">
        <v>359</v>
      </c>
      <c r="S15" s="107" t="s">
        <v>360</v>
      </c>
      <c r="T15" s="101" t="s">
        <v>361</v>
      </c>
      <c r="U15" s="101" t="s">
        <v>362</v>
      </c>
      <c r="V15" s="107" t="s">
        <v>363</v>
      </c>
      <c r="W15" s="101" t="s">
        <v>364</v>
      </c>
      <c r="X15" s="101" t="s">
        <v>365</v>
      </c>
      <c r="Y15" s="109" t="s">
        <v>694</v>
      </c>
      <c r="Z15" s="92"/>
      <c r="AA15" s="92"/>
      <c r="AB15" s="98" t="s">
        <v>354</v>
      </c>
      <c r="AC15" s="99" t="s">
        <v>355</v>
      </c>
      <c r="AD15" s="100" t="s">
        <v>356</v>
      </c>
      <c r="AE15" s="107" t="s">
        <v>357</v>
      </c>
      <c r="AF15" s="101" t="s">
        <v>358</v>
      </c>
      <c r="AG15" s="101" t="s">
        <v>359</v>
      </c>
      <c r="AH15" s="107" t="s">
        <v>360</v>
      </c>
      <c r="AI15" s="101" t="s">
        <v>361</v>
      </c>
      <c r="AJ15" s="101" t="s">
        <v>362</v>
      </c>
      <c r="AK15" s="107" t="s">
        <v>363</v>
      </c>
      <c r="AL15" s="101" t="s">
        <v>364</v>
      </c>
      <c r="AM15" s="101" t="s">
        <v>365</v>
      </c>
    </row>
    <row r="16" spans="1:39" ht="15.75" x14ac:dyDescent="0.25">
      <c r="A16" s="55">
        <v>37955</v>
      </c>
      <c r="B16" s="4" t="s">
        <v>250</v>
      </c>
      <c r="C16" s="56" t="s">
        <v>108</v>
      </c>
      <c r="F16" s="1">
        <v>37928</v>
      </c>
      <c r="G16" s="1">
        <v>37955</v>
      </c>
      <c r="H16" t="s">
        <v>80</v>
      </c>
      <c r="I16" t="s">
        <v>13</v>
      </c>
      <c r="J16" t="s">
        <v>12</v>
      </c>
      <c r="L16" s="107" t="s">
        <v>353</v>
      </c>
      <c r="M16" s="98" t="s">
        <v>354</v>
      </c>
      <c r="N16" s="99" t="s">
        <v>355</v>
      </c>
      <c r="O16" s="100" t="s">
        <v>356</v>
      </c>
      <c r="P16" s="107" t="s">
        <v>357</v>
      </c>
      <c r="Q16" s="101" t="s">
        <v>358</v>
      </c>
      <c r="R16" s="101" t="s">
        <v>359</v>
      </c>
      <c r="S16" s="107" t="s">
        <v>360</v>
      </c>
      <c r="T16" s="101" t="s">
        <v>361</v>
      </c>
      <c r="U16" s="101" t="s">
        <v>362</v>
      </c>
      <c r="V16" s="107" t="s">
        <v>363</v>
      </c>
      <c r="W16" s="101" t="s">
        <v>364</v>
      </c>
      <c r="X16" s="101" t="s">
        <v>365</v>
      </c>
      <c r="Y16" s="109" t="s">
        <v>694</v>
      </c>
      <c r="Z16" s="92"/>
      <c r="AA16" s="92"/>
      <c r="AB16" s="98" t="s">
        <v>354</v>
      </c>
      <c r="AC16" s="99" t="s">
        <v>355</v>
      </c>
      <c r="AD16" s="100" t="s">
        <v>356</v>
      </c>
      <c r="AE16" s="107" t="s">
        <v>357</v>
      </c>
      <c r="AF16" s="101" t="s">
        <v>358</v>
      </c>
      <c r="AG16" s="101" t="s">
        <v>359</v>
      </c>
      <c r="AH16" s="107" t="s">
        <v>360</v>
      </c>
      <c r="AI16" s="101" t="s">
        <v>361</v>
      </c>
      <c r="AJ16" s="101" t="s">
        <v>362</v>
      </c>
      <c r="AK16" s="107" t="s">
        <v>363</v>
      </c>
      <c r="AL16" s="101" t="s">
        <v>364</v>
      </c>
      <c r="AM16" s="101" t="s">
        <v>365</v>
      </c>
    </row>
    <row r="17" spans="1:39" ht="15.75" x14ac:dyDescent="0.25">
      <c r="A17" s="55">
        <v>37956</v>
      </c>
      <c r="B17" s="4" t="s">
        <v>250</v>
      </c>
      <c r="C17" s="56" t="s">
        <v>108</v>
      </c>
      <c r="F17" s="1">
        <v>37956</v>
      </c>
      <c r="G17" s="1">
        <v>37983</v>
      </c>
      <c r="H17" t="s">
        <v>80</v>
      </c>
      <c r="I17" t="s">
        <v>14</v>
      </c>
      <c r="J17" t="s">
        <v>12</v>
      </c>
      <c r="L17" s="107" t="s">
        <v>353</v>
      </c>
      <c r="M17" s="98" t="s">
        <v>354</v>
      </c>
      <c r="N17" s="99" t="s">
        <v>355</v>
      </c>
      <c r="O17" s="100" t="s">
        <v>356</v>
      </c>
      <c r="P17" s="107" t="s">
        <v>357</v>
      </c>
      <c r="Q17" s="101" t="s">
        <v>358</v>
      </c>
      <c r="R17" s="101" t="s">
        <v>359</v>
      </c>
      <c r="S17" s="107" t="s">
        <v>360</v>
      </c>
      <c r="T17" s="101" t="s">
        <v>361</v>
      </c>
      <c r="U17" s="101" t="s">
        <v>362</v>
      </c>
      <c r="V17" s="107" t="s">
        <v>363</v>
      </c>
      <c r="W17" s="101" t="s">
        <v>364</v>
      </c>
      <c r="X17" s="101" t="s">
        <v>365</v>
      </c>
      <c r="Y17" s="109" t="s">
        <v>694</v>
      </c>
      <c r="Z17" s="92"/>
      <c r="AA17" s="92"/>
      <c r="AB17" s="98" t="s">
        <v>354</v>
      </c>
      <c r="AC17" s="99" t="s">
        <v>355</v>
      </c>
      <c r="AD17" s="100" t="s">
        <v>356</v>
      </c>
      <c r="AE17" s="107" t="s">
        <v>357</v>
      </c>
      <c r="AF17" s="101" t="s">
        <v>358</v>
      </c>
      <c r="AG17" s="101" t="s">
        <v>359</v>
      </c>
      <c r="AH17" s="107" t="s">
        <v>360</v>
      </c>
      <c r="AI17" s="101" t="s">
        <v>361</v>
      </c>
      <c r="AJ17" s="101" t="s">
        <v>362</v>
      </c>
      <c r="AK17" s="107" t="s">
        <v>363</v>
      </c>
      <c r="AL17" s="101" t="s">
        <v>364</v>
      </c>
      <c r="AM17" s="101" t="s">
        <v>365</v>
      </c>
    </row>
    <row r="18" spans="1:39" ht="15.75" x14ac:dyDescent="0.25">
      <c r="A18" s="55">
        <v>38320</v>
      </c>
      <c r="B18" s="4" t="s">
        <v>250</v>
      </c>
      <c r="C18" s="56" t="s">
        <v>108</v>
      </c>
      <c r="F18" s="1">
        <v>38320</v>
      </c>
      <c r="G18" s="1">
        <v>38347</v>
      </c>
      <c r="H18" t="s">
        <v>82</v>
      </c>
      <c r="I18" t="s">
        <v>14</v>
      </c>
      <c r="J18" t="s">
        <v>12</v>
      </c>
      <c r="L18" s="107" t="s">
        <v>548</v>
      </c>
      <c r="M18" s="98" t="s">
        <v>549</v>
      </c>
      <c r="N18" s="99" t="s">
        <v>550</v>
      </c>
      <c r="O18" s="100" t="s">
        <v>551</v>
      </c>
      <c r="P18" s="107" t="s">
        <v>552</v>
      </c>
      <c r="Q18" s="101" t="s">
        <v>553</v>
      </c>
      <c r="R18" s="101" t="s">
        <v>554</v>
      </c>
      <c r="S18" s="107" t="s">
        <v>555</v>
      </c>
      <c r="T18" s="101" t="s">
        <v>556</v>
      </c>
      <c r="U18" s="101" t="s">
        <v>557</v>
      </c>
      <c r="V18" s="107" t="s">
        <v>558</v>
      </c>
      <c r="W18" s="101" t="s">
        <v>559</v>
      </c>
      <c r="X18" s="101" t="s">
        <v>560</v>
      </c>
      <c r="Y18" s="109" t="s">
        <v>695</v>
      </c>
      <c r="Z18" s="92"/>
      <c r="AA18" s="92"/>
      <c r="AB18" s="98" t="s">
        <v>549</v>
      </c>
      <c r="AC18" s="99" t="s">
        <v>550</v>
      </c>
      <c r="AD18" s="100" t="s">
        <v>551</v>
      </c>
      <c r="AE18" s="107" t="s">
        <v>552</v>
      </c>
      <c r="AF18" s="101" t="s">
        <v>553</v>
      </c>
      <c r="AG18" s="101" t="s">
        <v>554</v>
      </c>
      <c r="AH18" s="107" t="s">
        <v>555</v>
      </c>
      <c r="AI18" s="101" t="s">
        <v>556</v>
      </c>
      <c r="AJ18" s="101" t="s">
        <v>557</v>
      </c>
      <c r="AK18" s="107" t="s">
        <v>558</v>
      </c>
      <c r="AL18" s="101" t="s">
        <v>559</v>
      </c>
      <c r="AM18" s="101" t="s">
        <v>560</v>
      </c>
    </row>
    <row r="19" spans="1:39" ht="15.75" x14ac:dyDescent="0.25">
      <c r="A19" s="55">
        <v>38684</v>
      </c>
      <c r="B19" s="4" t="s">
        <v>250</v>
      </c>
      <c r="C19" s="56" t="s">
        <v>108</v>
      </c>
      <c r="F19" s="1">
        <v>38684</v>
      </c>
      <c r="G19" s="1">
        <v>38711</v>
      </c>
      <c r="H19" t="s">
        <v>84</v>
      </c>
      <c r="I19" t="s">
        <v>14</v>
      </c>
      <c r="J19" t="s">
        <v>12</v>
      </c>
      <c r="L19" s="107" t="s">
        <v>366</v>
      </c>
      <c r="M19" s="98" t="s">
        <v>367</v>
      </c>
      <c r="N19" s="99" t="s">
        <v>368</v>
      </c>
      <c r="O19" s="100" t="s">
        <v>369</v>
      </c>
      <c r="P19" s="107" t="s">
        <v>370</v>
      </c>
      <c r="Q19" s="101" t="s">
        <v>371</v>
      </c>
      <c r="R19" s="101" t="s">
        <v>372</v>
      </c>
      <c r="S19" s="107" t="s">
        <v>373</v>
      </c>
      <c r="T19" s="101" t="s">
        <v>374</v>
      </c>
      <c r="U19" s="101" t="s">
        <v>375</v>
      </c>
      <c r="V19" s="107" t="s">
        <v>376</v>
      </c>
      <c r="W19" s="101" t="s">
        <v>377</v>
      </c>
      <c r="X19" s="101" t="s">
        <v>378</v>
      </c>
      <c r="Y19" s="109" t="s">
        <v>696</v>
      </c>
      <c r="Z19" s="92"/>
      <c r="AA19" s="92"/>
      <c r="AB19" s="98" t="s">
        <v>367</v>
      </c>
      <c r="AC19" s="99" t="s">
        <v>368</v>
      </c>
      <c r="AD19" s="100" t="s">
        <v>369</v>
      </c>
      <c r="AE19" s="107" t="s">
        <v>370</v>
      </c>
      <c r="AF19" s="101" t="s">
        <v>371</v>
      </c>
      <c r="AG19" s="101" t="s">
        <v>372</v>
      </c>
      <c r="AH19" s="107" t="s">
        <v>373</v>
      </c>
      <c r="AI19" s="101" t="s">
        <v>374</v>
      </c>
      <c r="AJ19" s="101" t="s">
        <v>375</v>
      </c>
      <c r="AK19" s="107" t="s">
        <v>376</v>
      </c>
      <c r="AL19" s="101" t="s">
        <v>377</v>
      </c>
      <c r="AM19" s="101" t="s">
        <v>378</v>
      </c>
    </row>
    <row r="20" spans="1:39" ht="15.75" x14ac:dyDescent="0.25">
      <c r="A20" s="55">
        <v>46356</v>
      </c>
      <c r="B20" s="4" t="s">
        <v>250</v>
      </c>
      <c r="C20" s="56" t="s">
        <v>108</v>
      </c>
      <c r="F20" s="1">
        <v>46356</v>
      </c>
      <c r="G20" s="1">
        <v>46383</v>
      </c>
      <c r="H20" t="s">
        <v>99</v>
      </c>
      <c r="I20" t="s">
        <v>14</v>
      </c>
      <c r="J20" t="s">
        <v>12</v>
      </c>
      <c r="L20" s="107" t="s">
        <v>535</v>
      </c>
      <c r="M20" s="98" t="s">
        <v>536</v>
      </c>
      <c r="N20" s="99" t="s">
        <v>537</v>
      </c>
      <c r="O20" s="100" t="s">
        <v>538</v>
      </c>
      <c r="P20" s="107" t="s">
        <v>539</v>
      </c>
      <c r="Q20" s="101" t="s">
        <v>540</v>
      </c>
      <c r="R20" s="101" t="s">
        <v>541</v>
      </c>
      <c r="S20" s="107" t="s">
        <v>542</v>
      </c>
      <c r="T20" s="101" t="s">
        <v>543</v>
      </c>
      <c r="U20" s="101" t="s">
        <v>544</v>
      </c>
      <c r="V20" s="107" t="s">
        <v>545</v>
      </c>
      <c r="W20" s="101" t="s">
        <v>546</v>
      </c>
      <c r="X20" s="101" t="s">
        <v>547</v>
      </c>
      <c r="Y20" s="109" t="s">
        <v>697</v>
      </c>
      <c r="Z20" s="92"/>
      <c r="AA20" s="92"/>
      <c r="AB20" s="98" t="s">
        <v>536</v>
      </c>
      <c r="AC20" s="99" t="s">
        <v>537</v>
      </c>
      <c r="AD20" s="100" t="s">
        <v>538</v>
      </c>
      <c r="AE20" s="107" t="s">
        <v>539</v>
      </c>
      <c r="AF20" s="101" t="s">
        <v>540</v>
      </c>
      <c r="AG20" s="101" t="s">
        <v>541</v>
      </c>
      <c r="AH20" s="107" t="s">
        <v>542</v>
      </c>
      <c r="AI20" s="101" t="s">
        <v>543</v>
      </c>
      <c r="AJ20" s="101" t="s">
        <v>544</v>
      </c>
      <c r="AK20" s="107" t="s">
        <v>545</v>
      </c>
      <c r="AL20" s="101" t="s">
        <v>546</v>
      </c>
      <c r="AM20" s="101" t="s">
        <v>547</v>
      </c>
    </row>
    <row r="21" spans="1:39" ht="15.75" x14ac:dyDescent="0.25">
      <c r="A21" s="55">
        <v>46720</v>
      </c>
      <c r="B21" s="4" t="s">
        <v>250</v>
      </c>
      <c r="C21" s="56" t="s">
        <v>108</v>
      </c>
      <c r="F21" s="1">
        <v>46720</v>
      </c>
      <c r="G21" s="1">
        <v>46747</v>
      </c>
      <c r="H21" t="s">
        <v>101</v>
      </c>
      <c r="I21" t="s">
        <v>14</v>
      </c>
      <c r="J21" t="s">
        <v>12</v>
      </c>
      <c r="L21" s="107" t="s">
        <v>610</v>
      </c>
      <c r="M21" s="98" t="s">
        <v>611</v>
      </c>
      <c r="N21" s="99" t="s">
        <v>612</v>
      </c>
      <c r="O21" s="100" t="s">
        <v>613</v>
      </c>
      <c r="P21" s="107" t="s">
        <v>614</v>
      </c>
      <c r="Q21" s="101" t="s">
        <v>615</v>
      </c>
      <c r="R21" s="101" t="s">
        <v>616</v>
      </c>
      <c r="S21" s="107" t="s">
        <v>617</v>
      </c>
      <c r="T21" s="101" t="s">
        <v>618</v>
      </c>
      <c r="U21" s="101" t="s">
        <v>619</v>
      </c>
      <c r="V21" s="107" t="s">
        <v>620</v>
      </c>
      <c r="W21" s="101" t="s">
        <v>621</v>
      </c>
      <c r="X21" s="101" t="s">
        <v>622</v>
      </c>
      <c r="Y21" s="109" t="s">
        <v>698</v>
      </c>
      <c r="Z21" s="92"/>
      <c r="AA21" s="92"/>
      <c r="AB21" s="98" t="s">
        <v>611</v>
      </c>
      <c r="AC21" s="99" t="s">
        <v>612</v>
      </c>
      <c r="AD21" s="100" t="s">
        <v>613</v>
      </c>
      <c r="AE21" s="107" t="s">
        <v>614</v>
      </c>
      <c r="AF21" s="101" t="s">
        <v>615</v>
      </c>
      <c r="AG21" s="101" t="s">
        <v>616</v>
      </c>
      <c r="AH21" s="107" t="s">
        <v>617</v>
      </c>
      <c r="AI21" s="101" t="s">
        <v>618</v>
      </c>
      <c r="AJ21" s="101" t="s">
        <v>619</v>
      </c>
      <c r="AK21" s="107" t="s">
        <v>620</v>
      </c>
      <c r="AL21" s="101" t="s">
        <v>621</v>
      </c>
      <c r="AM21" s="101" t="s">
        <v>622</v>
      </c>
    </row>
    <row r="22" spans="1:39" ht="15" customHeight="1" x14ac:dyDescent="0.25">
      <c r="A22" s="55">
        <v>47084</v>
      </c>
      <c r="B22" s="4" t="s">
        <v>250</v>
      </c>
      <c r="C22" s="56" t="s">
        <v>108</v>
      </c>
      <c r="F22" s="1">
        <v>47084</v>
      </c>
      <c r="G22" s="1">
        <v>47118</v>
      </c>
      <c r="H22" t="s">
        <v>103</v>
      </c>
      <c r="I22" t="s">
        <v>14</v>
      </c>
      <c r="J22" t="s">
        <v>12</v>
      </c>
      <c r="L22" s="107" t="s">
        <v>623</v>
      </c>
      <c r="M22" s="98" t="s">
        <v>624</v>
      </c>
      <c r="N22" s="102" t="s">
        <v>625</v>
      </c>
      <c r="O22" s="100" t="s">
        <v>626</v>
      </c>
      <c r="P22" s="107" t="s">
        <v>627</v>
      </c>
      <c r="Q22" s="101" t="s">
        <v>628</v>
      </c>
      <c r="R22" s="101" t="s">
        <v>629</v>
      </c>
      <c r="S22" s="107" t="s">
        <v>630</v>
      </c>
      <c r="T22" s="101" t="s">
        <v>631</v>
      </c>
      <c r="U22" s="101" t="s">
        <v>632</v>
      </c>
      <c r="V22" s="107" t="s">
        <v>633</v>
      </c>
      <c r="W22" s="101" t="s">
        <v>634</v>
      </c>
      <c r="X22" s="101" t="s">
        <v>635</v>
      </c>
      <c r="Y22" s="109" t="s">
        <v>699</v>
      </c>
      <c r="Z22" s="92"/>
      <c r="AA22" s="92"/>
      <c r="AB22" s="98" t="s">
        <v>624</v>
      </c>
      <c r="AC22" s="102" t="s">
        <v>625</v>
      </c>
      <c r="AD22" s="100" t="s">
        <v>626</v>
      </c>
      <c r="AE22" s="107" t="s">
        <v>627</v>
      </c>
      <c r="AF22" s="101" t="s">
        <v>628</v>
      </c>
      <c r="AG22" s="101" t="s">
        <v>629</v>
      </c>
      <c r="AH22" s="107" t="s">
        <v>630</v>
      </c>
      <c r="AI22" s="101" t="s">
        <v>631</v>
      </c>
      <c r="AJ22" s="101" t="s">
        <v>632</v>
      </c>
      <c r="AK22" s="107" t="s">
        <v>633</v>
      </c>
      <c r="AL22" s="101" t="s">
        <v>634</v>
      </c>
      <c r="AM22" s="101" t="s">
        <v>635</v>
      </c>
    </row>
    <row r="23" spans="1:39" ht="15.75" x14ac:dyDescent="0.25">
      <c r="A23" s="55">
        <v>47455</v>
      </c>
      <c r="B23" s="4" t="s">
        <v>250</v>
      </c>
      <c r="C23" s="56" t="s">
        <v>108</v>
      </c>
      <c r="F23" s="1">
        <v>47455</v>
      </c>
      <c r="G23" s="1">
        <v>47482</v>
      </c>
      <c r="H23" t="s">
        <v>105</v>
      </c>
      <c r="I23" t="s">
        <v>14</v>
      </c>
      <c r="J23" t="s">
        <v>12</v>
      </c>
      <c r="L23" s="107" t="s">
        <v>483</v>
      </c>
      <c r="M23" s="98" t="s">
        <v>484</v>
      </c>
      <c r="N23" s="102" t="s">
        <v>485</v>
      </c>
      <c r="O23" s="100" t="s">
        <v>486</v>
      </c>
      <c r="P23" s="107" t="s">
        <v>487</v>
      </c>
      <c r="Q23" s="101" t="s">
        <v>488</v>
      </c>
      <c r="R23" s="101" t="s">
        <v>489</v>
      </c>
      <c r="S23" s="107" t="s">
        <v>490</v>
      </c>
      <c r="T23" s="101" t="s">
        <v>491</v>
      </c>
      <c r="U23" s="101" t="s">
        <v>492</v>
      </c>
      <c r="V23" s="107" t="s">
        <v>493</v>
      </c>
      <c r="W23" s="101" t="s">
        <v>494</v>
      </c>
      <c r="X23" s="101" t="s">
        <v>495</v>
      </c>
      <c r="Y23" s="109" t="s">
        <v>700</v>
      </c>
      <c r="Z23" s="92"/>
      <c r="AA23" s="92"/>
      <c r="AB23" s="98" t="s">
        <v>484</v>
      </c>
      <c r="AC23" s="102" t="s">
        <v>485</v>
      </c>
      <c r="AD23" s="100" t="s">
        <v>486</v>
      </c>
      <c r="AE23" s="107" t="s">
        <v>487</v>
      </c>
      <c r="AF23" s="101" t="s">
        <v>488</v>
      </c>
      <c r="AG23" s="101" t="s">
        <v>489</v>
      </c>
      <c r="AH23" s="107" t="s">
        <v>490</v>
      </c>
      <c r="AI23" s="101" t="s">
        <v>491</v>
      </c>
      <c r="AJ23" s="101" t="s">
        <v>492</v>
      </c>
      <c r="AK23" s="107" t="s">
        <v>493</v>
      </c>
      <c r="AL23" s="101" t="s">
        <v>494</v>
      </c>
      <c r="AM23" s="101" t="s">
        <v>495</v>
      </c>
    </row>
    <row r="24" spans="1:39" ht="15.75" x14ac:dyDescent="0.25">
      <c r="A24" s="55">
        <v>47819</v>
      </c>
      <c r="B24" s="4" t="s">
        <v>250</v>
      </c>
      <c r="C24" s="56" t="s">
        <v>108</v>
      </c>
      <c r="F24" s="1">
        <v>47819</v>
      </c>
      <c r="G24" s="1">
        <v>47846</v>
      </c>
      <c r="H24" t="s">
        <v>107</v>
      </c>
      <c r="I24" t="s">
        <v>14</v>
      </c>
      <c r="J24" t="s">
        <v>12</v>
      </c>
      <c r="L24" s="107" t="s">
        <v>636</v>
      </c>
      <c r="M24" s="98" t="s">
        <v>637</v>
      </c>
      <c r="N24" s="102" t="s">
        <v>638</v>
      </c>
      <c r="O24" s="100" t="s">
        <v>639</v>
      </c>
      <c r="P24" s="107" t="s">
        <v>640</v>
      </c>
      <c r="Q24" s="101" t="s">
        <v>641</v>
      </c>
      <c r="R24" s="101" t="s">
        <v>642</v>
      </c>
      <c r="S24" s="107" t="s">
        <v>643</v>
      </c>
      <c r="T24" s="101" t="s">
        <v>644</v>
      </c>
      <c r="U24" s="101" t="s">
        <v>645</v>
      </c>
      <c r="V24" s="107" t="s">
        <v>646</v>
      </c>
      <c r="W24" s="101" t="s">
        <v>647</v>
      </c>
      <c r="X24" s="101" t="s">
        <v>648</v>
      </c>
      <c r="Y24" s="109" t="s">
        <v>701</v>
      </c>
      <c r="Z24" s="92"/>
      <c r="AA24" s="92"/>
      <c r="AB24" s="98" t="s">
        <v>637</v>
      </c>
      <c r="AC24" s="102" t="s">
        <v>638</v>
      </c>
      <c r="AD24" s="100" t="s">
        <v>639</v>
      </c>
      <c r="AE24" s="107" t="s">
        <v>640</v>
      </c>
      <c r="AF24" s="101" t="s">
        <v>641</v>
      </c>
      <c r="AG24" s="101" t="s">
        <v>642</v>
      </c>
      <c r="AH24" s="107" t="s">
        <v>643</v>
      </c>
      <c r="AI24" s="101" t="s">
        <v>644</v>
      </c>
      <c r="AJ24" s="101" t="s">
        <v>645</v>
      </c>
      <c r="AK24" s="107" t="s">
        <v>646</v>
      </c>
      <c r="AL24" s="101" t="s">
        <v>647</v>
      </c>
      <c r="AM24" s="101" t="s">
        <v>648</v>
      </c>
    </row>
    <row r="25" spans="1:39" ht="15.75" x14ac:dyDescent="0.25">
      <c r="A25" s="55">
        <v>37255</v>
      </c>
      <c r="B25" s="4" t="s">
        <v>250</v>
      </c>
      <c r="C25" s="56" t="s">
        <v>109</v>
      </c>
      <c r="F25" s="1">
        <v>37228</v>
      </c>
      <c r="G25" s="1">
        <v>37255</v>
      </c>
      <c r="H25" t="s">
        <v>77</v>
      </c>
      <c r="I25" t="s">
        <v>14</v>
      </c>
      <c r="J25" t="s">
        <v>12</v>
      </c>
      <c r="L25" s="107" t="s">
        <v>496</v>
      </c>
      <c r="M25" s="98" t="s">
        <v>497</v>
      </c>
      <c r="N25" s="102" t="s">
        <v>498</v>
      </c>
      <c r="O25" s="100" t="s">
        <v>499</v>
      </c>
      <c r="P25" s="107" t="s">
        <v>500</v>
      </c>
      <c r="Q25" s="101" t="s">
        <v>501</v>
      </c>
      <c r="R25" s="101" t="s">
        <v>502</v>
      </c>
      <c r="S25" s="107" t="s">
        <v>503</v>
      </c>
      <c r="T25" s="101" t="s">
        <v>504</v>
      </c>
      <c r="U25" s="101" t="s">
        <v>505</v>
      </c>
      <c r="V25" s="107" t="s">
        <v>506</v>
      </c>
      <c r="W25" s="101" t="s">
        <v>507</v>
      </c>
      <c r="X25" s="101" t="s">
        <v>508</v>
      </c>
      <c r="Y25" s="109" t="s">
        <v>702</v>
      </c>
      <c r="Z25" s="92"/>
      <c r="AA25" s="92"/>
      <c r="AB25" s="98" t="s">
        <v>497</v>
      </c>
      <c r="AC25" s="102" t="s">
        <v>498</v>
      </c>
      <c r="AD25" s="100" t="s">
        <v>499</v>
      </c>
      <c r="AE25" s="107" t="s">
        <v>500</v>
      </c>
      <c r="AF25" s="101" t="s">
        <v>501</v>
      </c>
      <c r="AG25" s="101" t="s">
        <v>502</v>
      </c>
      <c r="AH25" s="107" t="s">
        <v>503</v>
      </c>
      <c r="AI25" s="101" t="s">
        <v>504</v>
      </c>
      <c r="AJ25" s="101" t="s">
        <v>505</v>
      </c>
      <c r="AK25" s="107" t="s">
        <v>506</v>
      </c>
      <c r="AL25" s="101" t="s">
        <v>507</v>
      </c>
      <c r="AM25" s="101" t="s">
        <v>508</v>
      </c>
    </row>
    <row r="26" spans="1:39" ht="15.75" x14ac:dyDescent="0.25">
      <c r="A26" s="55">
        <v>37619</v>
      </c>
      <c r="B26" s="4" t="s">
        <v>250</v>
      </c>
      <c r="C26" s="56" t="s">
        <v>109</v>
      </c>
      <c r="F26" s="1">
        <v>37592</v>
      </c>
      <c r="G26" s="1">
        <v>37619</v>
      </c>
      <c r="H26" t="s">
        <v>78</v>
      </c>
      <c r="I26" t="s">
        <v>14</v>
      </c>
      <c r="J26" t="s">
        <v>12</v>
      </c>
      <c r="L26" s="107" t="s">
        <v>444</v>
      </c>
      <c r="M26" s="98" t="s">
        <v>445</v>
      </c>
      <c r="N26" s="102" t="s">
        <v>446</v>
      </c>
      <c r="O26" s="100" t="s">
        <v>447</v>
      </c>
      <c r="P26" s="107" t="s">
        <v>448</v>
      </c>
      <c r="Q26" s="101" t="s">
        <v>449</v>
      </c>
      <c r="R26" s="101" t="s">
        <v>450</v>
      </c>
      <c r="S26" s="107" t="s">
        <v>451</v>
      </c>
      <c r="T26" s="101" t="s">
        <v>452</v>
      </c>
      <c r="U26" s="101" t="s">
        <v>453</v>
      </c>
      <c r="V26" s="107" t="s">
        <v>454</v>
      </c>
      <c r="W26" s="101" t="s">
        <v>455</v>
      </c>
      <c r="X26" s="101" t="s">
        <v>456</v>
      </c>
      <c r="Y26" s="109" t="s">
        <v>703</v>
      </c>
      <c r="Z26" s="92"/>
      <c r="AA26" s="92"/>
      <c r="AB26" s="98" t="s">
        <v>445</v>
      </c>
      <c r="AC26" s="102" t="s">
        <v>446</v>
      </c>
      <c r="AD26" s="100" t="s">
        <v>447</v>
      </c>
      <c r="AE26" s="107" t="s">
        <v>448</v>
      </c>
      <c r="AF26" s="101" t="s">
        <v>449</v>
      </c>
      <c r="AG26" s="101" t="s">
        <v>450</v>
      </c>
      <c r="AH26" s="107" t="s">
        <v>451</v>
      </c>
      <c r="AI26" s="101" t="s">
        <v>452</v>
      </c>
      <c r="AJ26" s="101" t="s">
        <v>453</v>
      </c>
      <c r="AK26" s="107" t="s">
        <v>454</v>
      </c>
      <c r="AL26" s="101" t="s">
        <v>455</v>
      </c>
      <c r="AM26" s="101" t="s">
        <v>456</v>
      </c>
    </row>
    <row r="27" spans="1:39" ht="15.75" x14ac:dyDescent="0.25">
      <c r="A27" s="55">
        <v>37983</v>
      </c>
      <c r="B27" s="4" t="s">
        <v>250</v>
      </c>
      <c r="C27" s="56" t="s">
        <v>109</v>
      </c>
      <c r="F27" s="1">
        <v>37956</v>
      </c>
      <c r="G27" s="1">
        <v>37983</v>
      </c>
      <c r="H27" t="s">
        <v>80</v>
      </c>
      <c r="I27" t="s">
        <v>14</v>
      </c>
      <c r="J27" t="s">
        <v>12</v>
      </c>
      <c r="L27" s="107" t="s">
        <v>353</v>
      </c>
      <c r="M27" s="98" t="s">
        <v>354</v>
      </c>
      <c r="N27" s="102" t="s">
        <v>355</v>
      </c>
      <c r="O27" s="100" t="s">
        <v>356</v>
      </c>
      <c r="P27" s="107" t="s">
        <v>357</v>
      </c>
      <c r="Q27" s="101" t="s">
        <v>358</v>
      </c>
      <c r="R27" s="101" t="s">
        <v>359</v>
      </c>
      <c r="S27" s="107" t="s">
        <v>360</v>
      </c>
      <c r="T27" s="101" t="s">
        <v>361</v>
      </c>
      <c r="U27" s="101" t="s">
        <v>362</v>
      </c>
      <c r="V27" s="107" t="s">
        <v>363</v>
      </c>
      <c r="W27" s="101" t="s">
        <v>364</v>
      </c>
      <c r="X27" s="101" t="s">
        <v>365</v>
      </c>
      <c r="Y27" s="109" t="s">
        <v>694</v>
      </c>
      <c r="Z27" s="92"/>
      <c r="AA27" s="92"/>
      <c r="AB27" s="98" t="s">
        <v>354</v>
      </c>
      <c r="AC27" s="102" t="s">
        <v>355</v>
      </c>
      <c r="AD27" s="100" t="s">
        <v>356</v>
      </c>
      <c r="AE27" s="107" t="s">
        <v>357</v>
      </c>
      <c r="AF27" s="101" t="s">
        <v>358</v>
      </c>
      <c r="AG27" s="101" t="s">
        <v>359</v>
      </c>
      <c r="AH27" s="107" t="s">
        <v>360</v>
      </c>
      <c r="AI27" s="101" t="s">
        <v>361</v>
      </c>
      <c r="AJ27" s="101" t="s">
        <v>362</v>
      </c>
      <c r="AK27" s="107" t="s">
        <v>363</v>
      </c>
      <c r="AL27" s="101" t="s">
        <v>364</v>
      </c>
      <c r="AM27" s="101" t="s">
        <v>365</v>
      </c>
    </row>
    <row r="28" spans="1:39" ht="15.75" x14ac:dyDescent="0.25">
      <c r="A28" s="55">
        <v>38347</v>
      </c>
      <c r="B28" s="4" t="s">
        <v>250</v>
      </c>
      <c r="C28" s="56" t="s">
        <v>109</v>
      </c>
      <c r="F28" s="1">
        <v>38320</v>
      </c>
      <c r="G28" s="1">
        <v>38347</v>
      </c>
      <c r="H28" t="s">
        <v>82</v>
      </c>
      <c r="I28" t="s">
        <v>14</v>
      </c>
      <c r="J28" t="s">
        <v>12</v>
      </c>
      <c r="L28" s="107" t="s">
        <v>548</v>
      </c>
      <c r="M28" s="98" t="s">
        <v>549</v>
      </c>
      <c r="N28" s="102" t="s">
        <v>550</v>
      </c>
      <c r="O28" s="100" t="s">
        <v>551</v>
      </c>
      <c r="P28" s="107" t="s">
        <v>552</v>
      </c>
      <c r="Q28" s="101" t="s">
        <v>553</v>
      </c>
      <c r="R28" s="101" t="s">
        <v>554</v>
      </c>
      <c r="S28" s="107" t="s">
        <v>555</v>
      </c>
      <c r="T28" s="101" t="s">
        <v>556</v>
      </c>
      <c r="U28" s="101" t="s">
        <v>557</v>
      </c>
      <c r="V28" s="107" t="s">
        <v>558</v>
      </c>
      <c r="W28" s="101" t="s">
        <v>559</v>
      </c>
      <c r="X28" s="101" t="s">
        <v>560</v>
      </c>
      <c r="Y28" s="109" t="s">
        <v>695</v>
      </c>
      <c r="Z28" s="92"/>
      <c r="AA28" s="92"/>
      <c r="AB28" s="98" t="s">
        <v>549</v>
      </c>
      <c r="AC28" s="102" t="s">
        <v>550</v>
      </c>
      <c r="AD28" s="100" t="s">
        <v>551</v>
      </c>
      <c r="AE28" s="107" t="s">
        <v>552</v>
      </c>
      <c r="AF28" s="101" t="s">
        <v>553</v>
      </c>
      <c r="AG28" s="101" t="s">
        <v>554</v>
      </c>
      <c r="AH28" s="107" t="s">
        <v>555</v>
      </c>
      <c r="AI28" s="101" t="s">
        <v>556</v>
      </c>
      <c r="AJ28" s="101" t="s">
        <v>557</v>
      </c>
      <c r="AK28" s="107" t="s">
        <v>558</v>
      </c>
      <c r="AL28" s="101" t="s">
        <v>559</v>
      </c>
      <c r="AM28" s="101" t="s">
        <v>560</v>
      </c>
    </row>
    <row r="29" spans="1:39" ht="15.75" x14ac:dyDescent="0.25">
      <c r="A29" s="55">
        <v>38711</v>
      </c>
      <c r="B29" s="4" t="s">
        <v>250</v>
      </c>
      <c r="C29" s="56" t="s">
        <v>109</v>
      </c>
      <c r="F29" s="1">
        <v>38684</v>
      </c>
      <c r="G29" s="1">
        <v>38711</v>
      </c>
      <c r="H29" t="s">
        <v>84</v>
      </c>
      <c r="I29" t="s">
        <v>14</v>
      </c>
      <c r="J29" t="s">
        <v>12</v>
      </c>
      <c r="L29" s="107" t="s">
        <v>366</v>
      </c>
      <c r="M29" s="98" t="s">
        <v>367</v>
      </c>
      <c r="N29" s="102" t="s">
        <v>368</v>
      </c>
      <c r="O29" s="100" t="s">
        <v>369</v>
      </c>
      <c r="P29" s="107" t="s">
        <v>370</v>
      </c>
      <c r="Q29" s="101" t="s">
        <v>371</v>
      </c>
      <c r="R29" s="101" t="s">
        <v>372</v>
      </c>
      <c r="S29" s="107" t="s">
        <v>373</v>
      </c>
      <c r="T29" s="101" t="s">
        <v>374</v>
      </c>
      <c r="U29" s="101" t="s">
        <v>375</v>
      </c>
      <c r="V29" s="107" t="s">
        <v>376</v>
      </c>
      <c r="W29" s="101" t="s">
        <v>377</v>
      </c>
      <c r="X29" s="101" t="s">
        <v>378</v>
      </c>
      <c r="Y29" s="109" t="s">
        <v>696</v>
      </c>
      <c r="Z29" s="92"/>
      <c r="AA29" s="92"/>
      <c r="AB29" s="98" t="s">
        <v>367</v>
      </c>
      <c r="AC29" s="102" t="s">
        <v>368</v>
      </c>
      <c r="AD29" s="100" t="s">
        <v>369</v>
      </c>
      <c r="AE29" s="107" t="s">
        <v>370</v>
      </c>
      <c r="AF29" s="101" t="s">
        <v>371</v>
      </c>
      <c r="AG29" s="101" t="s">
        <v>372</v>
      </c>
      <c r="AH29" s="107" t="s">
        <v>373</v>
      </c>
      <c r="AI29" s="101" t="s">
        <v>374</v>
      </c>
      <c r="AJ29" s="101" t="s">
        <v>375</v>
      </c>
      <c r="AK29" s="107" t="s">
        <v>376</v>
      </c>
      <c r="AL29" s="101" t="s">
        <v>377</v>
      </c>
      <c r="AM29" s="101" t="s">
        <v>378</v>
      </c>
    </row>
    <row r="30" spans="1:39" ht="15.75" x14ac:dyDescent="0.25">
      <c r="A30" s="55">
        <v>39082</v>
      </c>
      <c r="B30" s="4" t="s">
        <v>250</v>
      </c>
      <c r="C30" s="56" t="s">
        <v>109</v>
      </c>
      <c r="F30" s="1">
        <v>39048</v>
      </c>
      <c r="G30" s="1">
        <v>39082</v>
      </c>
      <c r="H30" t="s">
        <v>86</v>
      </c>
      <c r="I30" t="s">
        <v>14</v>
      </c>
      <c r="J30" t="s">
        <v>12</v>
      </c>
      <c r="L30" s="107" t="s">
        <v>649</v>
      </c>
      <c r="M30" s="98" t="s">
        <v>650</v>
      </c>
      <c r="N30" s="102" t="s">
        <v>651</v>
      </c>
      <c r="O30" s="100" t="s">
        <v>652</v>
      </c>
      <c r="P30" s="107" t="s">
        <v>653</v>
      </c>
      <c r="Q30" s="101" t="s">
        <v>654</v>
      </c>
      <c r="R30" s="101" t="s">
        <v>655</v>
      </c>
      <c r="S30" s="107" t="s">
        <v>656</v>
      </c>
      <c r="T30" s="101" t="s">
        <v>657</v>
      </c>
      <c r="U30" s="101" t="s">
        <v>658</v>
      </c>
      <c r="V30" s="107" t="s">
        <v>659</v>
      </c>
      <c r="W30" s="101" t="s">
        <v>660</v>
      </c>
      <c r="X30" s="101" t="s">
        <v>661</v>
      </c>
      <c r="Y30" s="109" t="s">
        <v>704</v>
      </c>
      <c r="Z30" s="92"/>
      <c r="AA30" s="92"/>
      <c r="AB30" s="98" t="s">
        <v>650</v>
      </c>
      <c r="AC30" s="102" t="s">
        <v>651</v>
      </c>
      <c r="AD30" s="100" t="s">
        <v>652</v>
      </c>
      <c r="AE30" s="107" t="s">
        <v>653</v>
      </c>
      <c r="AF30" s="101" t="s">
        <v>654</v>
      </c>
      <c r="AG30" s="101" t="s">
        <v>655</v>
      </c>
      <c r="AH30" s="107" t="s">
        <v>656</v>
      </c>
      <c r="AI30" s="101" t="s">
        <v>657</v>
      </c>
      <c r="AJ30" s="101" t="s">
        <v>658</v>
      </c>
      <c r="AK30" s="107" t="s">
        <v>659</v>
      </c>
      <c r="AL30" s="101" t="s">
        <v>660</v>
      </c>
      <c r="AM30" s="101" t="s">
        <v>661</v>
      </c>
    </row>
    <row r="31" spans="1:39" ht="15.75" x14ac:dyDescent="0.25">
      <c r="A31" s="55">
        <v>39446</v>
      </c>
      <c r="B31" s="4" t="s">
        <v>250</v>
      </c>
      <c r="C31" s="56" t="s">
        <v>109</v>
      </c>
      <c r="F31" s="1">
        <v>39419</v>
      </c>
      <c r="G31" s="1">
        <v>39446</v>
      </c>
      <c r="H31" t="s">
        <v>87</v>
      </c>
      <c r="I31" t="s">
        <v>14</v>
      </c>
      <c r="J31" t="s">
        <v>12</v>
      </c>
      <c r="L31" s="107" t="s">
        <v>431</v>
      </c>
      <c r="M31" s="98" t="s">
        <v>432</v>
      </c>
      <c r="N31" s="102" t="s">
        <v>433</v>
      </c>
      <c r="O31" s="100" t="s">
        <v>434</v>
      </c>
      <c r="P31" s="107" t="s">
        <v>435</v>
      </c>
      <c r="Q31" s="101" t="s">
        <v>436</v>
      </c>
      <c r="R31" s="101" t="s">
        <v>437</v>
      </c>
      <c r="S31" s="107" t="s">
        <v>438</v>
      </c>
      <c r="T31" s="101" t="s">
        <v>439</v>
      </c>
      <c r="U31" s="101" t="s">
        <v>440</v>
      </c>
      <c r="V31" s="107" t="s">
        <v>441</v>
      </c>
      <c r="W31" s="101" t="s">
        <v>442</v>
      </c>
      <c r="X31" s="101" t="s">
        <v>443</v>
      </c>
      <c r="Y31" s="109" t="s">
        <v>705</v>
      </c>
      <c r="Z31" s="92"/>
      <c r="AA31" s="92"/>
      <c r="AB31" s="98" t="s">
        <v>432</v>
      </c>
      <c r="AC31" s="102" t="s">
        <v>433</v>
      </c>
      <c r="AD31" s="100" t="s">
        <v>434</v>
      </c>
      <c r="AE31" s="107" t="s">
        <v>435</v>
      </c>
      <c r="AF31" s="101" t="s">
        <v>436</v>
      </c>
      <c r="AG31" s="101" t="s">
        <v>437</v>
      </c>
      <c r="AH31" s="107" t="s">
        <v>438</v>
      </c>
      <c r="AI31" s="101" t="s">
        <v>439</v>
      </c>
      <c r="AJ31" s="101" t="s">
        <v>440</v>
      </c>
      <c r="AK31" s="107" t="s">
        <v>441</v>
      </c>
      <c r="AL31" s="101" t="s">
        <v>442</v>
      </c>
      <c r="AM31" s="101" t="s">
        <v>443</v>
      </c>
    </row>
    <row r="32" spans="1:39" ht="15.75" x14ac:dyDescent="0.25">
      <c r="A32" s="55">
        <v>39810</v>
      </c>
      <c r="B32" s="4" t="s">
        <v>250</v>
      </c>
      <c r="C32" s="56" t="s">
        <v>109</v>
      </c>
      <c r="F32" s="1">
        <v>39783</v>
      </c>
      <c r="G32" s="1">
        <v>39810</v>
      </c>
      <c r="H32" t="s">
        <v>88</v>
      </c>
      <c r="I32" t="s">
        <v>14</v>
      </c>
      <c r="J32" t="s">
        <v>12</v>
      </c>
      <c r="L32" s="107" t="s">
        <v>470</v>
      </c>
      <c r="M32" s="98" t="s">
        <v>471</v>
      </c>
      <c r="N32" s="102" t="s">
        <v>472</v>
      </c>
      <c r="O32" s="100" t="s">
        <v>473</v>
      </c>
      <c r="P32" s="107" t="s">
        <v>474</v>
      </c>
      <c r="Q32" s="101" t="s">
        <v>475</v>
      </c>
      <c r="R32" s="101" t="s">
        <v>476</v>
      </c>
      <c r="S32" s="107" t="s">
        <v>477</v>
      </c>
      <c r="T32" s="101" t="s">
        <v>478</v>
      </c>
      <c r="U32" s="101" t="s">
        <v>479</v>
      </c>
      <c r="V32" s="107" t="s">
        <v>480</v>
      </c>
      <c r="W32" s="101" t="s">
        <v>481</v>
      </c>
      <c r="X32" s="101" t="s">
        <v>482</v>
      </c>
      <c r="Y32" s="109" t="s">
        <v>706</v>
      </c>
      <c r="Z32" s="92"/>
      <c r="AA32" s="92"/>
      <c r="AB32" s="98" t="s">
        <v>471</v>
      </c>
      <c r="AC32" s="102" t="s">
        <v>472</v>
      </c>
      <c r="AD32" s="100" t="s">
        <v>473</v>
      </c>
      <c r="AE32" s="107" t="s">
        <v>474</v>
      </c>
      <c r="AF32" s="101" t="s">
        <v>475</v>
      </c>
      <c r="AG32" s="101" t="s">
        <v>476</v>
      </c>
      <c r="AH32" s="107" t="s">
        <v>477</v>
      </c>
      <c r="AI32" s="101" t="s">
        <v>478</v>
      </c>
      <c r="AJ32" s="101" t="s">
        <v>479</v>
      </c>
      <c r="AK32" s="107" t="s">
        <v>480</v>
      </c>
      <c r="AL32" s="101" t="s">
        <v>481</v>
      </c>
      <c r="AM32" s="101" t="s">
        <v>482</v>
      </c>
    </row>
    <row r="33" spans="1:39" ht="15.75" x14ac:dyDescent="0.25">
      <c r="A33" s="55">
        <v>39048</v>
      </c>
      <c r="B33" s="4" t="s">
        <v>250</v>
      </c>
      <c r="C33" s="56" t="s">
        <v>111</v>
      </c>
      <c r="F33" s="1">
        <v>39048</v>
      </c>
      <c r="G33" s="1">
        <v>39082</v>
      </c>
      <c r="H33" t="s">
        <v>86</v>
      </c>
      <c r="I33" t="s">
        <v>14</v>
      </c>
      <c r="J33" t="s">
        <v>12</v>
      </c>
      <c r="L33" s="107" t="s">
        <v>649</v>
      </c>
      <c r="M33" s="98" t="s">
        <v>650</v>
      </c>
      <c r="N33" s="102" t="s">
        <v>651</v>
      </c>
      <c r="O33" s="100" t="s">
        <v>652</v>
      </c>
      <c r="P33" s="107" t="s">
        <v>653</v>
      </c>
      <c r="Q33" s="101" t="s">
        <v>654</v>
      </c>
      <c r="R33" s="101" t="s">
        <v>655</v>
      </c>
      <c r="S33" s="107" t="s">
        <v>656</v>
      </c>
      <c r="T33" s="101" t="s">
        <v>657</v>
      </c>
      <c r="U33" s="101" t="s">
        <v>658</v>
      </c>
      <c r="V33" s="107" t="s">
        <v>659</v>
      </c>
      <c r="W33" s="101" t="s">
        <v>660</v>
      </c>
      <c r="X33" s="101" t="s">
        <v>661</v>
      </c>
      <c r="Y33" s="109" t="s">
        <v>704</v>
      </c>
      <c r="Z33" s="92"/>
      <c r="AA33" s="92"/>
      <c r="AB33" s="98" t="s">
        <v>650</v>
      </c>
      <c r="AC33" s="102" t="s">
        <v>651</v>
      </c>
      <c r="AD33" s="100" t="s">
        <v>652</v>
      </c>
      <c r="AE33" s="107" t="s">
        <v>653</v>
      </c>
      <c r="AF33" s="101" t="s">
        <v>654</v>
      </c>
      <c r="AG33" s="101" t="s">
        <v>655</v>
      </c>
      <c r="AH33" s="107" t="s">
        <v>656</v>
      </c>
      <c r="AI33" s="101" t="s">
        <v>657</v>
      </c>
      <c r="AJ33" s="101" t="s">
        <v>658</v>
      </c>
      <c r="AK33" s="107" t="s">
        <v>659</v>
      </c>
      <c r="AL33" s="101" t="s">
        <v>660</v>
      </c>
      <c r="AM33" s="101" t="s">
        <v>661</v>
      </c>
    </row>
    <row r="34" spans="1:39" ht="15.75" x14ac:dyDescent="0.25">
      <c r="A34" s="55">
        <v>43066</v>
      </c>
      <c r="B34" s="4" t="s">
        <v>250</v>
      </c>
      <c r="C34" s="56" t="s">
        <v>111</v>
      </c>
      <c r="F34" s="1">
        <v>43066</v>
      </c>
      <c r="G34" s="1">
        <v>43100</v>
      </c>
      <c r="H34" t="s">
        <v>70</v>
      </c>
      <c r="I34" t="s">
        <v>14</v>
      </c>
      <c r="J34" t="s">
        <v>12</v>
      </c>
      <c r="L34" s="107" t="s">
        <v>314</v>
      </c>
      <c r="M34" s="98" t="s">
        <v>315</v>
      </c>
      <c r="N34" s="102" t="s">
        <v>316</v>
      </c>
      <c r="O34" s="100" t="s">
        <v>317</v>
      </c>
      <c r="P34" s="107" t="s">
        <v>318</v>
      </c>
      <c r="Q34" s="101" t="s">
        <v>319</v>
      </c>
      <c r="R34" s="101" t="s">
        <v>320</v>
      </c>
      <c r="S34" s="107" t="s">
        <v>321</v>
      </c>
      <c r="T34" s="101" t="s">
        <v>322</v>
      </c>
      <c r="U34" s="101" t="s">
        <v>323</v>
      </c>
      <c r="V34" s="107" t="s">
        <v>324</v>
      </c>
      <c r="W34" s="101" t="s">
        <v>325</v>
      </c>
      <c r="X34" s="101" t="s">
        <v>326</v>
      </c>
      <c r="Y34" s="109" t="s">
        <v>707</v>
      </c>
      <c r="Z34" s="92"/>
      <c r="AA34" s="92"/>
      <c r="AB34" s="98" t="s">
        <v>315</v>
      </c>
      <c r="AC34" s="102" t="s">
        <v>316</v>
      </c>
      <c r="AD34" s="100" t="s">
        <v>317</v>
      </c>
      <c r="AE34" s="107" t="s">
        <v>318</v>
      </c>
      <c r="AF34" s="101" t="s">
        <v>319</v>
      </c>
      <c r="AG34" s="101" t="s">
        <v>320</v>
      </c>
      <c r="AH34" s="107" t="s">
        <v>321</v>
      </c>
      <c r="AI34" s="101" t="s">
        <v>322</v>
      </c>
      <c r="AJ34" s="101" t="s">
        <v>323</v>
      </c>
      <c r="AK34" s="107" t="s">
        <v>324</v>
      </c>
      <c r="AL34" s="101" t="s">
        <v>325</v>
      </c>
      <c r="AM34" s="101" t="s">
        <v>326</v>
      </c>
    </row>
    <row r="35" spans="1:39" ht="15.75" x14ac:dyDescent="0.25">
      <c r="A35" s="55">
        <v>47084</v>
      </c>
      <c r="B35" s="4" t="s">
        <v>250</v>
      </c>
      <c r="C35" s="56" t="s">
        <v>111</v>
      </c>
      <c r="F35" s="1">
        <v>47084</v>
      </c>
      <c r="G35" s="1">
        <v>47118</v>
      </c>
      <c r="H35" t="s">
        <v>103</v>
      </c>
      <c r="I35" t="s">
        <v>14</v>
      </c>
      <c r="J35" t="s">
        <v>12</v>
      </c>
      <c r="L35" s="107" t="s">
        <v>623</v>
      </c>
      <c r="M35" s="98" t="s">
        <v>624</v>
      </c>
      <c r="N35" s="102" t="s">
        <v>625</v>
      </c>
      <c r="O35" s="100" t="s">
        <v>626</v>
      </c>
      <c r="P35" s="107" t="s">
        <v>627</v>
      </c>
      <c r="Q35" s="101" t="s">
        <v>628</v>
      </c>
      <c r="R35" s="101" t="s">
        <v>629</v>
      </c>
      <c r="S35" s="107" t="s">
        <v>630</v>
      </c>
      <c r="T35" s="101" t="s">
        <v>631</v>
      </c>
      <c r="U35" s="101" t="s">
        <v>632</v>
      </c>
      <c r="V35" s="107" t="s">
        <v>633</v>
      </c>
      <c r="W35" s="101" t="s">
        <v>634</v>
      </c>
      <c r="X35" s="101" t="s">
        <v>635</v>
      </c>
      <c r="Y35" s="109" t="s">
        <v>699</v>
      </c>
      <c r="Z35" s="92"/>
      <c r="AA35" s="1"/>
      <c r="AB35" s="98" t="s">
        <v>624</v>
      </c>
      <c r="AC35" s="102" t="s">
        <v>625</v>
      </c>
      <c r="AD35" s="100" t="s">
        <v>626</v>
      </c>
      <c r="AE35" s="107" t="s">
        <v>627</v>
      </c>
      <c r="AF35" s="101" t="s">
        <v>628</v>
      </c>
      <c r="AG35" s="101" t="s">
        <v>629</v>
      </c>
      <c r="AH35" s="107" t="s">
        <v>630</v>
      </c>
      <c r="AI35" s="101" t="s">
        <v>631</v>
      </c>
      <c r="AJ35" s="101" t="s">
        <v>632</v>
      </c>
      <c r="AK35" s="107" t="s">
        <v>633</v>
      </c>
      <c r="AL35" s="101" t="s">
        <v>634</v>
      </c>
      <c r="AM35" s="101" t="s">
        <v>635</v>
      </c>
    </row>
    <row r="36" spans="1:39" ht="15.75" x14ac:dyDescent="0.25">
      <c r="A36" s="55">
        <v>39082</v>
      </c>
      <c r="B36" s="4" t="s">
        <v>250</v>
      </c>
      <c r="C36" s="56" t="s">
        <v>112</v>
      </c>
      <c r="F36" s="1">
        <v>39048</v>
      </c>
      <c r="G36" s="1">
        <v>39082</v>
      </c>
      <c r="H36" t="s">
        <v>86</v>
      </c>
      <c r="I36" t="s">
        <v>14</v>
      </c>
      <c r="J36" t="s">
        <v>12</v>
      </c>
      <c r="L36" s="107" t="s">
        <v>649</v>
      </c>
      <c r="M36" s="98" t="s">
        <v>650</v>
      </c>
      <c r="N36" s="102" t="s">
        <v>651</v>
      </c>
      <c r="O36" s="100" t="s">
        <v>652</v>
      </c>
      <c r="P36" s="107" t="s">
        <v>653</v>
      </c>
      <c r="Q36" s="101" t="s">
        <v>654</v>
      </c>
      <c r="R36" s="101" t="s">
        <v>655</v>
      </c>
      <c r="S36" s="107" t="s">
        <v>656</v>
      </c>
      <c r="T36" s="101" t="s">
        <v>657</v>
      </c>
      <c r="U36" s="101" t="s">
        <v>658</v>
      </c>
      <c r="V36" s="107" t="s">
        <v>659</v>
      </c>
      <c r="W36" s="101" t="s">
        <v>660</v>
      </c>
      <c r="X36" s="101" t="s">
        <v>661</v>
      </c>
      <c r="Y36" s="109" t="s">
        <v>704</v>
      </c>
      <c r="Z36" s="92"/>
      <c r="AA36" s="1"/>
      <c r="AB36" s="98" t="s">
        <v>650</v>
      </c>
      <c r="AC36" s="102" t="s">
        <v>651</v>
      </c>
      <c r="AD36" s="100" t="s">
        <v>652</v>
      </c>
      <c r="AE36" s="107" t="s">
        <v>653</v>
      </c>
      <c r="AF36" s="101" t="s">
        <v>654</v>
      </c>
      <c r="AG36" s="101" t="s">
        <v>655</v>
      </c>
      <c r="AH36" s="107" t="s">
        <v>656</v>
      </c>
      <c r="AI36" s="101" t="s">
        <v>657</v>
      </c>
      <c r="AJ36" s="101" t="s">
        <v>658</v>
      </c>
      <c r="AK36" s="107" t="s">
        <v>659</v>
      </c>
      <c r="AL36" s="101" t="s">
        <v>660</v>
      </c>
      <c r="AM36" s="101" t="s">
        <v>661</v>
      </c>
    </row>
    <row r="37" spans="1:39" ht="15.75" x14ac:dyDescent="0.25">
      <c r="A37" s="55">
        <v>43100</v>
      </c>
      <c r="B37" s="4" t="s">
        <v>250</v>
      </c>
      <c r="C37" s="56" t="s">
        <v>112</v>
      </c>
      <c r="F37" s="1">
        <v>43066</v>
      </c>
      <c r="G37" s="1">
        <v>43100</v>
      </c>
      <c r="H37" t="s">
        <v>70</v>
      </c>
      <c r="I37" t="s">
        <v>14</v>
      </c>
      <c r="J37" t="s">
        <v>12</v>
      </c>
      <c r="L37" s="107" t="s">
        <v>314</v>
      </c>
      <c r="M37" s="98" t="s">
        <v>315</v>
      </c>
      <c r="N37" s="102" t="s">
        <v>316</v>
      </c>
      <c r="O37" s="100" t="s">
        <v>317</v>
      </c>
      <c r="P37" s="107" t="s">
        <v>318</v>
      </c>
      <c r="Q37" s="101" t="s">
        <v>319</v>
      </c>
      <c r="R37" s="101" t="s">
        <v>320</v>
      </c>
      <c r="S37" s="107" t="s">
        <v>321</v>
      </c>
      <c r="T37" s="101" t="s">
        <v>322</v>
      </c>
      <c r="U37" s="101" t="s">
        <v>323</v>
      </c>
      <c r="V37" s="107" t="s">
        <v>324</v>
      </c>
      <c r="W37" s="101" t="s">
        <v>325</v>
      </c>
      <c r="X37" s="101" t="s">
        <v>326</v>
      </c>
      <c r="Y37" s="109" t="s">
        <v>707</v>
      </c>
      <c r="Z37" s="92"/>
      <c r="AA37" s="1"/>
      <c r="AB37" s="98" t="s">
        <v>315</v>
      </c>
      <c r="AC37" s="102" t="s">
        <v>316</v>
      </c>
      <c r="AD37" s="100" t="s">
        <v>317</v>
      </c>
      <c r="AE37" s="107" t="s">
        <v>318</v>
      </c>
      <c r="AF37" s="101" t="s">
        <v>319</v>
      </c>
      <c r="AG37" s="101" t="s">
        <v>320</v>
      </c>
      <c r="AH37" s="107" t="s">
        <v>321</v>
      </c>
      <c r="AI37" s="101" t="s">
        <v>322</v>
      </c>
      <c r="AJ37" s="101" t="s">
        <v>323</v>
      </c>
      <c r="AK37" s="107" t="s">
        <v>324</v>
      </c>
      <c r="AL37" s="101" t="s">
        <v>325</v>
      </c>
      <c r="AM37" s="101" t="s">
        <v>326</v>
      </c>
    </row>
    <row r="38" spans="1:39" ht="15.75" x14ac:dyDescent="0.25">
      <c r="A38" s="55">
        <v>47118</v>
      </c>
      <c r="B38" s="4" t="s">
        <v>250</v>
      </c>
      <c r="C38" s="56" t="s">
        <v>112</v>
      </c>
      <c r="F38" s="1">
        <v>47084</v>
      </c>
      <c r="G38" s="1">
        <v>47118</v>
      </c>
      <c r="H38" t="s">
        <v>103</v>
      </c>
      <c r="I38" t="s">
        <v>14</v>
      </c>
      <c r="J38" t="s">
        <v>12</v>
      </c>
      <c r="L38" s="107" t="s">
        <v>623</v>
      </c>
      <c r="M38" s="98" t="s">
        <v>624</v>
      </c>
      <c r="N38" s="102" t="s">
        <v>625</v>
      </c>
      <c r="O38" s="100" t="s">
        <v>626</v>
      </c>
      <c r="P38" s="107" t="s">
        <v>627</v>
      </c>
      <c r="Q38" s="101" t="s">
        <v>628</v>
      </c>
      <c r="R38" s="101" t="s">
        <v>629</v>
      </c>
      <c r="S38" s="107" t="s">
        <v>630</v>
      </c>
      <c r="T38" s="101" t="s">
        <v>631</v>
      </c>
      <c r="U38" s="101" t="s">
        <v>632</v>
      </c>
      <c r="V38" s="107" t="s">
        <v>633</v>
      </c>
      <c r="W38" s="101" t="s">
        <v>634</v>
      </c>
      <c r="X38" s="101" t="s">
        <v>635</v>
      </c>
      <c r="Y38" s="109" t="s">
        <v>699</v>
      </c>
      <c r="Z38" s="92"/>
      <c r="AA38" s="1"/>
      <c r="AB38" s="98" t="s">
        <v>624</v>
      </c>
      <c r="AC38" s="102" t="s">
        <v>625</v>
      </c>
      <c r="AD38" s="100" t="s">
        <v>626</v>
      </c>
      <c r="AE38" s="107" t="s">
        <v>627</v>
      </c>
      <c r="AF38" s="101" t="s">
        <v>628</v>
      </c>
      <c r="AG38" s="101" t="s">
        <v>629</v>
      </c>
      <c r="AH38" s="107" t="s">
        <v>630</v>
      </c>
      <c r="AI38" s="101" t="s">
        <v>631</v>
      </c>
      <c r="AJ38" s="101" t="s">
        <v>632</v>
      </c>
      <c r="AK38" s="107" t="s">
        <v>633</v>
      </c>
      <c r="AL38" s="101" t="s">
        <v>634</v>
      </c>
      <c r="AM38" s="101" t="s">
        <v>635</v>
      </c>
    </row>
    <row r="39" spans="1:39" ht="15.75" x14ac:dyDescent="0.25">
      <c r="A39" s="55">
        <v>39048</v>
      </c>
      <c r="B39" s="4" t="s">
        <v>250</v>
      </c>
      <c r="C39" s="56" t="s">
        <v>111</v>
      </c>
      <c r="F39" s="1">
        <v>39048</v>
      </c>
      <c r="G39" s="1">
        <v>39082</v>
      </c>
      <c r="H39" t="s">
        <v>86</v>
      </c>
      <c r="I39" t="s">
        <v>14</v>
      </c>
      <c r="J39" t="s">
        <v>12</v>
      </c>
      <c r="L39" s="107" t="s">
        <v>649</v>
      </c>
      <c r="M39" s="98" t="s">
        <v>650</v>
      </c>
      <c r="N39" s="102" t="s">
        <v>651</v>
      </c>
      <c r="O39" s="100" t="s">
        <v>652</v>
      </c>
      <c r="P39" s="107" t="s">
        <v>653</v>
      </c>
      <c r="Q39" s="101" t="s">
        <v>654</v>
      </c>
      <c r="R39" s="101" t="s">
        <v>655</v>
      </c>
      <c r="S39" s="107" t="s">
        <v>656</v>
      </c>
      <c r="T39" s="101" t="s">
        <v>657</v>
      </c>
      <c r="U39" s="101" t="s">
        <v>658</v>
      </c>
      <c r="V39" s="107" t="s">
        <v>659</v>
      </c>
      <c r="W39" s="101" t="s">
        <v>660</v>
      </c>
      <c r="X39" s="101" t="s">
        <v>661</v>
      </c>
      <c r="Y39" s="109" t="s">
        <v>704</v>
      </c>
      <c r="Z39" s="92"/>
      <c r="AA39" s="1"/>
      <c r="AB39" s="98" t="s">
        <v>650</v>
      </c>
      <c r="AC39" s="102" t="s">
        <v>651</v>
      </c>
      <c r="AD39" s="100" t="s">
        <v>652</v>
      </c>
      <c r="AE39" s="107" t="s">
        <v>653</v>
      </c>
      <c r="AF39" s="101" t="s">
        <v>654</v>
      </c>
      <c r="AG39" s="101" t="s">
        <v>655</v>
      </c>
      <c r="AH39" s="107" t="s">
        <v>656</v>
      </c>
      <c r="AI39" s="101" t="s">
        <v>657</v>
      </c>
      <c r="AJ39" s="101" t="s">
        <v>658</v>
      </c>
      <c r="AK39" s="107" t="s">
        <v>659</v>
      </c>
      <c r="AL39" s="101" t="s">
        <v>660</v>
      </c>
      <c r="AM39" s="101" t="s">
        <v>661</v>
      </c>
    </row>
    <row r="40" spans="1:39" ht="15.75" x14ac:dyDescent="0.25">
      <c r="A40" s="55">
        <v>43066</v>
      </c>
      <c r="B40" s="4" t="s">
        <v>250</v>
      </c>
      <c r="C40" s="56" t="s">
        <v>111</v>
      </c>
      <c r="F40" s="1">
        <v>43066</v>
      </c>
      <c r="G40" s="1">
        <v>43100</v>
      </c>
      <c r="H40" t="s">
        <v>70</v>
      </c>
      <c r="I40" t="s">
        <v>14</v>
      </c>
      <c r="J40" t="s">
        <v>12</v>
      </c>
      <c r="L40" s="107" t="s">
        <v>314</v>
      </c>
      <c r="M40" s="98" t="s">
        <v>315</v>
      </c>
      <c r="N40" s="102" t="s">
        <v>316</v>
      </c>
      <c r="O40" s="100" t="s">
        <v>317</v>
      </c>
      <c r="P40" s="107" t="s">
        <v>318</v>
      </c>
      <c r="Q40" s="101" t="s">
        <v>319</v>
      </c>
      <c r="R40" s="101" t="s">
        <v>320</v>
      </c>
      <c r="S40" s="107" t="s">
        <v>321</v>
      </c>
      <c r="T40" s="101" t="s">
        <v>322</v>
      </c>
      <c r="U40" s="101" t="s">
        <v>323</v>
      </c>
      <c r="V40" s="107" t="s">
        <v>324</v>
      </c>
      <c r="W40" s="101" t="s">
        <v>325</v>
      </c>
      <c r="X40" s="101" t="s">
        <v>326</v>
      </c>
      <c r="Y40" s="109" t="s">
        <v>707</v>
      </c>
      <c r="Z40" s="92"/>
      <c r="AA40" s="1"/>
      <c r="AB40" s="98" t="s">
        <v>315</v>
      </c>
      <c r="AC40" s="102" t="s">
        <v>316</v>
      </c>
      <c r="AD40" s="100" t="s">
        <v>317</v>
      </c>
      <c r="AE40" s="107" t="s">
        <v>318</v>
      </c>
      <c r="AF40" s="101" t="s">
        <v>319</v>
      </c>
      <c r="AG40" s="101" t="s">
        <v>320</v>
      </c>
      <c r="AH40" s="107" t="s">
        <v>321</v>
      </c>
      <c r="AI40" s="101" t="s">
        <v>322</v>
      </c>
      <c r="AJ40" s="101" t="s">
        <v>323</v>
      </c>
      <c r="AK40" s="107" t="s">
        <v>324</v>
      </c>
      <c r="AL40" s="101" t="s">
        <v>325</v>
      </c>
      <c r="AM40" s="101" t="s">
        <v>326</v>
      </c>
    </row>
    <row r="41" spans="1:39" ht="15.75" x14ac:dyDescent="0.25">
      <c r="A41" s="55">
        <v>47084</v>
      </c>
      <c r="B41" s="4" t="s">
        <v>250</v>
      </c>
      <c r="C41" s="56" t="s">
        <v>111</v>
      </c>
      <c r="F41" s="1">
        <v>47084</v>
      </c>
      <c r="G41" s="1">
        <v>47118</v>
      </c>
      <c r="H41" t="s">
        <v>103</v>
      </c>
      <c r="I41" t="s">
        <v>14</v>
      </c>
      <c r="J41" t="s">
        <v>12</v>
      </c>
      <c r="L41" s="107" t="s">
        <v>623</v>
      </c>
      <c r="M41" s="98" t="s">
        <v>624</v>
      </c>
      <c r="N41" s="102" t="s">
        <v>625</v>
      </c>
      <c r="O41" s="100" t="s">
        <v>626</v>
      </c>
      <c r="P41" s="107" t="s">
        <v>627</v>
      </c>
      <c r="Q41" s="101" t="s">
        <v>628</v>
      </c>
      <c r="R41" s="101" t="s">
        <v>629</v>
      </c>
      <c r="S41" s="107" t="s">
        <v>630</v>
      </c>
      <c r="T41" s="101" t="s">
        <v>631</v>
      </c>
      <c r="U41" s="101" t="s">
        <v>632</v>
      </c>
      <c r="V41" s="107" t="s">
        <v>633</v>
      </c>
      <c r="W41" s="101" t="s">
        <v>634</v>
      </c>
      <c r="X41" s="101" t="s">
        <v>635</v>
      </c>
      <c r="Y41" s="109" t="s">
        <v>699</v>
      </c>
      <c r="Z41" s="92"/>
      <c r="AA41" s="1"/>
      <c r="AB41" s="98" t="s">
        <v>624</v>
      </c>
      <c r="AC41" s="102" t="s">
        <v>625</v>
      </c>
      <c r="AD41" s="100" t="s">
        <v>626</v>
      </c>
      <c r="AE41" s="107" t="s">
        <v>627</v>
      </c>
      <c r="AF41" s="101" t="s">
        <v>628</v>
      </c>
      <c r="AG41" s="101" t="s">
        <v>629</v>
      </c>
      <c r="AH41" s="107" t="s">
        <v>630</v>
      </c>
      <c r="AI41" s="101" t="s">
        <v>631</v>
      </c>
      <c r="AJ41" s="101" t="s">
        <v>632</v>
      </c>
      <c r="AK41" s="107" t="s">
        <v>633</v>
      </c>
      <c r="AL41" s="101" t="s">
        <v>634</v>
      </c>
      <c r="AM41" s="101" t="s">
        <v>635</v>
      </c>
    </row>
    <row r="42" spans="1:39" ht="15.75" x14ac:dyDescent="0.25">
      <c r="A42" s="55">
        <v>39082</v>
      </c>
      <c r="B42" s="4" t="s">
        <v>250</v>
      </c>
      <c r="C42" s="56" t="s">
        <v>112</v>
      </c>
      <c r="F42" s="1">
        <v>39048</v>
      </c>
      <c r="G42" s="1">
        <v>39082</v>
      </c>
      <c r="H42" t="s">
        <v>86</v>
      </c>
      <c r="I42" t="s">
        <v>14</v>
      </c>
      <c r="J42" t="s">
        <v>12</v>
      </c>
      <c r="L42" s="107" t="s">
        <v>649</v>
      </c>
      <c r="M42" s="98" t="s">
        <v>650</v>
      </c>
      <c r="N42" s="102" t="s">
        <v>651</v>
      </c>
      <c r="O42" s="100" t="s">
        <v>652</v>
      </c>
      <c r="P42" s="107" t="s">
        <v>653</v>
      </c>
      <c r="Q42" s="101" t="s">
        <v>654</v>
      </c>
      <c r="R42" s="101" t="s">
        <v>655</v>
      </c>
      <c r="S42" s="107" t="s">
        <v>656</v>
      </c>
      <c r="T42" s="101" t="s">
        <v>657</v>
      </c>
      <c r="U42" s="101" t="s">
        <v>658</v>
      </c>
      <c r="V42" s="107" t="s">
        <v>659</v>
      </c>
      <c r="W42" s="101" t="s">
        <v>660</v>
      </c>
      <c r="X42" s="101" t="s">
        <v>661</v>
      </c>
      <c r="Y42" s="109" t="s">
        <v>704</v>
      </c>
      <c r="Z42" s="92"/>
      <c r="AA42" s="1"/>
      <c r="AB42" s="98" t="s">
        <v>650</v>
      </c>
      <c r="AC42" s="102" t="s">
        <v>651</v>
      </c>
      <c r="AD42" s="100" t="s">
        <v>652</v>
      </c>
      <c r="AE42" s="107" t="s">
        <v>653</v>
      </c>
      <c r="AF42" s="101" t="s">
        <v>654</v>
      </c>
      <c r="AG42" s="101" t="s">
        <v>655</v>
      </c>
      <c r="AH42" s="107" t="s">
        <v>656</v>
      </c>
      <c r="AI42" s="101" t="s">
        <v>657</v>
      </c>
      <c r="AJ42" s="101" t="s">
        <v>658</v>
      </c>
      <c r="AK42" s="107" t="s">
        <v>659</v>
      </c>
      <c r="AL42" s="101" t="s">
        <v>660</v>
      </c>
      <c r="AM42" s="101" t="s">
        <v>661</v>
      </c>
    </row>
    <row r="43" spans="1:39" ht="15.75" x14ac:dyDescent="0.25">
      <c r="A43" s="55">
        <v>43100</v>
      </c>
      <c r="B43" s="4" t="s">
        <v>250</v>
      </c>
      <c r="C43" s="56" t="s">
        <v>112</v>
      </c>
      <c r="F43" s="1">
        <v>43066</v>
      </c>
      <c r="G43" s="1">
        <v>43100</v>
      </c>
      <c r="H43" t="s">
        <v>70</v>
      </c>
      <c r="I43" t="s">
        <v>14</v>
      </c>
      <c r="J43" t="s">
        <v>12</v>
      </c>
      <c r="L43" s="107" t="s">
        <v>314</v>
      </c>
      <c r="M43" s="98" t="s">
        <v>315</v>
      </c>
      <c r="N43" s="102" t="s">
        <v>316</v>
      </c>
      <c r="O43" s="100" t="s">
        <v>317</v>
      </c>
      <c r="P43" s="107" t="s">
        <v>318</v>
      </c>
      <c r="Q43" s="101" t="s">
        <v>319</v>
      </c>
      <c r="R43" s="101" t="s">
        <v>320</v>
      </c>
      <c r="S43" s="107" t="s">
        <v>321</v>
      </c>
      <c r="T43" s="101" t="s">
        <v>322</v>
      </c>
      <c r="U43" s="101" t="s">
        <v>323</v>
      </c>
      <c r="V43" s="107" t="s">
        <v>324</v>
      </c>
      <c r="W43" s="101" t="s">
        <v>325</v>
      </c>
      <c r="X43" s="101" t="s">
        <v>326</v>
      </c>
      <c r="Y43" s="109" t="s">
        <v>707</v>
      </c>
      <c r="Z43" s="92"/>
      <c r="AA43" s="1"/>
      <c r="AB43" s="98" t="s">
        <v>315</v>
      </c>
      <c r="AC43" s="102" t="s">
        <v>316</v>
      </c>
      <c r="AD43" s="100" t="s">
        <v>317</v>
      </c>
      <c r="AE43" s="107" t="s">
        <v>318</v>
      </c>
      <c r="AF43" s="101" t="s">
        <v>319</v>
      </c>
      <c r="AG43" s="101" t="s">
        <v>320</v>
      </c>
      <c r="AH43" s="107" t="s">
        <v>321</v>
      </c>
      <c r="AI43" s="101" t="s">
        <v>322</v>
      </c>
      <c r="AJ43" s="101" t="s">
        <v>323</v>
      </c>
      <c r="AK43" s="107" t="s">
        <v>324</v>
      </c>
      <c r="AL43" s="101" t="s">
        <v>325</v>
      </c>
      <c r="AM43" s="101" t="s">
        <v>326</v>
      </c>
    </row>
    <row r="44" spans="1:39" ht="15.75" x14ac:dyDescent="0.25">
      <c r="A44" s="55">
        <v>47118</v>
      </c>
      <c r="B44" s="4" t="s">
        <v>250</v>
      </c>
      <c r="C44" s="56" t="s">
        <v>112</v>
      </c>
      <c r="F44" s="1">
        <v>47084</v>
      </c>
      <c r="G44" s="1">
        <v>47118</v>
      </c>
      <c r="H44" t="s">
        <v>103</v>
      </c>
      <c r="I44" t="s">
        <v>14</v>
      </c>
      <c r="J44" t="s">
        <v>12</v>
      </c>
      <c r="L44" s="107" t="s">
        <v>623</v>
      </c>
      <c r="M44" s="98" t="s">
        <v>624</v>
      </c>
      <c r="N44" s="102" t="s">
        <v>625</v>
      </c>
      <c r="O44" s="100" t="s">
        <v>626</v>
      </c>
      <c r="P44" s="107" t="s">
        <v>627</v>
      </c>
      <c r="Q44" s="101" t="s">
        <v>628</v>
      </c>
      <c r="R44" s="101" t="s">
        <v>629</v>
      </c>
      <c r="S44" s="107" t="s">
        <v>630</v>
      </c>
      <c r="T44" s="101" t="s">
        <v>631</v>
      </c>
      <c r="U44" s="101" t="s">
        <v>632</v>
      </c>
      <c r="V44" s="107" t="s">
        <v>633</v>
      </c>
      <c r="W44" s="101" t="s">
        <v>634</v>
      </c>
      <c r="X44" s="101" t="s">
        <v>635</v>
      </c>
      <c r="Y44" s="109" t="s">
        <v>699</v>
      </c>
      <c r="Z44" s="92"/>
      <c r="AA44" s="1"/>
      <c r="AB44" s="98" t="s">
        <v>624</v>
      </c>
      <c r="AC44" s="102" t="s">
        <v>625</v>
      </c>
      <c r="AD44" s="100" t="s">
        <v>626</v>
      </c>
      <c r="AE44" s="107" t="s">
        <v>627</v>
      </c>
      <c r="AF44" s="101" t="s">
        <v>628</v>
      </c>
      <c r="AG44" s="101" t="s">
        <v>629</v>
      </c>
      <c r="AH44" s="107" t="s">
        <v>630</v>
      </c>
      <c r="AI44" s="101" t="s">
        <v>631</v>
      </c>
      <c r="AJ44" s="101" t="s">
        <v>632</v>
      </c>
      <c r="AK44" s="107" t="s">
        <v>633</v>
      </c>
      <c r="AL44" s="101" t="s">
        <v>634</v>
      </c>
      <c r="AM44" s="101" t="s">
        <v>635</v>
      </c>
    </row>
    <row r="45" spans="1:39" ht="15.75" x14ac:dyDescent="0.25">
      <c r="A45" s="55">
        <v>39048</v>
      </c>
      <c r="B45" s="4" t="s">
        <v>250</v>
      </c>
      <c r="C45" s="56" t="s">
        <v>111</v>
      </c>
      <c r="F45" s="1">
        <v>39048</v>
      </c>
      <c r="G45" s="1">
        <v>39082</v>
      </c>
      <c r="H45" t="s">
        <v>86</v>
      </c>
      <c r="I45" t="s">
        <v>14</v>
      </c>
      <c r="J45" t="s">
        <v>12</v>
      </c>
      <c r="L45" s="107" t="s">
        <v>649</v>
      </c>
      <c r="M45" s="98" t="s">
        <v>650</v>
      </c>
      <c r="N45" s="102" t="s">
        <v>651</v>
      </c>
      <c r="O45" s="100" t="s">
        <v>652</v>
      </c>
      <c r="P45" s="107" t="s">
        <v>653</v>
      </c>
      <c r="Q45" s="101" t="s">
        <v>654</v>
      </c>
      <c r="R45" s="101" t="s">
        <v>655</v>
      </c>
      <c r="S45" s="107" t="s">
        <v>656</v>
      </c>
      <c r="T45" s="101" t="s">
        <v>657</v>
      </c>
      <c r="U45" s="101" t="s">
        <v>658</v>
      </c>
      <c r="V45" s="107" t="s">
        <v>659</v>
      </c>
      <c r="W45" s="101" t="s">
        <v>660</v>
      </c>
      <c r="X45" s="101" t="s">
        <v>661</v>
      </c>
      <c r="Y45" s="109" t="s">
        <v>704</v>
      </c>
      <c r="Z45" s="92"/>
      <c r="AA45" s="1"/>
      <c r="AB45" s="98" t="s">
        <v>650</v>
      </c>
      <c r="AC45" s="102" t="s">
        <v>651</v>
      </c>
      <c r="AD45" s="100" t="s">
        <v>652</v>
      </c>
      <c r="AE45" s="107" t="s">
        <v>653</v>
      </c>
      <c r="AF45" s="101" t="s">
        <v>654</v>
      </c>
      <c r="AG45" s="101" t="s">
        <v>655</v>
      </c>
      <c r="AH45" s="107" t="s">
        <v>656</v>
      </c>
      <c r="AI45" s="101" t="s">
        <v>657</v>
      </c>
      <c r="AJ45" s="101" t="s">
        <v>658</v>
      </c>
      <c r="AK45" s="107" t="s">
        <v>659</v>
      </c>
      <c r="AL45" s="101" t="s">
        <v>660</v>
      </c>
      <c r="AM45" s="101" t="s">
        <v>661</v>
      </c>
    </row>
    <row r="46" spans="1:39" ht="15.75" x14ac:dyDescent="0.25">
      <c r="A46" s="55">
        <v>43066</v>
      </c>
      <c r="B46" s="4" t="s">
        <v>250</v>
      </c>
      <c r="C46" s="56" t="s">
        <v>111</v>
      </c>
      <c r="F46" s="1">
        <v>43066</v>
      </c>
      <c r="G46" s="1">
        <v>43100</v>
      </c>
      <c r="H46" t="s">
        <v>70</v>
      </c>
      <c r="I46" t="s">
        <v>14</v>
      </c>
      <c r="J46" t="s">
        <v>12</v>
      </c>
      <c r="L46" s="107" t="s">
        <v>314</v>
      </c>
      <c r="M46" s="98" t="s">
        <v>315</v>
      </c>
      <c r="N46" s="102" t="s">
        <v>316</v>
      </c>
      <c r="O46" s="100" t="s">
        <v>317</v>
      </c>
      <c r="P46" s="107" t="s">
        <v>318</v>
      </c>
      <c r="Q46" s="101" t="s">
        <v>319</v>
      </c>
      <c r="R46" s="101" t="s">
        <v>320</v>
      </c>
      <c r="S46" s="107" t="s">
        <v>321</v>
      </c>
      <c r="T46" s="101" t="s">
        <v>322</v>
      </c>
      <c r="U46" s="101" t="s">
        <v>323</v>
      </c>
      <c r="V46" s="107" t="s">
        <v>324</v>
      </c>
      <c r="W46" s="101" t="s">
        <v>325</v>
      </c>
      <c r="X46" s="101" t="s">
        <v>326</v>
      </c>
      <c r="Y46" s="109" t="s">
        <v>707</v>
      </c>
      <c r="Z46" s="92"/>
      <c r="AA46" s="1"/>
      <c r="AB46" s="98" t="s">
        <v>315</v>
      </c>
      <c r="AC46" s="102" t="s">
        <v>316</v>
      </c>
      <c r="AD46" s="100" t="s">
        <v>317</v>
      </c>
      <c r="AE46" s="107" t="s">
        <v>318</v>
      </c>
      <c r="AF46" s="101" t="s">
        <v>319</v>
      </c>
      <c r="AG46" s="101" t="s">
        <v>320</v>
      </c>
      <c r="AH46" s="107" t="s">
        <v>321</v>
      </c>
      <c r="AI46" s="101" t="s">
        <v>322</v>
      </c>
      <c r="AJ46" s="101" t="s">
        <v>323</v>
      </c>
      <c r="AK46" s="107" t="s">
        <v>324</v>
      </c>
      <c r="AL46" s="101" t="s">
        <v>325</v>
      </c>
      <c r="AM46" s="101" t="s">
        <v>326</v>
      </c>
    </row>
    <row r="47" spans="1:39" ht="15.75" x14ac:dyDescent="0.25">
      <c r="A47" s="55">
        <v>47084</v>
      </c>
      <c r="B47" s="4" t="s">
        <v>250</v>
      </c>
      <c r="C47" s="56" t="s">
        <v>111</v>
      </c>
      <c r="F47" s="1">
        <v>47084</v>
      </c>
      <c r="G47" s="1">
        <v>47118</v>
      </c>
      <c r="H47" t="s">
        <v>103</v>
      </c>
      <c r="I47" t="s">
        <v>14</v>
      </c>
      <c r="J47" t="s">
        <v>12</v>
      </c>
      <c r="L47" s="107" t="s">
        <v>623</v>
      </c>
      <c r="M47" s="98" t="s">
        <v>624</v>
      </c>
      <c r="N47" s="102" t="s">
        <v>625</v>
      </c>
      <c r="O47" s="100" t="s">
        <v>626</v>
      </c>
      <c r="P47" s="107" t="s">
        <v>627</v>
      </c>
      <c r="Q47" s="101" t="s">
        <v>628</v>
      </c>
      <c r="R47" s="101" t="s">
        <v>629</v>
      </c>
      <c r="S47" s="107" t="s">
        <v>630</v>
      </c>
      <c r="T47" s="101" t="s">
        <v>631</v>
      </c>
      <c r="U47" s="101" t="s">
        <v>632</v>
      </c>
      <c r="V47" s="107" t="s">
        <v>633</v>
      </c>
      <c r="W47" s="101" t="s">
        <v>634</v>
      </c>
      <c r="X47" s="101" t="s">
        <v>635</v>
      </c>
      <c r="Y47" s="109" t="s">
        <v>699</v>
      </c>
      <c r="Z47" s="92"/>
      <c r="AA47" s="1"/>
      <c r="AB47" s="98" t="s">
        <v>624</v>
      </c>
      <c r="AC47" s="102" t="s">
        <v>625</v>
      </c>
      <c r="AD47" s="100" t="s">
        <v>626</v>
      </c>
      <c r="AE47" s="107" t="s">
        <v>627</v>
      </c>
      <c r="AF47" s="101" t="s">
        <v>628</v>
      </c>
      <c r="AG47" s="101" t="s">
        <v>629</v>
      </c>
      <c r="AH47" s="107" t="s">
        <v>630</v>
      </c>
      <c r="AI47" s="101" t="s">
        <v>631</v>
      </c>
      <c r="AJ47" s="101" t="s">
        <v>632</v>
      </c>
      <c r="AK47" s="107" t="s">
        <v>633</v>
      </c>
      <c r="AL47" s="101" t="s">
        <v>634</v>
      </c>
      <c r="AM47" s="101" t="s">
        <v>635</v>
      </c>
    </row>
    <row r="48" spans="1:39" ht="15.75" x14ac:dyDescent="0.25">
      <c r="A48" s="55">
        <v>39082</v>
      </c>
      <c r="B48" s="4" t="s">
        <v>250</v>
      </c>
      <c r="C48" s="56" t="s">
        <v>112</v>
      </c>
      <c r="F48" s="1">
        <v>39048</v>
      </c>
      <c r="G48" s="1">
        <v>39082</v>
      </c>
      <c r="H48" t="s">
        <v>86</v>
      </c>
      <c r="I48" t="s">
        <v>14</v>
      </c>
      <c r="J48" t="s">
        <v>12</v>
      </c>
      <c r="L48" s="107" t="s">
        <v>649</v>
      </c>
      <c r="M48" s="98" t="s">
        <v>650</v>
      </c>
      <c r="N48" s="102" t="s">
        <v>651</v>
      </c>
      <c r="O48" s="100" t="s">
        <v>652</v>
      </c>
      <c r="P48" s="107" t="s">
        <v>653</v>
      </c>
      <c r="Q48" s="101" t="s">
        <v>654</v>
      </c>
      <c r="R48" s="101" t="s">
        <v>655</v>
      </c>
      <c r="S48" s="107" t="s">
        <v>656</v>
      </c>
      <c r="T48" s="101" t="s">
        <v>657</v>
      </c>
      <c r="U48" s="101" t="s">
        <v>658</v>
      </c>
      <c r="V48" s="107" t="s">
        <v>659</v>
      </c>
      <c r="W48" s="101" t="s">
        <v>660</v>
      </c>
      <c r="X48" s="101" t="s">
        <v>661</v>
      </c>
      <c r="Y48" s="109" t="s">
        <v>704</v>
      </c>
      <c r="Z48" s="92"/>
      <c r="AB48" s="98" t="s">
        <v>650</v>
      </c>
      <c r="AC48" s="102" t="s">
        <v>651</v>
      </c>
      <c r="AD48" s="100" t="s">
        <v>652</v>
      </c>
      <c r="AE48" s="107" t="s">
        <v>653</v>
      </c>
      <c r="AF48" s="101" t="s">
        <v>654</v>
      </c>
      <c r="AG48" s="101" t="s">
        <v>655</v>
      </c>
      <c r="AH48" s="107" t="s">
        <v>656</v>
      </c>
      <c r="AI48" s="101" t="s">
        <v>657</v>
      </c>
      <c r="AJ48" s="101" t="s">
        <v>658</v>
      </c>
      <c r="AK48" s="107" t="s">
        <v>659</v>
      </c>
      <c r="AL48" s="101" t="s">
        <v>660</v>
      </c>
      <c r="AM48" s="101" t="s">
        <v>661</v>
      </c>
    </row>
    <row r="49" spans="1:39" ht="15.75" x14ac:dyDescent="0.25">
      <c r="A49" s="55">
        <v>43100</v>
      </c>
      <c r="B49" s="4" t="s">
        <v>250</v>
      </c>
      <c r="C49" s="56" t="s">
        <v>112</v>
      </c>
      <c r="F49" s="1">
        <v>43066</v>
      </c>
      <c r="G49" s="1">
        <v>43100</v>
      </c>
      <c r="H49" t="s">
        <v>70</v>
      </c>
      <c r="I49" t="s">
        <v>14</v>
      </c>
      <c r="J49" t="s">
        <v>12</v>
      </c>
      <c r="L49" s="107" t="s">
        <v>314</v>
      </c>
      <c r="M49" s="98" t="s">
        <v>315</v>
      </c>
      <c r="N49" s="102" t="s">
        <v>316</v>
      </c>
      <c r="O49" s="100" t="s">
        <v>317</v>
      </c>
      <c r="P49" s="107" t="s">
        <v>318</v>
      </c>
      <c r="Q49" s="101" t="s">
        <v>319</v>
      </c>
      <c r="R49" s="101" t="s">
        <v>320</v>
      </c>
      <c r="S49" s="107" t="s">
        <v>321</v>
      </c>
      <c r="T49" s="101" t="s">
        <v>322</v>
      </c>
      <c r="U49" s="101" t="s">
        <v>323</v>
      </c>
      <c r="V49" s="107" t="s">
        <v>324</v>
      </c>
      <c r="W49" s="101" t="s">
        <v>325</v>
      </c>
      <c r="X49" s="101" t="s">
        <v>326</v>
      </c>
      <c r="Y49" s="109" t="s">
        <v>707</v>
      </c>
      <c r="Z49" s="92"/>
      <c r="AB49" s="98" t="s">
        <v>315</v>
      </c>
      <c r="AC49" s="102" t="s">
        <v>316</v>
      </c>
      <c r="AD49" s="100" t="s">
        <v>317</v>
      </c>
      <c r="AE49" s="107" t="s">
        <v>318</v>
      </c>
      <c r="AF49" s="101" t="s">
        <v>319</v>
      </c>
      <c r="AG49" s="101" t="s">
        <v>320</v>
      </c>
      <c r="AH49" s="107" t="s">
        <v>321</v>
      </c>
      <c r="AI49" s="101" t="s">
        <v>322</v>
      </c>
      <c r="AJ49" s="101" t="s">
        <v>323</v>
      </c>
      <c r="AK49" s="107" t="s">
        <v>324</v>
      </c>
      <c r="AL49" s="101" t="s">
        <v>325</v>
      </c>
      <c r="AM49" s="101" t="s">
        <v>326</v>
      </c>
    </row>
    <row r="50" spans="1:39" ht="15.75" x14ac:dyDescent="0.25">
      <c r="A50" s="55">
        <v>47118</v>
      </c>
      <c r="B50" s="4" t="s">
        <v>250</v>
      </c>
      <c r="C50" s="56" t="s">
        <v>112</v>
      </c>
      <c r="F50" s="1">
        <v>47084</v>
      </c>
      <c r="G50" s="1">
        <v>47118</v>
      </c>
      <c r="H50" t="s">
        <v>103</v>
      </c>
      <c r="I50" t="s">
        <v>14</v>
      </c>
      <c r="J50" t="s">
        <v>12</v>
      </c>
      <c r="L50" s="107" t="s">
        <v>623</v>
      </c>
      <c r="M50" s="98" t="s">
        <v>624</v>
      </c>
      <c r="N50" s="102" t="s">
        <v>625</v>
      </c>
      <c r="O50" s="100" t="s">
        <v>626</v>
      </c>
      <c r="P50" s="107" t="s">
        <v>627</v>
      </c>
      <c r="Q50" s="101" t="s">
        <v>628</v>
      </c>
      <c r="R50" s="101" t="s">
        <v>629</v>
      </c>
      <c r="S50" s="107" t="s">
        <v>630</v>
      </c>
      <c r="T50" s="101" t="s">
        <v>631</v>
      </c>
      <c r="U50" s="101" t="s">
        <v>632</v>
      </c>
      <c r="V50" s="107" t="s">
        <v>633</v>
      </c>
      <c r="W50" s="101" t="s">
        <v>634</v>
      </c>
      <c r="X50" s="101" t="s">
        <v>635</v>
      </c>
      <c r="Y50" s="109" t="s">
        <v>699</v>
      </c>
      <c r="Z50" s="92"/>
      <c r="AB50" s="98" t="s">
        <v>624</v>
      </c>
      <c r="AC50" s="102" t="s">
        <v>625</v>
      </c>
      <c r="AD50" s="100" t="s">
        <v>626</v>
      </c>
      <c r="AE50" s="107" t="s">
        <v>627</v>
      </c>
      <c r="AF50" s="101" t="s">
        <v>628</v>
      </c>
      <c r="AG50" s="101" t="s">
        <v>629</v>
      </c>
      <c r="AH50" s="107" t="s">
        <v>630</v>
      </c>
      <c r="AI50" s="101" t="s">
        <v>631</v>
      </c>
      <c r="AJ50" s="101" t="s">
        <v>632</v>
      </c>
      <c r="AK50" s="107" t="s">
        <v>633</v>
      </c>
      <c r="AL50" s="101" t="s">
        <v>634</v>
      </c>
      <c r="AM50" s="101" t="s">
        <v>635</v>
      </c>
    </row>
    <row r="51" spans="1:39" ht="15.75" x14ac:dyDescent="0.25">
      <c r="A51" s="1">
        <v>42817</v>
      </c>
      <c r="B51" s="4" t="s">
        <v>250</v>
      </c>
      <c r="C51" s="56" t="s">
        <v>255</v>
      </c>
      <c r="F51" s="1">
        <v>42814</v>
      </c>
      <c r="G51" s="1">
        <v>42841</v>
      </c>
      <c r="H51" t="s">
        <v>70</v>
      </c>
      <c r="I51" t="s">
        <v>12</v>
      </c>
      <c r="J51" t="s">
        <v>17</v>
      </c>
      <c r="L51" s="107" t="s">
        <v>314</v>
      </c>
      <c r="M51" s="98" t="s">
        <v>315</v>
      </c>
      <c r="N51" s="102" t="s">
        <v>316</v>
      </c>
      <c r="O51" s="100" t="s">
        <v>317</v>
      </c>
      <c r="P51" s="107" t="s">
        <v>318</v>
      </c>
      <c r="Q51" s="101" t="s">
        <v>319</v>
      </c>
      <c r="R51" s="101" t="s">
        <v>320</v>
      </c>
      <c r="S51" s="107" t="s">
        <v>321</v>
      </c>
      <c r="T51" s="101" t="s">
        <v>322</v>
      </c>
      <c r="U51" s="101" t="s">
        <v>323</v>
      </c>
      <c r="V51" s="107" t="s">
        <v>324</v>
      </c>
      <c r="W51" s="101" t="s">
        <v>325</v>
      </c>
      <c r="X51" s="101" t="s">
        <v>326</v>
      </c>
      <c r="Y51" s="109" t="s">
        <v>707</v>
      </c>
      <c r="Z51" s="92"/>
      <c r="AB51" s="98" t="s">
        <v>315</v>
      </c>
      <c r="AC51" s="102" t="s">
        <v>316</v>
      </c>
      <c r="AD51" s="100" t="s">
        <v>317</v>
      </c>
      <c r="AE51" s="107" t="s">
        <v>318</v>
      </c>
      <c r="AF51" s="101" t="s">
        <v>319</v>
      </c>
      <c r="AG51" s="101" t="s">
        <v>320</v>
      </c>
      <c r="AH51" s="107" t="s">
        <v>321</v>
      </c>
      <c r="AI51" s="101" t="s">
        <v>322</v>
      </c>
      <c r="AJ51" s="101" t="s">
        <v>323</v>
      </c>
      <c r="AK51" s="107" t="s">
        <v>324</v>
      </c>
      <c r="AL51" s="101" t="s">
        <v>325</v>
      </c>
      <c r="AM51" s="101" t="s">
        <v>326</v>
      </c>
    </row>
    <row r="52" spans="1:39" ht="15.75" x14ac:dyDescent="0.25">
      <c r="A52" s="1">
        <v>40855</v>
      </c>
      <c r="B52" s="4" t="s">
        <v>250</v>
      </c>
      <c r="C52" s="56" t="s">
        <v>255</v>
      </c>
      <c r="F52" s="1">
        <v>40847</v>
      </c>
      <c r="G52" s="1">
        <v>40874</v>
      </c>
      <c r="H52" t="s">
        <v>91</v>
      </c>
      <c r="I52" t="s">
        <v>13</v>
      </c>
      <c r="J52" t="s">
        <v>12</v>
      </c>
      <c r="L52" s="107" t="s">
        <v>340</v>
      </c>
      <c r="M52" s="98" t="s">
        <v>341</v>
      </c>
      <c r="N52" s="102" t="s">
        <v>342</v>
      </c>
      <c r="O52" s="100" t="s">
        <v>343</v>
      </c>
      <c r="P52" s="107" t="s">
        <v>344</v>
      </c>
      <c r="Q52" s="101" t="s">
        <v>345</v>
      </c>
      <c r="R52" s="101" t="s">
        <v>346</v>
      </c>
      <c r="S52" s="107" t="s">
        <v>347</v>
      </c>
      <c r="T52" s="101" t="s">
        <v>348</v>
      </c>
      <c r="U52" s="101" t="s">
        <v>349</v>
      </c>
      <c r="V52" s="107" t="s">
        <v>350</v>
      </c>
      <c r="W52" s="101" t="s">
        <v>351</v>
      </c>
      <c r="X52" s="101" t="s">
        <v>352</v>
      </c>
      <c r="Y52" s="109" t="s">
        <v>715</v>
      </c>
      <c r="Z52" s="92"/>
      <c r="AB52" s="98" t="s">
        <v>341</v>
      </c>
      <c r="AC52" s="102" t="s">
        <v>342</v>
      </c>
      <c r="AD52" s="100" t="s">
        <v>343</v>
      </c>
      <c r="AE52" s="107" t="s">
        <v>344</v>
      </c>
      <c r="AF52" s="101" t="s">
        <v>345</v>
      </c>
      <c r="AG52" s="101" t="s">
        <v>346</v>
      </c>
      <c r="AH52" s="107" t="s">
        <v>347</v>
      </c>
      <c r="AI52" s="101" t="s">
        <v>348</v>
      </c>
      <c r="AJ52" s="101" t="s">
        <v>349</v>
      </c>
      <c r="AK52" s="107" t="s">
        <v>350</v>
      </c>
      <c r="AL52" s="101" t="s">
        <v>351</v>
      </c>
      <c r="AM52" s="101" t="s">
        <v>352</v>
      </c>
    </row>
    <row r="53" spans="1:39" ht="15.75" x14ac:dyDescent="0.25">
      <c r="A53" s="1">
        <v>42676</v>
      </c>
      <c r="B53" s="4" t="s">
        <v>250</v>
      </c>
      <c r="C53" s="56" t="s">
        <v>255</v>
      </c>
      <c r="F53" s="1">
        <v>42674</v>
      </c>
      <c r="G53" s="1">
        <v>42701</v>
      </c>
      <c r="H53" t="s">
        <v>16</v>
      </c>
      <c r="I53" t="s">
        <v>13</v>
      </c>
      <c r="J53" t="s">
        <v>12</v>
      </c>
      <c r="L53" s="107" t="s">
        <v>301</v>
      </c>
      <c r="M53" s="98" t="s">
        <v>302</v>
      </c>
      <c r="N53" s="102" t="s">
        <v>303</v>
      </c>
      <c r="O53" s="100" t="s">
        <v>304</v>
      </c>
      <c r="P53" s="107" t="s">
        <v>305</v>
      </c>
      <c r="Q53" s="101" t="s">
        <v>306</v>
      </c>
      <c r="R53" s="101" t="s">
        <v>307</v>
      </c>
      <c r="S53" s="107" t="s">
        <v>308</v>
      </c>
      <c r="T53" s="101" t="s">
        <v>309</v>
      </c>
      <c r="U53" s="101" t="s">
        <v>310</v>
      </c>
      <c r="V53" s="107" t="s">
        <v>311</v>
      </c>
      <c r="W53" s="101" t="s">
        <v>312</v>
      </c>
      <c r="X53" s="101" t="s">
        <v>313</v>
      </c>
      <c r="Y53" s="109" t="s">
        <v>714</v>
      </c>
      <c r="Z53" s="92"/>
      <c r="AB53" s="98" t="s">
        <v>302</v>
      </c>
      <c r="AC53" s="102" t="s">
        <v>303</v>
      </c>
      <c r="AD53" s="100" t="s">
        <v>304</v>
      </c>
      <c r="AE53" s="107" t="s">
        <v>305</v>
      </c>
      <c r="AF53" s="101" t="s">
        <v>306</v>
      </c>
      <c r="AG53" s="101" t="s">
        <v>307</v>
      </c>
      <c r="AH53" s="107" t="s">
        <v>308</v>
      </c>
      <c r="AI53" s="101" t="s">
        <v>309</v>
      </c>
      <c r="AJ53" s="101" t="s">
        <v>310</v>
      </c>
      <c r="AK53" s="107" t="s">
        <v>311</v>
      </c>
      <c r="AL53" s="101" t="s">
        <v>312</v>
      </c>
      <c r="AM53" s="101" t="s">
        <v>313</v>
      </c>
    </row>
    <row r="54" spans="1:39" ht="15.75" x14ac:dyDescent="0.25">
      <c r="A54" s="1">
        <v>37793</v>
      </c>
      <c r="B54" s="4" t="s">
        <v>250</v>
      </c>
      <c r="C54" s="56" t="s">
        <v>255</v>
      </c>
      <c r="E54" s="2" t="s">
        <v>71</v>
      </c>
      <c r="F54" s="1">
        <v>37788</v>
      </c>
      <c r="G54" s="1">
        <v>37815</v>
      </c>
      <c r="H54" t="s">
        <v>80</v>
      </c>
      <c r="I54" t="s">
        <v>151</v>
      </c>
      <c r="J54" t="s">
        <v>143</v>
      </c>
      <c r="L54" s="107" t="s">
        <v>353</v>
      </c>
      <c r="M54" s="98" t="s">
        <v>354</v>
      </c>
      <c r="N54" s="102" t="s">
        <v>355</v>
      </c>
      <c r="O54" s="100" t="s">
        <v>356</v>
      </c>
      <c r="P54" s="107" t="s">
        <v>357</v>
      </c>
      <c r="Q54" s="101" t="s">
        <v>358</v>
      </c>
      <c r="R54" s="101" t="s">
        <v>359</v>
      </c>
      <c r="S54" s="107" t="s">
        <v>360</v>
      </c>
      <c r="T54" s="101" t="s">
        <v>361</v>
      </c>
      <c r="U54" s="101" t="s">
        <v>362</v>
      </c>
      <c r="V54" s="107" t="s">
        <v>363</v>
      </c>
      <c r="W54" s="101" t="s">
        <v>364</v>
      </c>
      <c r="X54" s="101" t="s">
        <v>365</v>
      </c>
      <c r="Y54" s="109" t="s">
        <v>694</v>
      </c>
      <c r="Z54" s="92"/>
      <c r="AB54" s="98" t="s">
        <v>354</v>
      </c>
      <c r="AC54" s="102" t="s">
        <v>355</v>
      </c>
      <c r="AD54" s="100" t="s">
        <v>356</v>
      </c>
      <c r="AE54" s="107" t="s">
        <v>357</v>
      </c>
      <c r="AF54" s="101" t="s">
        <v>358</v>
      </c>
      <c r="AG54" s="101" t="s">
        <v>359</v>
      </c>
      <c r="AH54" s="107" t="s">
        <v>360</v>
      </c>
      <c r="AI54" s="101" t="s">
        <v>361</v>
      </c>
      <c r="AJ54" s="101" t="s">
        <v>362</v>
      </c>
      <c r="AK54" s="107" t="s">
        <v>363</v>
      </c>
      <c r="AL54" s="101" t="s">
        <v>364</v>
      </c>
      <c r="AM54" s="101" t="s">
        <v>365</v>
      </c>
    </row>
    <row r="55" spans="1:39" ht="15.75" x14ac:dyDescent="0.25">
      <c r="A55" s="1">
        <v>38644</v>
      </c>
      <c r="B55" s="4" t="s">
        <v>250</v>
      </c>
      <c r="C55" s="56" t="s">
        <v>255</v>
      </c>
      <c r="F55" s="1">
        <v>38628</v>
      </c>
      <c r="G55" s="1">
        <v>38655</v>
      </c>
      <c r="H55" t="s">
        <v>84</v>
      </c>
      <c r="I55" t="s">
        <v>150</v>
      </c>
      <c r="J55" t="s">
        <v>12</v>
      </c>
      <c r="L55" s="107" t="s">
        <v>366</v>
      </c>
      <c r="M55" s="98" t="s">
        <v>367</v>
      </c>
      <c r="N55" s="102" t="s">
        <v>368</v>
      </c>
      <c r="O55" s="100" t="s">
        <v>369</v>
      </c>
      <c r="P55" s="107" t="s">
        <v>370</v>
      </c>
      <c r="Q55" s="101" t="s">
        <v>371</v>
      </c>
      <c r="R55" s="101" t="s">
        <v>372</v>
      </c>
      <c r="S55" s="107" t="s">
        <v>373</v>
      </c>
      <c r="T55" s="101" t="s">
        <v>374</v>
      </c>
      <c r="U55" s="101" t="s">
        <v>375</v>
      </c>
      <c r="V55" s="107" t="s">
        <v>376</v>
      </c>
      <c r="W55" s="101" t="s">
        <v>377</v>
      </c>
      <c r="X55" s="101" t="s">
        <v>378</v>
      </c>
      <c r="Y55" s="109" t="s">
        <v>696</v>
      </c>
      <c r="Z55" s="92"/>
      <c r="AB55" s="98" t="s">
        <v>367</v>
      </c>
      <c r="AC55" s="102" t="s">
        <v>368</v>
      </c>
      <c r="AD55" s="100" t="s">
        <v>369</v>
      </c>
      <c r="AE55" s="107" t="s">
        <v>370</v>
      </c>
      <c r="AF55" s="101" t="s">
        <v>371</v>
      </c>
      <c r="AG55" s="101" t="s">
        <v>372</v>
      </c>
      <c r="AH55" s="107" t="s">
        <v>373</v>
      </c>
      <c r="AI55" s="101" t="s">
        <v>374</v>
      </c>
      <c r="AJ55" s="101" t="s">
        <v>375</v>
      </c>
      <c r="AK55" s="107" t="s">
        <v>376</v>
      </c>
      <c r="AL55" s="101" t="s">
        <v>377</v>
      </c>
      <c r="AM55" s="101" t="s">
        <v>378</v>
      </c>
    </row>
    <row r="56" spans="1:39" ht="15.75" x14ac:dyDescent="0.25">
      <c r="A56" s="1">
        <v>43850</v>
      </c>
      <c r="B56" s="4" t="s">
        <v>250</v>
      </c>
      <c r="C56" s="56" t="s">
        <v>255</v>
      </c>
      <c r="F56" s="1">
        <v>43829</v>
      </c>
      <c r="G56" s="1">
        <v>43856</v>
      </c>
      <c r="H56" t="s">
        <v>55</v>
      </c>
      <c r="I56" t="s">
        <v>17</v>
      </c>
      <c r="J56" t="s">
        <v>17</v>
      </c>
      <c r="L56" s="107" t="s">
        <v>379</v>
      </c>
      <c r="M56" s="98" t="s">
        <v>380</v>
      </c>
      <c r="N56" s="102" t="s">
        <v>381</v>
      </c>
      <c r="O56" s="100" t="s">
        <v>382</v>
      </c>
      <c r="P56" s="107" t="s">
        <v>383</v>
      </c>
      <c r="Q56" s="101" t="s">
        <v>384</v>
      </c>
      <c r="R56" s="101" t="s">
        <v>385</v>
      </c>
      <c r="S56" s="107" t="s">
        <v>386</v>
      </c>
      <c r="T56" s="101" t="s">
        <v>387</v>
      </c>
      <c r="U56" s="101" t="s">
        <v>388</v>
      </c>
      <c r="V56" s="107" t="s">
        <v>389</v>
      </c>
      <c r="W56" s="101" t="s">
        <v>390</v>
      </c>
      <c r="X56" s="101" t="s">
        <v>391</v>
      </c>
      <c r="Y56" s="109" t="s">
        <v>716</v>
      </c>
      <c r="Z56" s="92"/>
      <c r="AB56" s="98" t="s">
        <v>380</v>
      </c>
      <c r="AC56" s="102" t="s">
        <v>381</v>
      </c>
      <c r="AD56" s="100" t="s">
        <v>382</v>
      </c>
      <c r="AE56" s="107" t="s">
        <v>383</v>
      </c>
      <c r="AF56" s="101" t="s">
        <v>384</v>
      </c>
      <c r="AG56" s="101" t="s">
        <v>385</v>
      </c>
      <c r="AH56" s="107" t="s">
        <v>386</v>
      </c>
      <c r="AI56" s="101" t="s">
        <v>387</v>
      </c>
      <c r="AJ56" s="101" t="s">
        <v>388</v>
      </c>
      <c r="AK56" s="107" t="s">
        <v>389</v>
      </c>
      <c r="AL56" s="101" t="s">
        <v>390</v>
      </c>
      <c r="AM56" s="101" t="s">
        <v>391</v>
      </c>
    </row>
    <row r="57" spans="1:39" ht="15.75" x14ac:dyDescent="0.25">
      <c r="A57" s="1">
        <v>45605</v>
      </c>
      <c r="B57" s="4" t="s">
        <v>250</v>
      </c>
      <c r="C57" s="56" t="s">
        <v>255</v>
      </c>
      <c r="F57" s="1">
        <v>45600</v>
      </c>
      <c r="G57" s="1">
        <v>45627</v>
      </c>
      <c r="H57" t="s">
        <v>56</v>
      </c>
      <c r="I57" t="s">
        <v>13</v>
      </c>
      <c r="J57" t="s">
        <v>12</v>
      </c>
      <c r="L57" s="107" t="s">
        <v>392</v>
      </c>
      <c r="M57" s="98" t="s">
        <v>393</v>
      </c>
      <c r="N57" s="102" t="s">
        <v>394</v>
      </c>
      <c r="O57" s="100" t="s">
        <v>395</v>
      </c>
      <c r="P57" s="107" t="s">
        <v>396</v>
      </c>
      <c r="Q57" s="101" t="s">
        <v>397</v>
      </c>
      <c r="R57" s="101" t="s">
        <v>398</v>
      </c>
      <c r="S57" s="107" t="s">
        <v>399</v>
      </c>
      <c r="T57" s="101" t="s">
        <v>400</v>
      </c>
      <c r="U57" s="101" t="s">
        <v>401</v>
      </c>
      <c r="V57" s="107" t="s">
        <v>402</v>
      </c>
      <c r="W57" s="101" t="s">
        <v>403</v>
      </c>
      <c r="X57" s="101" t="s">
        <v>404</v>
      </c>
      <c r="Y57" s="109" t="s">
        <v>717</v>
      </c>
      <c r="Z57" s="92"/>
      <c r="AB57" s="98" t="s">
        <v>393</v>
      </c>
      <c r="AC57" s="102" t="s">
        <v>394</v>
      </c>
      <c r="AD57" s="100" t="s">
        <v>395</v>
      </c>
      <c r="AE57" s="107" t="s">
        <v>396</v>
      </c>
      <c r="AF57" s="101" t="s">
        <v>397</v>
      </c>
      <c r="AG57" s="101" t="s">
        <v>398</v>
      </c>
      <c r="AH57" s="107" t="s">
        <v>399</v>
      </c>
      <c r="AI57" s="101" t="s">
        <v>400</v>
      </c>
      <c r="AJ57" s="101" t="s">
        <v>401</v>
      </c>
      <c r="AK57" s="107" t="s">
        <v>402</v>
      </c>
      <c r="AL57" s="101" t="s">
        <v>403</v>
      </c>
      <c r="AM57" s="101" t="s">
        <v>404</v>
      </c>
    </row>
    <row r="58" spans="1:39" ht="15.75" x14ac:dyDescent="0.25">
      <c r="A58" s="1">
        <v>42068</v>
      </c>
      <c r="B58" s="4" t="s">
        <v>250</v>
      </c>
      <c r="C58" s="56" t="s">
        <v>255</v>
      </c>
      <c r="F58" s="1">
        <v>42058</v>
      </c>
      <c r="G58" s="1">
        <v>42085</v>
      </c>
      <c r="H58" t="s">
        <v>93</v>
      </c>
      <c r="I58" t="s">
        <v>54</v>
      </c>
      <c r="J58" t="s">
        <v>17</v>
      </c>
      <c r="L58" s="107" t="s">
        <v>405</v>
      </c>
      <c r="M58" s="98" t="s">
        <v>406</v>
      </c>
      <c r="N58" s="102" t="s">
        <v>407</v>
      </c>
      <c r="O58" s="100" t="s">
        <v>408</v>
      </c>
      <c r="P58" s="107" t="s">
        <v>409</v>
      </c>
      <c r="Q58" s="101" t="s">
        <v>410</v>
      </c>
      <c r="R58" s="101" t="s">
        <v>411</v>
      </c>
      <c r="S58" s="107" t="s">
        <v>412</v>
      </c>
      <c r="T58" s="101" t="s">
        <v>413</v>
      </c>
      <c r="U58" s="101" t="s">
        <v>414</v>
      </c>
      <c r="V58" s="107" t="s">
        <v>415</v>
      </c>
      <c r="W58" s="101" t="s">
        <v>416</v>
      </c>
      <c r="X58" s="101" t="s">
        <v>417</v>
      </c>
      <c r="Y58" s="109" t="s">
        <v>718</v>
      </c>
      <c r="Z58" s="92"/>
      <c r="AB58" s="98" t="s">
        <v>406</v>
      </c>
      <c r="AC58" s="102" t="s">
        <v>407</v>
      </c>
      <c r="AD58" s="100" t="s">
        <v>408</v>
      </c>
      <c r="AE58" s="107" t="s">
        <v>409</v>
      </c>
      <c r="AF58" s="101" t="s">
        <v>410</v>
      </c>
      <c r="AG58" s="101" t="s">
        <v>411</v>
      </c>
      <c r="AH58" s="107" t="s">
        <v>412</v>
      </c>
      <c r="AI58" s="101" t="s">
        <v>413</v>
      </c>
      <c r="AJ58" s="101" t="s">
        <v>414</v>
      </c>
      <c r="AK58" s="107" t="s">
        <v>415</v>
      </c>
      <c r="AL58" s="101" t="s">
        <v>416</v>
      </c>
      <c r="AM58" s="101" t="s">
        <v>417</v>
      </c>
    </row>
    <row r="59" spans="1:39" ht="15.75" x14ac:dyDescent="0.25">
      <c r="A59" s="1">
        <v>44795</v>
      </c>
      <c r="B59" s="4" t="s">
        <v>250</v>
      </c>
      <c r="C59" s="56" t="s">
        <v>255</v>
      </c>
      <c r="F59" s="1">
        <v>44781</v>
      </c>
      <c r="G59" s="1">
        <v>44808</v>
      </c>
      <c r="H59" t="s">
        <v>95</v>
      </c>
      <c r="I59" t="s">
        <v>141</v>
      </c>
      <c r="J59" t="s">
        <v>54</v>
      </c>
      <c r="L59" s="107" t="s">
        <v>418</v>
      </c>
      <c r="M59" s="98" t="s">
        <v>419</v>
      </c>
      <c r="N59" s="102" t="s">
        <v>420</v>
      </c>
      <c r="O59" s="100" t="s">
        <v>421</v>
      </c>
      <c r="P59" s="107" t="s">
        <v>422</v>
      </c>
      <c r="Q59" s="101" t="s">
        <v>423</v>
      </c>
      <c r="R59" s="101" t="s">
        <v>424</v>
      </c>
      <c r="S59" s="107" t="s">
        <v>425</v>
      </c>
      <c r="T59" s="101" t="s">
        <v>426</v>
      </c>
      <c r="U59" s="101" t="s">
        <v>427</v>
      </c>
      <c r="V59" s="107" t="s">
        <v>428</v>
      </c>
      <c r="W59" s="101" t="s">
        <v>429</v>
      </c>
      <c r="X59" s="101" t="s">
        <v>430</v>
      </c>
      <c r="Y59" s="109" t="s">
        <v>719</v>
      </c>
      <c r="Z59" s="92"/>
      <c r="AB59" s="98" t="s">
        <v>419</v>
      </c>
      <c r="AC59" s="102" t="s">
        <v>420</v>
      </c>
      <c r="AD59" s="100" t="s">
        <v>421</v>
      </c>
      <c r="AE59" s="107" t="s">
        <v>422</v>
      </c>
      <c r="AF59" s="101" t="s">
        <v>423</v>
      </c>
      <c r="AG59" s="101" t="s">
        <v>424</v>
      </c>
      <c r="AH59" s="107" t="s">
        <v>425</v>
      </c>
      <c r="AI59" s="101" t="s">
        <v>426</v>
      </c>
      <c r="AJ59" s="101" t="s">
        <v>427</v>
      </c>
      <c r="AK59" s="107" t="s">
        <v>428</v>
      </c>
      <c r="AL59" s="101" t="s">
        <v>429</v>
      </c>
      <c r="AM59" s="101" t="s">
        <v>430</v>
      </c>
    </row>
    <row r="60" spans="1:39" ht="15.75" x14ac:dyDescent="0.25">
      <c r="A60" s="1">
        <v>39243</v>
      </c>
      <c r="B60" s="4" t="s">
        <v>250</v>
      </c>
      <c r="C60" s="56" t="s">
        <v>255</v>
      </c>
      <c r="F60" s="1">
        <v>39223</v>
      </c>
      <c r="G60" s="1">
        <v>39250</v>
      </c>
      <c r="H60" t="s">
        <v>87</v>
      </c>
      <c r="I60" t="s">
        <v>146</v>
      </c>
      <c r="J60" t="s">
        <v>143</v>
      </c>
      <c r="L60" s="107" t="s">
        <v>431</v>
      </c>
      <c r="M60" s="98" t="s">
        <v>432</v>
      </c>
      <c r="N60" s="102" t="s">
        <v>433</v>
      </c>
      <c r="O60" s="100" t="s">
        <v>434</v>
      </c>
      <c r="P60" s="107" t="s">
        <v>435</v>
      </c>
      <c r="Q60" s="101" t="s">
        <v>436</v>
      </c>
      <c r="R60" s="101" t="s">
        <v>437</v>
      </c>
      <c r="S60" s="107" t="s">
        <v>438</v>
      </c>
      <c r="T60" s="101" t="s">
        <v>439</v>
      </c>
      <c r="U60" s="101" t="s">
        <v>440</v>
      </c>
      <c r="V60" s="107" t="s">
        <v>441</v>
      </c>
      <c r="W60" s="101" t="s">
        <v>442</v>
      </c>
      <c r="X60" s="101" t="s">
        <v>443</v>
      </c>
      <c r="Y60" s="109" t="s">
        <v>705</v>
      </c>
      <c r="Z60" s="92"/>
      <c r="AB60" s="98" t="s">
        <v>432</v>
      </c>
      <c r="AC60" s="102" t="s">
        <v>433</v>
      </c>
      <c r="AD60" s="100" t="s">
        <v>434</v>
      </c>
      <c r="AE60" s="107" t="s">
        <v>435</v>
      </c>
      <c r="AF60" s="101" t="s">
        <v>436</v>
      </c>
      <c r="AG60" s="101" t="s">
        <v>437</v>
      </c>
      <c r="AH60" s="107" t="s">
        <v>438</v>
      </c>
      <c r="AI60" s="101" t="s">
        <v>439</v>
      </c>
      <c r="AJ60" s="101" t="s">
        <v>440</v>
      </c>
      <c r="AK60" s="107" t="s">
        <v>441</v>
      </c>
      <c r="AL60" s="101" t="s">
        <v>442</v>
      </c>
      <c r="AM60" s="101" t="s">
        <v>443</v>
      </c>
    </row>
    <row r="61" spans="1:39" ht="15.75" x14ac:dyDescent="0.25">
      <c r="A61" s="1">
        <v>37579</v>
      </c>
      <c r="B61" s="4" t="s">
        <v>250</v>
      </c>
      <c r="C61" s="56" t="s">
        <v>255</v>
      </c>
      <c r="F61" s="1">
        <v>37564</v>
      </c>
      <c r="G61" s="1">
        <v>37591</v>
      </c>
      <c r="H61" t="s">
        <v>78</v>
      </c>
      <c r="I61" t="s">
        <v>13</v>
      </c>
      <c r="J61" t="s">
        <v>12</v>
      </c>
      <c r="L61" s="107" t="s">
        <v>444</v>
      </c>
      <c r="M61" s="98" t="s">
        <v>445</v>
      </c>
      <c r="N61" s="102" t="s">
        <v>446</v>
      </c>
      <c r="O61" s="100" t="s">
        <v>447</v>
      </c>
      <c r="P61" s="107" t="s">
        <v>448</v>
      </c>
      <c r="Q61" s="101" t="s">
        <v>449</v>
      </c>
      <c r="R61" s="101" t="s">
        <v>450</v>
      </c>
      <c r="S61" s="107" t="s">
        <v>451</v>
      </c>
      <c r="T61" s="101" t="s">
        <v>452</v>
      </c>
      <c r="U61" s="101" t="s">
        <v>453</v>
      </c>
      <c r="V61" s="107" t="s">
        <v>454</v>
      </c>
      <c r="W61" s="101" t="s">
        <v>455</v>
      </c>
      <c r="X61" s="101" t="s">
        <v>456</v>
      </c>
      <c r="Y61" s="109" t="s">
        <v>703</v>
      </c>
      <c r="Z61" s="92"/>
      <c r="AB61" s="98" t="s">
        <v>445</v>
      </c>
      <c r="AC61" s="102" t="s">
        <v>446</v>
      </c>
      <c r="AD61" s="100" t="s">
        <v>447</v>
      </c>
      <c r="AE61" s="107" t="s">
        <v>448</v>
      </c>
      <c r="AF61" s="101" t="s">
        <v>449</v>
      </c>
      <c r="AG61" s="101" t="s">
        <v>450</v>
      </c>
      <c r="AH61" s="107" t="s">
        <v>451</v>
      </c>
      <c r="AI61" s="101" t="s">
        <v>452</v>
      </c>
      <c r="AJ61" s="101" t="s">
        <v>453</v>
      </c>
      <c r="AK61" s="107" t="s">
        <v>454</v>
      </c>
      <c r="AL61" s="101" t="s">
        <v>455</v>
      </c>
      <c r="AM61" s="101" t="s">
        <v>456</v>
      </c>
    </row>
    <row r="62" spans="1:39" ht="15.75" x14ac:dyDescent="0.25">
      <c r="A62" s="1">
        <v>39242</v>
      </c>
      <c r="B62" s="4" t="s">
        <v>250</v>
      </c>
      <c r="C62" s="56" t="s">
        <v>255</v>
      </c>
      <c r="F62" s="1">
        <v>39223</v>
      </c>
      <c r="G62" s="1">
        <v>39250</v>
      </c>
      <c r="H62" t="s">
        <v>87</v>
      </c>
      <c r="I62" t="s">
        <v>146</v>
      </c>
      <c r="J62" t="s">
        <v>143</v>
      </c>
      <c r="L62" s="107" t="s">
        <v>431</v>
      </c>
      <c r="M62" s="98" t="s">
        <v>432</v>
      </c>
      <c r="N62" s="102" t="s">
        <v>433</v>
      </c>
      <c r="O62" s="100" t="s">
        <v>434</v>
      </c>
      <c r="P62" s="107" t="s">
        <v>435</v>
      </c>
      <c r="Q62" s="101" t="s">
        <v>436</v>
      </c>
      <c r="R62" s="101" t="s">
        <v>437</v>
      </c>
      <c r="S62" s="107" t="s">
        <v>438</v>
      </c>
      <c r="T62" s="101" t="s">
        <v>439</v>
      </c>
      <c r="U62" s="101" t="s">
        <v>440</v>
      </c>
      <c r="V62" s="107" t="s">
        <v>441</v>
      </c>
      <c r="W62" s="101" t="s">
        <v>442</v>
      </c>
      <c r="X62" s="101" t="s">
        <v>443</v>
      </c>
      <c r="Y62" s="109" t="s">
        <v>705</v>
      </c>
      <c r="Z62" s="92"/>
      <c r="AB62" s="98" t="s">
        <v>432</v>
      </c>
      <c r="AC62" s="102" t="s">
        <v>433</v>
      </c>
      <c r="AD62" s="100" t="s">
        <v>434</v>
      </c>
      <c r="AE62" s="107" t="s">
        <v>435</v>
      </c>
      <c r="AF62" s="101" t="s">
        <v>436</v>
      </c>
      <c r="AG62" s="101" t="s">
        <v>437</v>
      </c>
      <c r="AH62" s="107" t="s">
        <v>438</v>
      </c>
      <c r="AI62" s="101" t="s">
        <v>439</v>
      </c>
      <c r="AJ62" s="101" t="s">
        <v>440</v>
      </c>
      <c r="AK62" s="107" t="s">
        <v>441</v>
      </c>
      <c r="AL62" s="101" t="s">
        <v>442</v>
      </c>
      <c r="AM62" s="101" t="s">
        <v>443</v>
      </c>
    </row>
    <row r="63" spans="1:39" ht="15.75" x14ac:dyDescent="0.25">
      <c r="A63" s="1">
        <v>39904</v>
      </c>
      <c r="B63" s="4" t="s">
        <v>250</v>
      </c>
      <c r="C63" s="56" t="s">
        <v>255</v>
      </c>
      <c r="F63" s="1">
        <v>39895</v>
      </c>
      <c r="G63" s="1">
        <v>39922</v>
      </c>
      <c r="H63" t="s">
        <v>89</v>
      </c>
      <c r="I63" t="s">
        <v>12</v>
      </c>
      <c r="J63" t="s">
        <v>17</v>
      </c>
      <c r="L63" s="107" t="s">
        <v>457</v>
      </c>
      <c r="M63" s="98" t="s">
        <v>458</v>
      </c>
      <c r="N63" s="102" t="s">
        <v>459</v>
      </c>
      <c r="O63" s="100" t="s">
        <v>460</v>
      </c>
      <c r="P63" s="107" t="s">
        <v>461</v>
      </c>
      <c r="Q63" s="101" t="s">
        <v>462</v>
      </c>
      <c r="R63" s="101" t="s">
        <v>463</v>
      </c>
      <c r="S63" s="107" t="s">
        <v>464</v>
      </c>
      <c r="T63" s="101" t="s">
        <v>465</v>
      </c>
      <c r="U63" s="101" t="s">
        <v>466</v>
      </c>
      <c r="V63" s="107" t="s">
        <v>467</v>
      </c>
      <c r="W63" s="101" t="s">
        <v>468</v>
      </c>
      <c r="X63" s="101" t="s">
        <v>469</v>
      </c>
      <c r="Y63" s="109" t="s">
        <v>720</v>
      </c>
      <c r="Z63" s="92"/>
      <c r="AB63" s="98" t="s">
        <v>458</v>
      </c>
      <c r="AC63" s="102" t="s">
        <v>459</v>
      </c>
      <c r="AD63" s="100" t="s">
        <v>460</v>
      </c>
      <c r="AE63" s="107" t="s">
        <v>461</v>
      </c>
      <c r="AF63" s="101" t="s">
        <v>462</v>
      </c>
      <c r="AG63" s="101" t="s">
        <v>463</v>
      </c>
      <c r="AH63" s="107" t="s">
        <v>464</v>
      </c>
      <c r="AI63" s="101" t="s">
        <v>465</v>
      </c>
      <c r="AJ63" s="101" t="s">
        <v>466</v>
      </c>
      <c r="AK63" s="107" t="s">
        <v>467</v>
      </c>
      <c r="AL63" s="101" t="s">
        <v>468</v>
      </c>
      <c r="AM63" s="101" t="s">
        <v>469</v>
      </c>
    </row>
    <row r="64" spans="1:39" ht="15.75" x14ac:dyDescent="0.25">
      <c r="A64" s="1">
        <v>39690</v>
      </c>
      <c r="B64" s="4" t="s">
        <v>250</v>
      </c>
      <c r="C64" s="56" t="s">
        <v>255</v>
      </c>
      <c r="F64" s="1">
        <v>39671</v>
      </c>
      <c r="G64" s="1">
        <v>39698</v>
      </c>
      <c r="H64" t="s">
        <v>88</v>
      </c>
      <c r="I64" t="s">
        <v>141</v>
      </c>
      <c r="J64" t="s">
        <v>54</v>
      </c>
      <c r="L64" s="107" t="s">
        <v>470</v>
      </c>
      <c r="M64" s="98" t="s">
        <v>471</v>
      </c>
      <c r="N64" s="102" t="s">
        <v>472</v>
      </c>
      <c r="O64" s="100" t="s">
        <v>473</v>
      </c>
      <c r="P64" s="107" t="s">
        <v>474</v>
      </c>
      <c r="Q64" s="101" t="s">
        <v>475</v>
      </c>
      <c r="R64" s="101" t="s">
        <v>476</v>
      </c>
      <c r="S64" s="107" t="s">
        <v>477</v>
      </c>
      <c r="T64" s="101" t="s">
        <v>478</v>
      </c>
      <c r="U64" s="101" t="s">
        <v>479</v>
      </c>
      <c r="V64" s="107" t="s">
        <v>480</v>
      </c>
      <c r="W64" s="101" t="s">
        <v>481</v>
      </c>
      <c r="X64" s="101" t="s">
        <v>482</v>
      </c>
      <c r="Y64" s="109" t="s">
        <v>706</v>
      </c>
      <c r="Z64" s="92"/>
      <c r="AB64" s="98" t="s">
        <v>471</v>
      </c>
      <c r="AC64" s="102" t="s">
        <v>472</v>
      </c>
      <c r="AD64" s="100" t="s">
        <v>473</v>
      </c>
      <c r="AE64" s="107" t="s">
        <v>474</v>
      </c>
      <c r="AF64" s="101" t="s">
        <v>475</v>
      </c>
      <c r="AG64" s="101" t="s">
        <v>476</v>
      </c>
      <c r="AH64" s="107" t="s">
        <v>477</v>
      </c>
      <c r="AI64" s="101" t="s">
        <v>478</v>
      </c>
      <c r="AJ64" s="101" t="s">
        <v>479</v>
      </c>
      <c r="AK64" s="107" t="s">
        <v>480</v>
      </c>
      <c r="AL64" s="101" t="s">
        <v>481</v>
      </c>
      <c r="AM64" s="101" t="s">
        <v>482</v>
      </c>
    </row>
    <row r="65" spans="1:39" ht="15.75" x14ac:dyDescent="0.25">
      <c r="A65" s="1">
        <v>39621</v>
      </c>
      <c r="B65" s="4" t="s">
        <v>250</v>
      </c>
      <c r="C65" s="56" t="s">
        <v>255</v>
      </c>
      <c r="F65" s="1">
        <v>39615</v>
      </c>
      <c r="G65" s="1">
        <v>39642</v>
      </c>
      <c r="H65" t="s">
        <v>88</v>
      </c>
      <c r="I65" t="s">
        <v>151</v>
      </c>
      <c r="J65" t="s">
        <v>143</v>
      </c>
      <c r="L65" s="107" t="s">
        <v>470</v>
      </c>
      <c r="M65" s="98" t="s">
        <v>471</v>
      </c>
      <c r="N65" s="102" t="s">
        <v>472</v>
      </c>
      <c r="O65" s="100" t="s">
        <v>473</v>
      </c>
      <c r="P65" s="107" t="s">
        <v>474</v>
      </c>
      <c r="Q65" s="101" t="s">
        <v>475</v>
      </c>
      <c r="R65" s="101" t="s">
        <v>476</v>
      </c>
      <c r="S65" s="107" t="s">
        <v>477</v>
      </c>
      <c r="T65" s="101" t="s">
        <v>478</v>
      </c>
      <c r="U65" s="101" t="s">
        <v>479</v>
      </c>
      <c r="V65" s="107" t="s">
        <v>480</v>
      </c>
      <c r="W65" s="101" t="s">
        <v>481</v>
      </c>
      <c r="X65" s="101" t="s">
        <v>482</v>
      </c>
      <c r="Y65" s="109" t="s">
        <v>706</v>
      </c>
      <c r="Z65" s="92"/>
      <c r="AB65" s="98" t="s">
        <v>471</v>
      </c>
      <c r="AC65" s="102" t="s">
        <v>472</v>
      </c>
      <c r="AD65" s="100" t="s">
        <v>473</v>
      </c>
      <c r="AE65" s="107" t="s">
        <v>474</v>
      </c>
      <c r="AF65" s="101" t="s">
        <v>475</v>
      </c>
      <c r="AG65" s="101" t="s">
        <v>476</v>
      </c>
      <c r="AH65" s="107" t="s">
        <v>477</v>
      </c>
      <c r="AI65" s="101" t="s">
        <v>478</v>
      </c>
      <c r="AJ65" s="101" t="s">
        <v>479</v>
      </c>
      <c r="AK65" s="107" t="s">
        <v>480</v>
      </c>
      <c r="AL65" s="101" t="s">
        <v>481</v>
      </c>
      <c r="AM65" s="101" t="s">
        <v>482</v>
      </c>
    </row>
    <row r="66" spans="1:39" ht="15.75" x14ac:dyDescent="0.25">
      <c r="A66" s="1">
        <v>43321</v>
      </c>
      <c r="B66" s="4" t="s">
        <v>250</v>
      </c>
      <c r="C66" s="56" t="s">
        <v>255</v>
      </c>
      <c r="F66" s="1">
        <v>43297</v>
      </c>
      <c r="G66" s="1">
        <v>43324</v>
      </c>
      <c r="H66" t="s">
        <v>72</v>
      </c>
      <c r="I66" t="s">
        <v>148</v>
      </c>
      <c r="J66" t="s">
        <v>54</v>
      </c>
      <c r="L66" s="107" t="s">
        <v>327</v>
      </c>
      <c r="M66" s="98" t="s">
        <v>328</v>
      </c>
      <c r="N66" s="102" t="s">
        <v>329</v>
      </c>
      <c r="O66" s="100" t="s">
        <v>330</v>
      </c>
      <c r="P66" s="107" t="s">
        <v>331</v>
      </c>
      <c r="Q66" s="101" t="s">
        <v>332</v>
      </c>
      <c r="R66" s="101" t="s">
        <v>333</v>
      </c>
      <c r="S66" s="107" t="s">
        <v>334</v>
      </c>
      <c r="T66" s="101" t="s">
        <v>335</v>
      </c>
      <c r="U66" s="101" t="s">
        <v>336</v>
      </c>
      <c r="V66" s="107" t="s">
        <v>337</v>
      </c>
      <c r="W66" s="101" t="s">
        <v>338</v>
      </c>
      <c r="X66" s="101" t="s">
        <v>339</v>
      </c>
      <c r="Y66" s="109" t="s">
        <v>721</v>
      </c>
      <c r="Z66" s="92"/>
      <c r="AB66" s="98" t="s">
        <v>328</v>
      </c>
      <c r="AC66" s="102" t="s">
        <v>329</v>
      </c>
      <c r="AD66" s="100" t="s">
        <v>330</v>
      </c>
      <c r="AE66" s="107" t="s">
        <v>331</v>
      </c>
      <c r="AF66" s="101" t="s">
        <v>332</v>
      </c>
      <c r="AG66" s="101" t="s">
        <v>333</v>
      </c>
      <c r="AH66" s="107" t="s">
        <v>334</v>
      </c>
      <c r="AI66" s="101" t="s">
        <v>335</v>
      </c>
      <c r="AJ66" s="101" t="s">
        <v>336</v>
      </c>
      <c r="AK66" s="107" t="s">
        <v>337</v>
      </c>
      <c r="AL66" s="101" t="s">
        <v>338</v>
      </c>
      <c r="AM66" s="101" t="s">
        <v>339</v>
      </c>
    </row>
    <row r="67" spans="1:39" ht="15.75" x14ac:dyDescent="0.25">
      <c r="A67" s="1">
        <v>41348</v>
      </c>
      <c r="B67" s="4" t="s">
        <v>250</v>
      </c>
      <c r="C67" s="56" t="s">
        <v>255</v>
      </c>
      <c r="F67" s="1">
        <v>41330</v>
      </c>
      <c r="G67" s="1">
        <v>41357</v>
      </c>
      <c r="H67" t="s">
        <v>67</v>
      </c>
      <c r="I67" t="s">
        <v>54</v>
      </c>
      <c r="J67" t="s">
        <v>17</v>
      </c>
      <c r="L67" s="107" t="s">
        <v>275</v>
      </c>
      <c r="M67" s="98" t="s">
        <v>276</v>
      </c>
      <c r="N67" s="102" t="s">
        <v>277</v>
      </c>
      <c r="O67" s="100" t="s">
        <v>278</v>
      </c>
      <c r="P67" s="107" t="s">
        <v>279</v>
      </c>
      <c r="Q67" s="101" t="s">
        <v>280</v>
      </c>
      <c r="R67" s="101" t="s">
        <v>281</v>
      </c>
      <c r="S67" s="107" t="s">
        <v>282</v>
      </c>
      <c r="T67" s="101" t="s">
        <v>283</v>
      </c>
      <c r="U67" s="101" t="s">
        <v>284</v>
      </c>
      <c r="V67" s="107" t="s">
        <v>285</v>
      </c>
      <c r="W67" s="101" t="s">
        <v>286</v>
      </c>
      <c r="X67" s="101" t="s">
        <v>287</v>
      </c>
      <c r="Y67" s="109" t="s">
        <v>712</v>
      </c>
      <c r="Z67" s="92"/>
      <c r="AB67" s="98" t="s">
        <v>276</v>
      </c>
      <c r="AC67" s="102" t="s">
        <v>277</v>
      </c>
      <c r="AD67" s="100" t="s">
        <v>278</v>
      </c>
      <c r="AE67" s="107" t="s">
        <v>279</v>
      </c>
      <c r="AF67" s="101" t="s">
        <v>280</v>
      </c>
      <c r="AG67" s="101" t="s">
        <v>281</v>
      </c>
      <c r="AH67" s="107" t="s">
        <v>282</v>
      </c>
      <c r="AI67" s="101" t="s">
        <v>283</v>
      </c>
      <c r="AJ67" s="101" t="s">
        <v>284</v>
      </c>
      <c r="AK67" s="107" t="s">
        <v>285</v>
      </c>
      <c r="AL67" s="101" t="s">
        <v>286</v>
      </c>
      <c r="AM67" s="101" t="s">
        <v>287</v>
      </c>
    </row>
    <row r="68" spans="1:39" ht="15.75" x14ac:dyDescent="0.25">
      <c r="A68" s="1">
        <v>37909</v>
      </c>
      <c r="B68" s="4" t="s">
        <v>250</v>
      </c>
      <c r="C68" s="56" t="s">
        <v>255</v>
      </c>
      <c r="F68" s="1">
        <v>37900</v>
      </c>
      <c r="G68" s="1">
        <v>37927</v>
      </c>
      <c r="H68" t="s">
        <v>80</v>
      </c>
      <c r="I68" t="s">
        <v>150</v>
      </c>
      <c r="J68" t="s">
        <v>12</v>
      </c>
      <c r="L68" s="107" t="s">
        <v>353</v>
      </c>
      <c r="M68" s="98" t="s">
        <v>354</v>
      </c>
      <c r="N68" s="102" t="s">
        <v>355</v>
      </c>
      <c r="O68" s="100" t="s">
        <v>356</v>
      </c>
      <c r="P68" s="107" t="s">
        <v>357</v>
      </c>
      <c r="Q68" s="101" t="s">
        <v>358</v>
      </c>
      <c r="R68" s="101" t="s">
        <v>359</v>
      </c>
      <c r="S68" s="107" t="s">
        <v>360</v>
      </c>
      <c r="T68" s="101" t="s">
        <v>361</v>
      </c>
      <c r="U68" s="101" t="s">
        <v>362</v>
      </c>
      <c r="V68" s="107" t="s">
        <v>363</v>
      </c>
      <c r="W68" s="101" t="s">
        <v>364</v>
      </c>
      <c r="X68" s="101" t="s">
        <v>365</v>
      </c>
      <c r="Y68" s="109" t="s">
        <v>694</v>
      </c>
      <c r="Z68" s="92"/>
      <c r="AB68" s="98" t="s">
        <v>354</v>
      </c>
      <c r="AC68" s="102" t="s">
        <v>355</v>
      </c>
      <c r="AD68" s="100" t="s">
        <v>356</v>
      </c>
      <c r="AE68" s="107" t="s">
        <v>357</v>
      </c>
      <c r="AF68" s="101" t="s">
        <v>358</v>
      </c>
      <c r="AG68" s="101" t="s">
        <v>359</v>
      </c>
      <c r="AH68" s="107" t="s">
        <v>360</v>
      </c>
      <c r="AI68" s="101" t="s">
        <v>361</v>
      </c>
      <c r="AJ68" s="101" t="s">
        <v>362</v>
      </c>
      <c r="AK68" s="107" t="s">
        <v>363</v>
      </c>
      <c r="AL68" s="101" t="s">
        <v>364</v>
      </c>
      <c r="AM68" s="101" t="s">
        <v>365</v>
      </c>
    </row>
    <row r="69" spans="1:39" ht="15.75" x14ac:dyDescent="0.25">
      <c r="A69" s="1">
        <v>47427</v>
      </c>
      <c r="B69" s="4" t="s">
        <v>250</v>
      </c>
      <c r="C69" s="56" t="s">
        <v>255</v>
      </c>
      <c r="F69" s="1">
        <v>47427</v>
      </c>
      <c r="G69" s="1">
        <v>47454</v>
      </c>
      <c r="H69" t="s">
        <v>105</v>
      </c>
      <c r="I69" t="s">
        <v>13</v>
      </c>
      <c r="J69" t="s">
        <v>12</v>
      </c>
      <c r="L69" s="107" t="s">
        <v>483</v>
      </c>
      <c r="M69" s="98" t="s">
        <v>484</v>
      </c>
      <c r="N69" s="102" t="s">
        <v>485</v>
      </c>
      <c r="O69" s="100" t="s">
        <v>486</v>
      </c>
      <c r="P69" s="107" t="s">
        <v>487</v>
      </c>
      <c r="Q69" s="101" t="s">
        <v>488</v>
      </c>
      <c r="R69" s="101" t="s">
        <v>489</v>
      </c>
      <c r="S69" s="107" t="s">
        <v>490</v>
      </c>
      <c r="T69" s="101" t="s">
        <v>491</v>
      </c>
      <c r="U69" s="101" t="s">
        <v>492</v>
      </c>
      <c r="V69" s="107" t="s">
        <v>493</v>
      </c>
      <c r="W69" s="101" t="s">
        <v>494</v>
      </c>
      <c r="X69" s="101" t="s">
        <v>495</v>
      </c>
      <c r="Y69" s="109" t="s">
        <v>700</v>
      </c>
      <c r="Z69" s="92"/>
      <c r="AB69" s="98" t="s">
        <v>484</v>
      </c>
      <c r="AC69" s="102" t="s">
        <v>485</v>
      </c>
      <c r="AD69" s="100" t="s">
        <v>486</v>
      </c>
      <c r="AE69" s="107" t="s">
        <v>487</v>
      </c>
      <c r="AF69" s="101" t="s">
        <v>488</v>
      </c>
      <c r="AG69" s="101" t="s">
        <v>489</v>
      </c>
      <c r="AH69" s="107" t="s">
        <v>490</v>
      </c>
      <c r="AI69" s="101" t="s">
        <v>491</v>
      </c>
      <c r="AJ69" s="101" t="s">
        <v>492</v>
      </c>
      <c r="AK69" s="107" t="s">
        <v>493</v>
      </c>
      <c r="AL69" s="101" t="s">
        <v>494</v>
      </c>
      <c r="AM69" s="101" t="s">
        <v>495</v>
      </c>
    </row>
    <row r="70" spans="1:39" ht="15.75" x14ac:dyDescent="0.25">
      <c r="A70" s="1">
        <v>37196</v>
      </c>
      <c r="B70" s="4" t="s">
        <v>250</v>
      </c>
      <c r="C70" s="56" t="s">
        <v>255</v>
      </c>
      <c r="F70" s="1">
        <v>37172</v>
      </c>
      <c r="G70" s="1">
        <v>37199</v>
      </c>
      <c r="H70" t="s">
        <v>77</v>
      </c>
      <c r="I70" t="s">
        <v>150</v>
      </c>
      <c r="J70" t="s">
        <v>12</v>
      </c>
      <c r="L70" s="107" t="s">
        <v>496</v>
      </c>
      <c r="M70" s="98" t="s">
        <v>497</v>
      </c>
      <c r="N70" s="102" t="s">
        <v>498</v>
      </c>
      <c r="O70" s="100" t="s">
        <v>499</v>
      </c>
      <c r="P70" s="107" t="s">
        <v>500</v>
      </c>
      <c r="Q70" s="101" t="s">
        <v>501</v>
      </c>
      <c r="R70" s="101" t="s">
        <v>502</v>
      </c>
      <c r="S70" s="107" t="s">
        <v>503</v>
      </c>
      <c r="T70" s="101" t="s">
        <v>504</v>
      </c>
      <c r="U70" s="101" t="s">
        <v>505</v>
      </c>
      <c r="V70" s="107" t="s">
        <v>506</v>
      </c>
      <c r="W70" s="101" t="s">
        <v>507</v>
      </c>
      <c r="X70" s="101" t="s">
        <v>508</v>
      </c>
      <c r="Y70" s="109" t="s">
        <v>702</v>
      </c>
      <c r="Z70" s="92"/>
      <c r="AB70" s="98" t="s">
        <v>497</v>
      </c>
      <c r="AC70" s="102" t="s">
        <v>498</v>
      </c>
      <c r="AD70" s="100" t="s">
        <v>499</v>
      </c>
      <c r="AE70" s="107" t="s">
        <v>500</v>
      </c>
      <c r="AF70" s="101" t="s">
        <v>501</v>
      </c>
      <c r="AG70" s="101" t="s">
        <v>502</v>
      </c>
      <c r="AH70" s="107" t="s">
        <v>503</v>
      </c>
      <c r="AI70" s="101" t="s">
        <v>504</v>
      </c>
      <c r="AJ70" s="101" t="s">
        <v>505</v>
      </c>
      <c r="AK70" s="107" t="s">
        <v>506</v>
      </c>
      <c r="AL70" s="101" t="s">
        <v>507</v>
      </c>
      <c r="AM70" s="101" t="s">
        <v>508</v>
      </c>
    </row>
    <row r="71" spans="1:39" ht="15.75" x14ac:dyDescent="0.25">
      <c r="A71" s="1">
        <v>39101</v>
      </c>
      <c r="B71" s="4" t="s">
        <v>250</v>
      </c>
      <c r="C71" s="56" t="s">
        <v>255</v>
      </c>
      <c r="F71" s="1">
        <v>39083</v>
      </c>
      <c r="G71" s="1">
        <v>39110</v>
      </c>
      <c r="H71" t="s">
        <v>87</v>
      </c>
      <c r="I71" t="s">
        <v>17</v>
      </c>
      <c r="J71" t="s">
        <v>17</v>
      </c>
      <c r="L71" s="107" t="s">
        <v>431</v>
      </c>
      <c r="M71" s="98" t="s">
        <v>432</v>
      </c>
      <c r="N71" s="102" t="s">
        <v>433</v>
      </c>
      <c r="O71" s="100" t="s">
        <v>434</v>
      </c>
      <c r="P71" s="107" t="s">
        <v>435</v>
      </c>
      <c r="Q71" s="101" t="s">
        <v>436</v>
      </c>
      <c r="R71" s="101" t="s">
        <v>437</v>
      </c>
      <c r="S71" s="107" t="s">
        <v>438</v>
      </c>
      <c r="T71" s="101" t="s">
        <v>439</v>
      </c>
      <c r="U71" s="101" t="s">
        <v>440</v>
      </c>
      <c r="V71" s="107" t="s">
        <v>441</v>
      </c>
      <c r="W71" s="101" t="s">
        <v>442</v>
      </c>
      <c r="X71" s="101" t="s">
        <v>443</v>
      </c>
      <c r="Y71" s="109" t="s">
        <v>705</v>
      </c>
      <c r="Z71" s="92"/>
      <c r="AB71" s="98" t="s">
        <v>432</v>
      </c>
      <c r="AC71" s="102" t="s">
        <v>433</v>
      </c>
      <c r="AD71" s="100" t="s">
        <v>434</v>
      </c>
      <c r="AE71" s="107" t="s">
        <v>435</v>
      </c>
      <c r="AF71" s="101" t="s">
        <v>436</v>
      </c>
      <c r="AG71" s="101" t="s">
        <v>437</v>
      </c>
      <c r="AH71" s="107" t="s">
        <v>438</v>
      </c>
      <c r="AI71" s="101" t="s">
        <v>439</v>
      </c>
      <c r="AJ71" s="101" t="s">
        <v>440</v>
      </c>
      <c r="AK71" s="107" t="s">
        <v>441</v>
      </c>
      <c r="AL71" s="101" t="s">
        <v>442</v>
      </c>
      <c r="AM71" s="101" t="s">
        <v>443</v>
      </c>
    </row>
    <row r="72" spans="1:39" ht="15.75" x14ac:dyDescent="0.25">
      <c r="A72" s="1">
        <v>40189</v>
      </c>
      <c r="B72" s="4" t="s">
        <v>250</v>
      </c>
      <c r="C72" s="56" t="s">
        <v>255</v>
      </c>
      <c r="F72" s="1">
        <v>40175</v>
      </c>
      <c r="G72" s="1">
        <v>40202</v>
      </c>
      <c r="H72" t="s">
        <v>90</v>
      </c>
      <c r="I72" t="s">
        <v>17</v>
      </c>
      <c r="J72" t="s">
        <v>17</v>
      </c>
      <c r="L72" s="107" t="s">
        <v>509</v>
      </c>
      <c r="M72" s="98" t="s">
        <v>510</v>
      </c>
      <c r="N72" s="102" t="s">
        <v>511</v>
      </c>
      <c r="O72" s="100" t="s">
        <v>512</v>
      </c>
      <c r="P72" s="107" t="s">
        <v>513</v>
      </c>
      <c r="Q72" s="101" t="s">
        <v>514</v>
      </c>
      <c r="R72" s="101" t="s">
        <v>515</v>
      </c>
      <c r="S72" s="107" t="s">
        <v>516</v>
      </c>
      <c r="T72" s="101" t="s">
        <v>517</v>
      </c>
      <c r="U72" s="101" t="s">
        <v>518</v>
      </c>
      <c r="V72" s="107" t="s">
        <v>519</v>
      </c>
      <c r="W72" s="101" t="s">
        <v>520</v>
      </c>
      <c r="X72" s="101" t="s">
        <v>521</v>
      </c>
      <c r="Y72" s="109" t="s">
        <v>722</v>
      </c>
      <c r="Z72" s="92"/>
      <c r="AB72" s="98" t="s">
        <v>510</v>
      </c>
      <c r="AC72" s="102" t="s">
        <v>511</v>
      </c>
      <c r="AD72" s="100" t="s">
        <v>512</v>
      </c>
      <c r="AE72" s="107" t="s">
        <v>513</v>
      </c>
      <c r="AF72" s="101" t="s">
        <v>514</v>
      </c>
      <c r="AG72" s="101" t="s">
        <v>515</v>
      </c>
      <c r="AH72" s="107" t="s">
        <v>516</v>
      </c>
      <c r="AI72" s="101" t="s">
        <v>517</v>
      </c>
      <c r="AJ72" s="101" t="s">
        <v>518</v>
      </c>
      <c r="AK72" s="107" t="s">
        <v>519</v>
      </c>
      <c r="AL72" s="101" t="s">
        <v>520</v>
      </c>
      <c r="AM72" s="101" t="s">
        <v>521</v>
      </c>
    </row>
    <row r="73" spans="1:39" ht="15.75" x14ac:dyDescent="0.25">
      <c r="A73" s="1">
        <v>37291</v>
      </c>
      <c r="B73" s="4" t="s">
        <v>250</v>
      </c>
      <c r="C73" s="56" t="s">
        <v>255</v>
      </c>
      <c r="F73" s="1">
        <v>37284</v>
      </c>
      <c r="G73" s="1">
        <v>37311</v>
      </c>
      <c r="H73" t="s">
        <v>78</v>
      </c>
      <c r="I73" t="s">
        <v>143</v>
      </c>
      <c r="J73" t="s">
        <v>17</v>
      </c>
      <c r="L73" s="107" t="s">
        <v>444</v>
      </c>
      <c r="M73" s="98" t="s">
        <v>445</v>
      </c>
      <c r="N73" s="102" t="s">
        <v>446</v>
      </c>
      <c r="O73" s="100" t="s">
        <v>447</v>
      </c>
      <c r="P73" s="107" t="s">
        <v>448</v>
      </c>
      <c r="Q73" s="101" t="s">
        <v>449</v>
      </c>
      <c r="R73" s="101" t="s">
        <v>450</v>
      </c>
      <c r="S73" s="107" t="s">
        <v>451</v>
      </c>
      <c r="T73" s="101" t="s">
        <v>452</v>
      </c>
      <c r="U73" s="101" t="s">
        <v>453</v>
      </c>
      <c r="V73" s="107" t="s">
        <v>454</v>
      </c>
      <c r="W73" s="101" t="s">
        <v>455</v>
      </c>
      <c r="X73" s="101" t="s">
        <v>456</v>
      </c>
      <c r="Y73" s="109" t="s">
        <v>703</v>
      </c>
      <c r="Z73" s="92"/>
      <c r="AB73" s="98" t="s">
        <v>445</v>
      </c>
      <c r="AC73" s="102" t="s">
        <v>446</v>
      </c>
      <c r="AD73" s="100" t="s">
        <v>447</v>
      </c>
      <c r="AE73" s="107" t="s">
        <v>448</v>
      </c>
      <c r="AF73" s="101" t="s">
        <v>449</v>
      </c>
      <c r="AG73" s="101" t="s">
        <v>450</v>
      </c>
      <c r="AH73" s="107" t="s">
        <v>451</v>
      </c>
      <c r="AI73" s="101" t="s">
        <v>452</v>
      </c>
      <c r="AJ73" s="101" t="s">
        <v>453</v>
      </c>
      <c r="AK73" s="107" t="s">
        <v>454</v>
      </c>
      <c r="AL73" s="101" t="s">
        <v>455</v>
      </c>
      <c r="AM73" s="101" t="s">
        <v>456</v>
      </c>
    </row>
    <row r="74" spans="1:39" ht="15.75" x14ac:dyDescent="0.25">
      <c r="A74" s="1">
        <v>47124</v>
      </c>
      <c r="B74" s="4" t="s">
        <v>250</v>
      </c>
      <c r="C74" s="56" t="s">
        <v>255</v>
      </c>
      <c r="F74" s="1">
        <v>47119</v>
      </c>
      <c r="G74" s="1">
        <v>47146</v>
      </c>
      <c r="H74" t="s">
        <v>105</v>
      </c>
      <c r="I74" t="s">
        <v>17</v>
      </c>
      <c r="J74" t="s">
        <v>17</v>
      </c>
      <c r="L74" s="107" t="s">
        <v>483</v>
      </c>
      <c r="M74" s="98" t="s">
        <v>484</v>
      </c>
      <c r="N74" s="102" t="s">
        <v>485</v>
      </c>
      <c r="O74" s="100" t="s">
        <v>486</v>
      </c>
      <c r="P74" s="107" t="s">
        <v>487</v>
      </c>
      <c r="Q74" s="101" t="s">
        <v>488</v>
      </c>
      <c r="R74" s="101" t="s">
        <v>489</v>
      </c>
      <c r="S74" s="107" t="s">
        <v>490</v>
      </c>
      <c r="T74" s="101" t="s">
        <v>491</v>
      </c>
      <c r="U74" s="101" t="s">
        <v>492</v>
      </c>
      <c r="V74" s="107" t="s">
        <v>493</v>
      </c>
      <c r="W74" s="101" t="s">
        <v>494</v>
      </c>
      <c r="X74" s="101" t="s">
        <v>495</v>
      </c>
      <c r="Y74" s="109" t="s">
        <v>700</v>
      </c>
      <c r="Z74" s="92"/>
      <c r="AB74" s="98" t="s">
        <v>484</v>
      </c>
      <c r="AC74" s="102" t="s">
        <v>485</v>
      </c>
      <c r="AD74" s="100" t="s">
        <v>486</v>
      </c>
      <c r="AE74" s="107" t="s">
        <v>487</v>
      </c>
      <c r="AF74" s="101" t="s">
        <v>488</v>
      </c>
      <c r="AG74" s="101" t="s">
        <v>489</v>
      </c>
      <c r="AH74" s="107" t="s">
        <v>490</v>
      </c>
      <c r="AI74" s="101" t="s">
        <v>491</v>
      </c>
      <c r="AJ74" s="101" t="s">
        <v>492</v>
      </c>
      <c r="AK74" s="107" t="s">
        <v>493</v>
      </c>
      <c r="AL74" s="101" t="s">
        <v>494</v>
      </c>
      <c r="AM74" s="101" t="s">
        <v>495</v>
      </c>
    </row>
    <row r="75" spans="1:39" ht="15.75" x14ac:dyDescent="0.25">
      <c r="A75" s="1">
        <v>45759</v>
      </c>
      <c r="B75" s="4" t="s">
        <v>250</v>
      </c>
      <c r="C75" s="56" t="s">
        <v>255</v>
      </c>
      <c r="F75" s="1">
        <v>45740</v>
      </c>
      <c r="G75" s="1">
        <v>45767</v>
      </c>
      <c r="H75" t="s">
        <v>97</v>
      </c>
      <c r="I75" t="s">
        <v>12</v>
      </c>
      <c r="J75" t="s">
        <v>17</v>
      </c>
      <c r="L75" s="107" t="s">
        <v>522</v>
      </c>
      <c r="M75" s="98" t="s">
        <v>523</v>
      </c>
      <c r="N75" s="102" t="s">
        <v>524</v>
      </c>
      <c r="O75" s="100" t="s">
        <v>525</v>
      </c>
      <c r="P75" s="107" t="s">
        <v>526</v>
      </c>
      <c r="Q75" s="101" t="s">
        <v>527</v>
      </c>
      <c r="R75" s="101" t="s">
        <v>528</v>
      </c>
      <c r="S75" s="107" t="s">
        <v>529</v>
      </c>
      <c r="T75" s="101" t="s">
        <v>530</v>
      </c>
      <c r="U75" s="101" t="s">
        <v>531</v>
      </c>
      <c r="V75" s="107" t="s">
        <v>532</v>
      </c>
      <c r="W75" s="101" t="s">
        <v>533</v>
      </c>
      <c r="X75" s="101" t="s">
        <v>534</v>
      </c>
      <c r="Y75" s="109" t="s">
        <v>723</v>
      </c>
      <c r="Z75" s="92"/>
      <c r="AB75" s="98" t="s">
        <v>523</v>
      </c>
      <c r="AC75" s="102" t="s">
        <v>524</v>
      </c>
      <c r="AD75" s="100" t="s">
        <v>525</v>
      </c>
      <c r="AE75" s="107" t="s">
        <v>526</v>
      </c>
      <c r="AF75" s="101" t="s">
        <v>527</v>
      </c>
      <c r="AG75" s="101" t="s">
        <v>528</v>
      </c>
      <c r="AH75" s="107" t="s">
        <v>529</v>
      </c>
      <c r="AI75" s="101" t="s">
        <v>530</v>
      </c>
      <c r="AJ75" s="101" t="s">
        <v>531</v>
      </c>
      <c r="AK75" s="107" t="s">
        <v>532</v>
      </c>
      <c r="AL75" s="101" t="s">
        <v>533</v>
      </c>
      <c r="AM75" s="101" t="s">
        <v>534</v>
      </c>
    </row>
    <row r="76" spans="1:39" ht="15.75" x14ac:dyDescent="0.25">
      <c r="A76" s="1">
        <v>46257</v>
      </c>
      <c r="B76" s="4" t="s">
        <v>250</v>
      </c>
      <c r="C76" s="56" t="s">
        <v>255</v>
      </c>
      <c r="F76" s="1">
        <v>46244</v>
      </c>
      <c r="G76" s="1">
        <v>46271</v>
      </c>
      <c r="H76" t="s">
        <v>99</v>
      </c>
      <c r="I76" t="s">
        <v>141</v>
      </c>
      <c r="J76" t="s">
        <v>54</v>
      </c>
      <c r="L76" s="107" t="s">
        <v>535</v>
      </c>
      <c r="M76" s="98" t="s">
        <v>536</v>
      </c>
      <c r="N76" s="102" t="s">
        <v>537</v>
      </c>
      <c r="O76" s="100" t="s">
        <v>538</v>
      </c>
      <c r="P76" s="107" t="s">
        <v>539</v>
      </c>
      <c r="Q76" s="101" t="s">
        <v>540</v>
      </c>
      <c r="R76" s="101" t="s">
        <v>541</v>
      </c>
      <c r="S76" s="107" t="s">
        <v>542</v>
      </c>
      <c r="T76" s="101" t="s">
        <v>543</v>
      </c>
      <c r="U76" s="101" t="s">
        <v>544</v>
      </c>
      <c r="V76" s="107" t="s">
        <v>545</v>
      </c>
      <c r="W76" s="101" t="s">
        <v>546</v>
      </c>
      <c r="X76" s="101" t="s">
        <v>547</v>
      </c>
      <c r="Y76" s="109" t="s">
        <v>697</v>
      </c>
      <c r="Z76" s="92"/>
      <c r="AB76" s="98" t="s">
        <v>536</v>
      </c>
      <c r="AC76" s="102" t="s">
        <v>537</v>
      </c>
      <c r="AD76" s="100" t="s">
        <v>538</v>
      </c>
      <c r="AE76" s="107" t="s">
        <v>539</v>
      </c>
      <c r="AF76" s="101" t="s">
        <v>540</v>
      </c>
      <c r="AG76" s="101" t="s">
        <v>541</v>
      </c>
      <c r="AH76" s="107" t="s">
        <v>542</v>
      </c>
      <c r="AI76" s="101" t="s">
        <v>543</v>
      </c>
      <c r="AJ76" s="101" t="s">
        <v>544</v>
      </c>
      <c r="AK76" s="107" t="s">
        <v>545</v>
      </c>
      <c r="AL76" s="101" t="s">
        <v>546</v>
      </c>
      <c r="AM76" s="101" t="s">
        <v>547</v>
      </c>
    </row>
    <row r="77" spans="1:39" ht="15.75" x14ac:dyDescent="0.25">
      <c r="A77" s="1">
        <v>40817</v>
      </c>
      <c r="B77" s="4" t="s">
        <v>250</v>
      </c>
      <c r="C77" s="56" t="s">
        <v>255</v>
      </c>
      <c r="F77" s="1">
        <v>40791</v>
      </c>
      <c r="G77" s="1">
        <v>40818</v>
      </c>
      <c r="H77" t="s">
        <v>91</v>
      </c>
      <c r="I77" t="s">
        <v>144</v>
      </c>
      <c r="J77" t="s">
        <v>54</v>
      </c>
      <c r="L77" s="107" t="s">
        <v>340</v>
      </c>
      <c r="M77" s="98" t="s">
        <v>341</v>
      </c>
      <c r="N77" s="102" t="s">
        <v>342</v>
      </c>
      <c r="O77" s="100" t="s">
        <v>343</v>
      </c>
      <c r="P77" s="107" t="s">
        <v>344</v>
      </c>
      <c r="Q77" s="101" t="s">
        <v>345</v>
      </c>
      <c r="R77" s="101" t="s">
        <v>346</v>
      </c>
      <c r="S77" s="107" t="s">
        <v>347</v>
      </c>
      <c r="T77" s="101" t="s">
        <v>348</v>
      </c>
      <c r="U77" s="101" t="s">
        <v>349</v>
      </c>
      <c r="V77" s="107" t="s">
        <v>350</v>
      </c>
      <c r="W77" s="101" t="s">
        <v>351</v>
      </c>
      <c r="X77" s="101" t="s">
        <v>352</v>
      </c>
      <c r="Y77" s="109" t="s">
        <v>715</v>
      </c>
      <c r="Z77" s="92"/>
      <c r="AB77" s="98" t="s">
        <v>341</v>
      </c>
      <c r="AC77" s="102" t="s">
        <v>342</v>
      </c>
      <c r="AD77" s="100" t="s">
        <v>343</v>
      </c>
      <c r="AE77" s="107" t="s">
        <v>344</v>
      </c>
      <c r="AF77" s="101" t="s">
        <v>345</v>
      </c>
      <c r="AG77" s="101" t="s">
        <v>346</v>
      </c>
      <c r="AH77" s="107" t="s">
        <v>347</v>
      </c>
      <c r="AI77" s="101" t="s">
        <v>348</v>
      </c>
      <c r="AJ77" s="101" t="s">
        <v>349</v>
      </c>
      <c r="AK77" s="107" t="s">
        <v>350</v>
      </c>
      <c r="AL77" s="101" t="s">
        <v>351</v>
      </c>
      <c r="AM77" s="101" t="s">
        <v>352</v>
      </c>
    </row>
    <row r="78" spans="1:39" ht="15.75" x14ac:dyDescent="0.25">
      <c r="A78" s="1">
        <v>44758</v>
      </c>
      <c r="B78" s="4" t="s">
        <v>250</v>
      </c>
      <c r="C78" s="56" t="s">
        <v>255</v>
      </c>
      <c r="F78" s="1">
        <v>44753</v>
      </c>
      <c r="G78" s="1">
        <v>44780</v>
      </c>
      <c r="H78" t="s">
        <v>95</v>
      </c>
      <c r="I78" t="s">
        <v>148</v>
      </c>
      <c r="J78" t="s">
        <v>54</v>
      </c>
      <c r="L78" s="107" t="s">
        <v>418</v>
      </c>
      <c r="M78" s="98" t="s">
        <v>419</v>
      </c>
      <c r="N78" s="102" t="s">
        <v>420</v>
      </c>
      <c r="O78" s="100" t="s">
        <v>421</v>
      </c>
      <c r="P78" s="107" t="s">
        <v>422</v>
      </c>
      <c r="Q78" s="101" t="s">
        <v>423</v>
      </c>
      <c r="R78" s="101" t="s">
        <v>424</v>
      </c>
      <c r="S78" s="107" t="s">
        <v>425</v>
      </c>
      <c r="T78" s="101" t="s">
        <v>426</v>
      </c>
      <c r="U78" s="101" t="s">
        <v>427</v>
      </c>
      <c r="V78" s="107" t="s">
        <v>428</v>
      </c>
      <c r="W78" s="101" t="s">
        <v>429</v>
      </c>
      <c r="X78" s="101" t="s">
        <v>430</v>
      </c>
      <c r="Y78" s="109" t="s">
        <v>719</v>
      </c>
      <c r="Z78" s="92"/>
      <c r="AB78" s="98" t="s">
        <v>419</v>
      </c>
      <c r="AC78" s="102" t="s">
        <v>420</v>
      </c>
      <c r="AD78" s="100" t="s">
        <v>421</v>
      </c>
      <c r="AE78" s="107" t="s">
        <v>422</v>
      </c>
      <c r="AF78" s="101" t="s">
        <v>423</v>
      </c>
      <c r="AG78" s="101" t="s">
        <v>424</v>
      </c>
      <c r="AH78" s="107" t="s">
        <v>425</v>
      </c>
      <c r="AI78" s="101" t="s">
        <v>426</v>
      </c>
      <c r="AJ78" s="101" t="s">
        <v>427</v>
      </c>
      <c r="AK78" s="107" t="s">
        <v>428</v>
      </c>
      <c r="AL78" s="101" t="s">
        <v>429</v>
      </c>
      <c r="AM78" s="101" t="s">
        <v>430</v>
      </c>
    </row>
    <row r="79" spans="1:39" ht="15.75" x14ac:dyDescent="0.25">
      <c r="A79" s="1">
        <v>41402</v>
      </c>
      <c r="B79" s="4" t="s">
        <v>250</v>
      </c>
      <c r="C79" s="56" t="s">
        <v>255</v>
      </c>
      <c r="F79" s="1">
        <v>41386</v>
      </c>
      <c r="G79" s="1">
        <v>41413</v>
      </c>
      <c r="H79" t="s">
        <v>67</v>
      </c>
      <c r="I79" t="s">
        <v>142</v>
      </c>
      <c r="J79" t="s">
        <v>143</v>
      </c>
      <c r="L79" s="107" t="s">
        <v>275</v>
      </c>
      <c r="M79" s="98" t="s">
        <v>276</v>
      </c>
      <c r="N79" s="102" t="s">
        <v>277</v>
      </c>
      <c r="O79" s="100" t="s">
        <v>278</v>
      </c>
      <c r="P79" s="107" t="s">
        <v>279</v>
      </c>
      <c r="Q79" s="101" t="s">
        <v>280</v>
      </c>
      <c r="R79" s="101" t="s">
        <v>281</v>
      </c>
      <c r="S79" s="107" t="s">
        <v>282</v>
      </c>
      <c r="T79" s="101" t="s">
        <v>283</v>
      </c>
      <c r="U79" s="101" t="s">
        <v>284</v>
      </c>
      <c r="V79" s="107" t="s">
        <v>285</v>
      </c>
      <c r="W79" s="101" t="s">
        <v>286</v>
      </c>
      <c r="X79" s="101" t="s">
        <v>287</v>
      </c>
      <c r="Y79" s="109" t="s">
        <v>712</v>
      </c>
      <c r="Z79" s="92"/>
      <c r="AB79" s="98" t="s">
        <v>276</v>
      </c>
      <c r="AC79" s="102" t="s">
        <v>277</v>
      </c>
      <c r="AD79" s="100" t="s">
        <v>278</v>
      </c>
      <c r="AE79" s="107" t="s">
        <v>279</v>
      </c>
      <c r="AF79" s="101" t="s">
        <v>280</v>
      </c>
      <c r="AG79" s="101" t="s">
        <v>281</v>
      </c>
      <c r="AH79" s="107" t="s">
        <v>282</v>
      </c>
      <c r="AI79" s="101" t="s">
        <v>283</v>
      </c>
      <c r="AJ79" s="101" t="s">
        <v>284</v>
      </c>
      <c r="AK79" s="107" t="s">
        <v>285</v>
      </c>
      <c r="AL79" s="101" t="s">
        <v>286</v>
      </c>
      <c r="AM79" s="101" t="s">
        <v>287</v>
      </c>
    </row>
    <row r="80" spans="1:39" ht="15.75" x14ac:dyDescent="0.25">
      <c r="A80" s="1">
        <v>40831</v>
      </c>
      <c r="B80" s="4" t="s">
        <v>250</v>
      </c>
      <c r="C80" s="56" t="s">
        <v>255</v>
      </c>
      <c r="F80" s="1">
        <v>40819</v>
      </c>
      <c r="G80" s="1">
        <v>40846</v>
      </c>
      <c r="H80" t="s">
        <v>91</v>
      </c>
      <c r="I80" t="s">
        <v>150</v>
      </c>
      <c r="J80" t="s">
        <v>12</v>
      </c>
      <c r="L80" s="107" t="s">
        <v>340</v>
      </c>
      <c r="M80" s="98" t="s">
        <v>341</v>
      </c>
      <c r="N80" s="102" t="s">
        <v>342</v>
      </c>
      <c r="O80" s="100" t="s">
        <v>343</v>
      </c>
      <c r="P80" s="107" t="s">
        <v>344</v>
      </c>
      <c r="Q80" s="101" t="s">
        <v>345</v>
      </c>
      <c r="R80" s="101" t="s">
        <v>346</v>
      </c>
      <c r="S80" s="107" t="s">
        <v>347</v>
      </c>
      <c r="T80" s="101" t="s">
        <v>348</v>
      </c>
      <c r="U80" s="101" t="s">
        <v>349</v>
      </c>
      <c r="V80" s="107" t="s">
        <v>350</v>
      </c>
      <c r="W80" s="101" t="s">
        <v>351</v>
      </c>
      <c r="X80" s="101" t="s">
        <v>352</v>
      </c>
      <c r="Y80" s="109" t="s">
        <v>715</v>
      </c>
      <c r="Z80" s="92"/>
      <c r="AB80" s="98" t="s">
        <v>341</v>
      </c>
      <c r="AC80" s="102" t="s">
        <v>342</v>
      </c>
      <c r="AD80" s="100" t="s">
        <v>343</v>
      </c>
      <c r="AE80" s="107" t="s">
        <v>344</v>
      </c>
      <c r="AF80" s="101" t="s">
        <v>345</v>
      </c>
      <c r="AG80" s="101" t="s">
        <v>346</v>
      </c>
      <c r="AH80" s="107" t="s">
        <v>347</v>
      </c>
      <c r="AI80" s="101" t="s">
        <v>348</v>
      </c>
      <c r="AJ80" s="101" t="s">
        <v>349</v>
      </c>
      <c r="AK80" s="107" t="s">
        <v>350</v>
      </c>
      <c r="AL80" s="101" t="s">
        <v>351</v>
      </c>
      <c r="AM80" s="101" t="s">
        <v>352</v>
      </c>
    </row>
    <row r="81" spans="1:39" ht="15.75" x14ac:dyDescent="0.25">
      <c r="A81" s="1">
        <v>38093</v>
      </c>
      <c r="B81" s="4" t="s">
        <v>250</v>
      </c>
      <c r="C81" s="56" t="s">
        <v>255</v>
      </c>
      <c r="F81" s="1">
        <v>38068</v>
      </c>
      <c r="G81" s="1">
        <v>38095</v>
      </c>
      <c r="H81" t="s">
        <v>82</v>
      </c>
      <c r="I81" t="s">
        <v>12</v>
      </c>
      <c r="J81" t="s">
        <v>17</v>
      </c>
      <c r="L81" s="107" t="s">
        <v>548</v>
      </c>
      <c r="M81" s="98" t="s">
        <v>549</v>
      </c>
      <c r="N81" s="102" t="s">
        <v>550</v>
      </c>
      <c r="O81" s="100" t="s">
        <v>551</v>
      </c>
      <c r="P81" s="107" t="s">
        <v>552</v>
      </c>
      <c r="Q81" s="101" t="s">
        <v>553</v>
      </c>
      <c r="R81" s="101" t="s">
        <v>554</v>
      </c>
      <c r="S81" s="107" t="s">
        <v>555</v>
      </c>
      <c r="T81" s="101" t="s">
        <v>556</v>
      </c>
      <c r="U81" s="101" t="s">
        <v>557</v>
      </c>
      <c r="V81" s="107" t="s">
        <v>558</v>
      </c>
      <c r="W81" s="101" t="s">
        <v>559</v>
      </c>
      <c r="X81" s="101" t="s">
        <v>560</v>
      </c>
      <c r="Y81" s="109" t="s">
        <v>695</v>
      </c>
      <c r="Z81" s="92"/>
      <c r="AB81" s="98" t="s">
        <v>549</v>
      </c>
      <c r="AC81" s="102" t="s">
        <v>550</v>
      </c>
      <c r="AD81" s="100" t="s">
        <v>551</v>
      </c>
      <c r="AE81" s="107" t="s">
        <v>552</v>
      </c>
      <c r="AF81" s="101" t="s">
        <v>553</v>
      </c>
      <c r="AG81" s="101" t="s">
        <v>554</v>
      </c>
      <c r="AH81" s="107" t="s">
        <v>555</v>
      </c>
      <c r="AI81" s="101" t="s">
        <v>556</v>
      </c>
      <c r="AJ81" s="101" t="s">
        <v>557</v>
      </c>
      <c r="AK81" s="107" t="s">
        <v>558</v>
      </c>
      <c r="AL81" s="101" t="s">
        <v>559</v>
      </c>
      <c r="AM81" s="101" t="s">
        <v>560</v>
      </c>
    </row>
    <row r="82" spans="1:39" ht="15.75" x14ac:dyDescent="0.25">
      <c r="A82" s="1">
        <v>42965</v>
      </c>
      <c r="B82" s="4" t="s">
        <v>250</v>
      </c>
      <c r="C82" s="56" t="s">
        <v>255</v>
      </c>
      <c r="F82" s="1">
        <v>42954</v>
      </c>
      <c r="G82" s="1">
        <v>42981</v>
      </c>
      <c r="H82" t="s">
        <v>70</v>
      </c>
      <c r="I82" t="s">
        <v>141</v>
      </c>
      <c r="J82" t="s">
        <v>54</v>
      </c>
      <c r="L82" s="107" t="s">
        <v>314</v>
      </c>
      <c r="M82" s="98" t="s">
        <v>315</v>
      </c>
      <c r="N82" s="102" t="s">
        <v>316</v>
      </c>
      <c r="O82" s="100" t="s">
        <v>317</v>
      </c>
      <c r="P82" s="107" t="s">
        <v>318</v>
      </c>
      <c r="Q82" s="101" t="s">
        <v>319</v>
      </c>
      <c r="R82" s="101" t="s">
        <v>320</v>
      </c>
      <c r="S82" s="107" t="s">
        <v>321</v>
      </c>
      <c r="T82" s="101" t="s">
        <v>322</v>
      </c>
      <c r="U82" s="101" t="s">
        <v>323</v>
      </c>
      <c r="V82" s="107" t="s">
        <v>324</v>
      </c>
      <c r="W82" s="101" t="s">
        <v>325</v>
      </c>
      <c r="X82" s="101" t="s">
        <v>326</v>
      </c>
      <c r="Y82" s="109" t="s">
        <v>707</v>
      </c>
      <c r="Z82" s="92"/>
      <c r="AB82" s="98" t="s">
        <v>315</v>
      </c>
      <c r="AC82" s="102" t="s">
        <v>316</v>
      </c>
      <c r="AD82" s="100" t="s">
        <v>317</v>
      </c>
      <c r="AE82" s="107" t="s">
        <v>318</v>
      </c>
      <c r="AF82" s="101" t="s">
        <v>319</v>
      </c>
      <c r="AG82" s="101" t="s">
        <v>320</v>
      </c>
      <c r="AH82" s="107" t="s">
        <v>321</v>
      </c>
      <c r="AI82" s="101" t="s">
        <v>322</v>
      </c>
      <c r="AJ82" s="101" t="s">
        <v>323</v>
      </c>
      <c r="AK82" s="107" t="s">
        <v>324</v>
      </c>
      <c r="AL82" s="101" t="s">
        <v>325</v>
      </c>
      <c r="AM82" s="101" t="s">
        <v>326</v>
      </c>
    </row>
    <row r="83" spans="1:39" ht="15.75" x14ac:dyDescent="0.25">
      <c r="A83" s="1">
        <v>40487</v>
      </c>
      <c r="B83" s="4" t="s">
        <v>250</v>
      </c>
      <c r="C83" s="56" t="s">
        <v>255</v>
      </c>
      <c r="F83" s="1">
        <v>40483</v>
      </c>
      <c r="G83" s="1">
        <v>40510</v>
      </c>
      <c r="H83" t="s">
        <v>90</v>
      </c>
      <c r="I83" t="s">
        <v>13</v>
      </c>
      <c r="J83" t="s">
        <v>12</v>
      </c>
      <c r="L83" s="107" t="s">
        <v>509</v>
      </c>
      <c r="M83" s="98" t="s">
        <v>510</v>
      </c>
      <c r="N83" s="102" t="s">
        <v>511</v>
      </c>
      <c r="O83" s="100" t="s">
        <v>512</v>
      </c>
      <c r="P83" s="107" t="s">
        <v>513</v>
      </c>
      <c r="Q83" s="101" t="s">
        <v>514</v>
      </c>
      <c r="R83" s="101" t="s">
        <v>515</v>
      </c>
      <c r="S83" s="107" t="s">
        <v>516</v>
      </c>
      <c r="T83" s="101" t="s">
        <v>517</v>
      </c>
      <c r="U83" s="101" t="s">
        <v>518</v>
      </c>
      <c r="V83" s="107" t="s">
        <v>519</v>
      </c>
      <c r="W83" s="101" t="s">
        <v>520</v>
      </c>
      <c r="X83" s="101" t="s">
        <v>521</v>
      </c>
      <c r="Y83" s="109" t="s">
        <v>722</v>
      </c>
      <c r="Z83" s="92"/>
      <c r="AB83" s="98" t="s">
        <v>510</v>
      </c>
      <c r="AC83" s="102" t="s">
        <v>511</v>
      </c>
      <c r="AD83" s="100" t="s">
        <v>512</v>
      </c>
      <c r="AE83" s="107" t="s">
        <v>513</v>
      </c>
      <c r="AF83" s="101" t="s">
        <v>514</v>
      </c>
      <c r="AG83" s="101" t="s">
        <v>515</v>
      </c>
      <c r="AH83" s="107" t="s">
        <v>516</v>
      </c>
      <c r="AI83" s="101" t="s">
        <v>517</v>
      </c>
      <c r="AJ83" s="101" t="s">
        <v>518</v>
      </c>
      <c r="AK83" s="107" t="s">
        <v>519</v>
      </c>
      <c r="AL83" s="101" t="s">
        <v>520</v>
      </c>
      <c r="AM83" s="101" t="s">
        <v>521</v>
      </c>
    </row>
    <row r="84" spans="1:39" ht="15.75" x14ac:dyDescent="0.25">
      <c r="A84" s="1">
        <v>46324</v>
      </c>
      <c r="B84" s="4" t="s">
        <v>250</v>
      </c>
      <c r="C84" s="56" t="s">
        <v>255</v>
      </c>
      <c r="F84" s="1">
        <v>46300</v>
      </c>
      <c r="G84" s="1">
        <v>46327</v>
      </c>
      <c r="H84" t="s">
        <v>99</v>
      </c>
      <c r="I84" t="s">
        <v>150</v>
      </c>
      <c r="J84" t="s">
        <v>12</v>
      </c>
      <c r="L84" s="107" t="s">
        <v>535</v>
      </c>
      <c r="M84" s="98" t="s">
        <v>536</v>
      </c>
      <c r="N84" s="102" t="s">
        <v>537</v>
      </c>
      <c r="O84" s="100" t="s">
        <v>538</v>
      </c>
      <c r="P84" s="107" t="s">
        <v>539</v>
      </c>
      <c r="Q84" s="101" t="s">
        <v>540</v>
      </c>
      <c r="R84" s="101" t="s">
        <v>541</v>
      </c>
      <c r="S84" s="107" t="s">
        <v>542</v>
      </c>
      <c r="T84" s="101" t="s">
        <v>543</v>
      </c>
      <c r="U84" s="101" t="s">
        <v>544</v>
      </c>
      <c r="V84" s="107" t="s">
        <v>545</v>
      </c>
      <c r="W84" s="101" t="s">
        <v>546</v>
      </c>
      <c r="X84" s="101" t="s">
        <v>547</v>
      </c>
      <c r="Y84" s="109" t="s">
        <v>697</v>
      </c>
      <c r="Z84" s="92"/>
      <c r="AB84" s="98" t="s">
        <v>536</v>
      </c>
      <c r="AC84" s="102" t="s">
        <v>537</v>
      </c>
      <c r="AD84" s="100" t="s">
        <v>538</v>
      </c>
      <c r="AE84" s="107" t="s">
        <v>539</v>
      </c>
      <c r="AF84" s="101" t="s">
        <v>540</v>
      </c>
      <c r="AG84" s="101" t="s">
        <v>541</v>
      </c>
      <c r="AH84" s="107" t="s">
        <v>542</v>
      </c>
      <c r="AI84" s="101" t="s">
        <v>543</v>
      </c>
      <c r="AJ84" s="101" t="s">
        <v>544</v>
      </c>
      <c r="AK84" s="107" t="s">
        <v>545</v>
      </c>
      <c r="AL84" s="101" t="s">
        <v>546</v>
      </c>
      <c r="AM84" s="101" t="s">
        <v>547</v>
      </c>
    </row>
    <row r="85" spans="1:39" ht="15.75" x14ac:dyDescent="0.25">
      <c r="A85" s="1">
        <v>45178</v>
      </c>
      <c r="B85" s="4" t="s">
        <v>250</v>
      </c>
      <c r="C85" s="56" t="s">
        <v>255</v>
      </c>
      <c r="F85" s="1">
        <v>45173</v>
      </c>
      <c r="G85" s="1">
        <v>45200</v>
      </c>
      <c r="H85" t="s">
        <v>96</v>
      </c>
      <c r="I85" t="s">
        <v>144</v>
      </c>
      <c r="J85" t="s">
        <v>54</v>
      </c>
      <c r="L85" s="107" t="s">
        <v>561</v>
      </c>
      <c r="M85" s="98" t="s">
        <v>562</v>
      </c>
      <c r="N85" s="102" t="s">
        <v>563</v>
      </c>
      <c r="O85" s="100" t="s">
        <v>564</v>
      </c>
      <c r="P85" s="107" t="s">
        <v>565</v>
      </c>
      <c r="Q85" s="101" t="s">
        <v>566</v>
      </c>
      <c r="R85" s="101" t="s">
        <v>567</v>
      </c>
      <c r="S85" s="107" t="s">
        <v>568</v>
      </c>
      <c r="T85" s="101" t="s">
        <v>569</v>
      </c>
      <c r="U85" s="101" t="s">
        <v>570</v>
      </c>
      <c r="V85" s="107" t="s">
        <v>571</v>
      </c>
      <c r="W85" s="101" t="s">
        <v>572</v>
      </c>
      <c r="X85" s="101" t="s">
        <v>573</v>
      </c>
      <c r="Y85" s="109" t="s">
        <v>724</v>
      </c>
      <c r="Z85" s="92"/>
      <c r="AB85" s="98" t="s">
        <v>562</v>
      </c>
      <c r="AC85" s="102" t="s">
        <v>563</v>
      </c>
      <c r="AD85" s="100" t="s">
        <v>564</v>
      </c>
      <c r="AE85" s="107" t="s">
        <v>565</v>
      </c>
      <c r="AF85" s="101" t="s">
        <v>566</v>
      </c>
      <c r="AG85" s="101" t="s">
        <v>567</v>
      </c>
      <c r="AH85" s="107" t="s">
        <v>568</v>
      </c>
      <c r="AI85" s="101" t="s">
        <v>569</v>
      </c>
      <c r="AJ85" s="101" t="s">
        <v>570</v>
      </c>
      <c r="AK85" s="107" t="s">
        <v>571</v>
      </c>
      <c r="AL85" s="101" t="s">
        <v>572</v>
      </c>
      <c r="AM85" s="101" t="s">
        <v>573</v>
      </c>
    </row>
    <row r="86" spans="1:39" ht="15.75" x14ac:dyDescent="0.25">
      <c r="A86" s="1">
        <v>42760</v>
      </c>
      <c r="B86" s="4" t="s">
        <v>250</v>
      </c>
      <c r="C86" s="56" t="s">
        <v>255</v>
      </c>
      <c r="F86" s="1">
        <v>42758</v>
      </c>
      <c r="G86" s="1">
        <v>42785</v>
      </c>
      <c r="H86" t="s">
        <v>70</v>
      </c>
      <c r="I86" t="s">
        <v>143</v>
      </c>
      <c r="J86" t="s">
        <v>17</v>
      </c>
      <c r="L86" s="107" t="s">
        <v>314</v>
      </c>
      <c r="M86" s="98" t="s">
        <v>315</v>
      </c>
      <c r="N86" s="102" t="s">
        <v>316</v>
      </c>
      <c r="O86" s="100" t="s">
        <v>317</v>
      </c>
      <c r="P86" s="107" t="s">
        <v>318</v>
      </c>
      <c r="Q86" s="101" t="s">
        <v>319</v>
      </c>
      <c r="R86" s="101" t="s">
        <v>320</v>
      </c>
      <c r="S86" s="107" t="s">
        <v>321</v>
      </c>
      <c r="T86" s="101" t="s">
        <v>322</v>
      </c>
      <c r="U86" s="101" t="s">
        <v>323</v>
      </c>
      <c r="V86" s="107" t="s">
        <v>324</v>
      </c>
      <c r="W86" s="101" t="s">
        <v>325</v>
      </c>
      <c r="X86" s="101" t="s">
        <v>326</v>
      </c>
      <c r="Y86" s="109" t="s">
        <v>707</v>
      </c>
      <c r="Z86" s="92"/>
      <c r="AB86" s="98" t="s">
        <v>315</v>
      </c>
      <c r="AC86" s="102" t="s">
        <v>316</v>
      </c>
      <c r="AD86" s="100" t="s">
        <v>317</v>
      </c>
      <c r="AE86" s="107" t="s">
        <v>318</v>
      </c>
      <c r="AF86" s="101" t="s">
        <v>319</v>
      </c>
      <c r="AG86" s="101" t="s">
        <v>320</v>
      </c>
      <c r="AH86" s="107" t="s">
        <v>321</v>
      </c>
      <c r="AI86" s="101" t="s">
        <v>322</v>
      </c>
      <c r="AJ86" s="101" t="s">
        <v>323</v>
      </c>
      <c r="AK86" s="107" t="s">
        <v>324</v>
      </c>
      <c r="AL86" s="101" t="s">
        <v>325</v>
      </c>
      <c r="AM86" s="101" t="s">
        <v>326</v>
      </c>
    </row>
    <row r="87" spans="1:39" ht="15.75" x14ac:dyDescent="0.25">
      <c r="A87" s="50">
        <v>41274</v>
      </c>
      <c r="B87" s="3" t="s">
        <v>248</v>
      </c>
      <c r="F87" s="1">
        <v>41274</v>
      </c>
      <c r="G87" s="1">
        <v>41301</v>
      </c>
      <c r="H87" t="s">
        <v>67</v>
      </c>
      <c r="I87" t="s">
        <v>17</v>
      </c>
      <c r="J87" t="s">
        <v>17</v>
      </c>
      <c r="L87" s="95" t="s">
        <v>126</v>
      </c>
      <c r="M87" s="92"/>
      <c r="N87" s="96"/>
      <c r="O87" s="94"/>
      <c r="P87" s="95"/>
      <c r="Q87" s="95"/>
      <c r="R87" s="95"/>
      <c r="S87" s="95"/>
      <c r="T87" s="95"/>
      <c r="U87" s="95"/>
      <c r="V87" s="95"/>
      <c r="W87" s="95"/>
    </row>
    <row r="88" spans="1:39" ht="15.75" x14ac:dyDescent="0.25">
      <c r="A88" s="50">
        <v>41638</v>
      </c>
      <c r="B88" s="3" t="s">
        <v>248</v>
      </c>
      <c r="F88" s="1">
        <v>41638</v>
      </c>
      <c r="G88" s="1">
        <v>41665</v>
      </c>
      <c r="H88" t="s">
        <v>92</v>
      </c>
      <c r="I88" t="s">
        <v>17</v>
      </c>
      <c r="J88" t="s">
        <v>17</v>
      </c>
      <c r="L88" s="95" t="s">
        <v>127</v>
      </c>
      <c r="M88" s="92"/>
      <c r="N88" s="96"/>
      <c r="O88" s="94"/>
      <c r="P88" s="95"/>
      <c r="Q88" s="95"/>
      <c r="R88" s="95"/>
      <c r="S88" s="95"/>
      <c r="T88" s="95"/>
      <c r="U88" s="95"/>
      <c r="V88" s="95"/>
      <c r="W88" s="95"/>
    </row>
    <row r="89" spans="1:39" ht="15.75" x14ac:dyDescent="0.25">
      <c r="A89" s="50">
        <v>42368</v>
      </c>
      <c r="B89" s="3" t="s">
        <v>248</v>
      </c>
      <c r="F89" s="1">
        <v>42366</v>
      </c>
      <c r="G89" s="1">
        <v>42393</v>
      </c>
      <c r="H89" t="s">
        <v>16</v>
      </c>
      <c r="I89" t="s">
        <v>17</v>
      </c>
      <c r="J89" t="s">
        <v>17</v>
      </c>
      <c r="L89" s="95" t="s">
        <v>129</v>
      </c>
      <c r="M89" s="92"/>
      <c r="N89" s="96"/>
      <c r="O89" s="94"/>
      <c r="P89" s="95"/>
      <c r="Q89" s="95"/>
      <c r="R89" s="95"/>
      <c r="S89" s="95"/>
      <c r="T89" s="95"/>
      <c r="U89" s="95"/>
      <c r="V89" s="95"/>
      <c r="W89" s="95"/>
    </row>
    <row r="90" spans="1:39" ht="15.75" x14ac:dyDescent="0.25">
      <c r="A90" s="50">
        <v>42369</v>
      </c>
      <c r="B90" s="3" t="s">
        <v>248</v>
      </c>
      <c r="F90" s="1">
        <v>42366</v>
      </c>
      <c r="G90" s="1">
        <v>42393</v>
      </c>
      <c r="H90" t="s">
        <v>16</v>
      </c>
      <c r="I90" t="s">
        <v>17</v>
      </c>
      <c r="J90" t="s">
        <v>17</v>
      </c>
      <c r="L90" s="95" t="s">
        <v>129</v>
      </c>
      <c r="M90" s="92"/>
      <c r="N90" s="96"/>
      <c r="O90" s="94"/>
      <c r="P90" s="95"/>
      <c r="Q90" s="95"/>
      <c r="R90" s="95"/>
      <c r="S90" s="95"/>
      <c r="T90" s="95"/>
      <c r="U90" s="95"/>
      <c r="V90" s="95"/>
      <c r="W90" s="95"/>
    </row>
    <row r="91" spans="1:39" ht="15.75" x14ac:dyDescent="0.25">
      <c r="A91" s="30">
        <v>42491</v>
      </c>
      <c r="B91" s="3" t="s">
        <v>248</v>
      </c>
      <c r="F91" s="1">
        <v>42478</v>
      </c>
      <c r="G91" s="1">
        <v>42505</v>
      </c>
      <c r="H91" t="s">
        <v>16</v>
      </c>
      <c r="I91" t="s">
        <v>142</v>
      </c>
      <c r="J91" t="s">
        <v>143</v>
      </c>
      <c r="L91" s="95" t="s">
        <v>129</v>
      </c>
      <c r="M91" s="92"/>
      <c r="N91" s="96"/>
      <c r="O91" s="94"/>
      <c r="P91" s="95"/>
      <c r="Q91" s="95"/>
      <c r="R91" s="95"/>
      <c r="S91" s="95"/>
      <c r="T91" s="95"/>
      <c r="U91" s="95"/>
      <c r="V91" s="95"/>
      <c r="W91" s="95"/>
    </row>
    <row r="92" spans="1:39" ht="15.75" x14ac:dyDescent="0.25">
      <c r="A92" s="30">
        <v>42860</v>
      </c>
      <c r="B92" s="3" t="s">
        <v>248</v>
      </c>
      <c r="F92" s="1">
        <v>42842</v>
      </c>
      <c r="G92" s="1">
        <v>42869</v>
      </c>
      <c r="H92" t="s">
        <v>70</v>
      </c>
      <c r="I92" t="s">
        <v>142</v>
      </c>
      <c r="J92" t="s">
        <v>143</v>
      </c>
      <c r="L92" s="95" t="s">
        <v>131</v>
      </c>
      <c r="M92" s="92"/>
      <c r="N92" s="96"/>
      <c r="O92" s="94"/>
      <c r="P92" s="95"/>
      <c r="Q92" s="95"/>
      <c r="R92" s="95"/>
      <c r="S92" s="95"/>
      <c r="T92" s="95"/>
      <c r="U92" s="95"/>
      <c r="V92" s="95"/>
      <c r="W92" s="95"/>
    </row>
    <row r="93" spans="1:39" ht="15.75" x14ac:dyDescent="0.25">
      <c r="A93" s="55">
        <v>37953</v>
      </c>
      <c r="B93" s="3" t="s">
        <v>248</v>
      </c>
      <c r="F93" s="1">
        <v>37928</v>
      </c>
      <c r="G93" s="1">
        <v>37955</v>
      </c>
      <c r="H93" t="s">
        <v>80</v>
      </c>
      <c r="I93" t="s">
        <v>13</v>
      </c>
      <c r="J93" t="s">
        <v>12</v>
      </c>
      <c r="L93" s="95" t="s">
        <v>116</v>
      </c>
      <c r="M93" s="92"/>
      <c r="N93" s="96"/>
      <c r="O93" s="94"/>
      <c r="P93" s="95"/>
      <c r="Q93" s="95"/>
      <c r="R93" s="95"/>
      <c r="S93" s="95"/>
      <c r="T93" s="95"/>
      <c r="U93" s="95"/>
      <c r="V93" s="95"/>
      <c r="W93" s="95"/>
    </row>
    <row r="94" spans="1:39" ht="15.75" x14ac:dyDescent="0.25">
      <c r="A94" s="55">
        <v>37954</v>
      </c>
      <c r="B94" s="3" t="s">
        <v>248</v>
      </c>
      <c r="F94" s="1">
        <v>37928</v>
      </c>
      <c r="G94" s="1">
        <v>37955</v>
      </c>
      <c r="H94" t="s">
        <v>80</v>
      </c>
      <c r="I94" t="s">
        <v>13</v>
      </c>
      <c r="J94" t="s">
        <v>12</v>
      </c>
      <c r="L94" s="95" t="s">
        <v>116</v>
      </c>
      <c r="M94" s="92"/>
      <c r="N94" s="96"/>
      <c r="O94" s="94"/>
      <c r="P94" s="95"/>
      <c r="Q94" s="95"/>
      <c r="R94" s="95"/>
      <c r="S94" s="95"/>
      <c r="T94" s="95"/>
      <c r="U94" s="95"/>
      <c r="V94" s="95"/>
      <c r="W94" s="95"/>
    </row>
    <row r="95" spans="1:39" ht="15.75" x14ac:dyDescent="0.25">
      <c r="A95" s="55">
        <v>37955</v>
      </c>
      <c r="B95" s="3" t="s">
        <v>248</v>
      </c>
      <c r="F95" s="1">
        <v>37928</v>
      </c>
      <c r="G95" s="1">
        <v>37955</v>
      </c>
      <c r="H95" t="s">
        <v>80</v>
      </c>
      <c r="I95" t="s">
        <v>13</v>
      </c>
      <c r="J95" t="s">
        <v>12</v>
      </c>
      <c r="L95" s="95" t="s">
        <v>116</v>
      </c>
      <c r="M95" s="92"/>
      <c r="N95" s="96"/>
      <c r="O95" s="94"/>
      <c r="P95" s="95"/>
      <c r="Q95" s="95"/>
      <c r="R95" s="95"/>
      <c r="S95" s="95"/>
      <c r="T95" s="95"/>
      <c r="U95" s="95"/>
      <c r="V95" s="95"/>
      <c r="W95" s="95"/>
    </row>
    <row r="96" spans="1:39" ht="15.75" x14ac:dyDescent="0.25">
      <c r="A96" s="55">
        <v>37956</v>
      </c>
      <c r="B96" s="3" t="s">
        <v>248</v>
      </c>
      <c r="F96" s="1">
        <v>37956</v>
      </c>
      <c r="G96" s="1">
        <v>37983</v>
      </c>
      <c r="H96" t="s">
        <v>80</v>
      </c>
      <c r="I96" t="s">
        <v>14</v>
      </c>
      <c r="J96" t="s">
        <v>12</v>
      </c>
      <c r="L96" s="95" t="s">
        <v>116</v>
      </c>
      <c r="M96" s="92"/>
      <c r="N96" s="96"/>
      <c r="O96" s="94"/>
      <c r="P96" s="95"/>
      <c r="Q96" s="95"/>
      <c r="R96" s="95"/>
      <c r="S96" s="95"/>
      <c r="T96" s="95"/>
      <c r="U96" s="95"/>
      <c r="V96" s="95"/>
      <c r="W96" s="95"/>
    </row>
    <row r="97" spans="1:23" ht="15.75" x14ac:dyDescent="0.25">
      <c r="A97" s="55">
        <v>38320</v>
      </c>
      <c r="B97" s="3" t="s">
        <v>248</v>
      </c>
      <c r="F97" s="1">
        <v>38320</v>
      </c>
      <c r="G97" s="1">
        <v>38347</v>
      </c>
      <c r="H97" t="s">
        <v>82</v>
      </c>
      <c r="I97" t="s">
        <v>14</v>
      </c>
      <c r="J97" t="s">
        <v>12</v>
      </c>
      <c r="L97" s="95" t="s">
        <v>117</v>
      </c>
      <c r="M97" s="92"/>
      <c r="N97" s="96"/>
      <c r="O97" s="94"/>
      <c r="P97" s="95"/>
      <c r="Q97" s="95"/>
      <c r="R97" s="95"/>
      <c r="S97" s="95"/>
      <c r="T97" s="95"/>
      <c r="U97" s="95"/>
      <c r="V97" s="95"/>
      <c r="W97" s="95"/>
    </row>
    <row r="98" spans="1:23" ht="15.75" x14ac:dyDescent="0.25">
      <c r="A98" s="55">
        <v>38684</v>
      </c>
      <c r="B98" s="3" t="s">
        <v>248</v>
      </c>
      <c r="F98" s="1">
        <v>38684</v>
      </c>
      <c r="G98" s="1">
        <v>38711</v>
      </c>
      <c r="H98" t="s">
        <v>84</v>
      </c>
      <c r="I98" t="s">
        <v>14</v>
      </c>
      <c r="J98" t="s">
        <v>12</v>
      </c>
      <c r="L98" s="95" t="s">
        <v>118</v>
      </c>
      <c r="M98" s="92"/>
      <c r="N98" s="96"/>
      <c r="O98" s="94"/>
      <c r="P98" s="95"/>
      <c r="Q98" s="95"/>
      <c r="R98" s="95"/>
      <c r="S98" s="95"/>
      <c r="T98" s="95"/>
      <c r="U98" s="95"/>
      <c r="V98" s="95"/>
      <c r="W98" s="95"/>
    </row>
    <row r="99" spans="1:23" ht="15.75" x14ac:dyDescent="0.25">
      <c r="A99" s="55">
        <v>46356</v>
      </c>
      <c r="B99" s="3" t="s">
        <v>248</v>
      </c>
      <c r="F99" s="1">
        <v>46356</v>
      </c>
      <c r="G99" s="1">
        <v>46383</v>
      </c>
      <c r="H99" t="s">
        <v>99</v>
      </c>
      <c r="I99" t="s">
        <v>14</v>
      </c>
      <c r="J99" t="s">
        <v>12</v>
      </c>
      <c r="L99" s="95" t="s">
        <v>665</v>
      </c>
      <c r="M99" s="92"/>
      <c r="N99" s="96"/>
      <c r="O99" s="94"/>
      <c r="P99" s="95"/>
      <c r="Q99" s="95"/>
      <c r="R99" s="95"/>
      <c r="S99" s="95"/>
      <c r="T99" s="95"/>
      <c r="U99" s="95"/>
      <c r="V99" s="95"/>
      <c r="W99" s="95"/>
    </row>
    <row r="100" spans="1:23" ht="15.75" x14ac:dyDescent="0.25">
      <c r="A100" s="55">
        <v>46720</v>
      </c>
      <c r="B100" s="3" t="s">
        <v>248</v>
      </c>
      <c r="F100" s="1">
        <v>46720</v>
      </c>
      <c r="G100" s="1">
        <v>46747</v>
      </c>
      <c r="H100" t="s">
        <v>101</v>
      </c>
      <c r="I100" t="s">
        <v>14</v>
      </c>
      <c r="J100" t="s">
        <v>12</v>
      </c>
      <c r="L100" s="95" t="s">
        <v>666</v>
      </c>
      <c r="M100" s="92"/>
      <c r="N100" s="96"/>
      <c r="O100" s="94"/>
      <c r="P100" s="95"/>
      <c r="Q100" s="95"/>
      <c r="R100" s="95"/>
      <c r="S100" s="95"/>
      <c r="T100" s="95"/>
      <c r="U100" s="95"/>
      <c r="V100" s="95"/>
      <c r="W100" s="95"/>
    </row>
    <row r="101" spans="1:23" ht="15.75" x14ac:dyDescent="0.25">
      <c r="A101" s="55">
        <v>47084</v>
      </c>
      <c r="B101" s="3" t="s">
        <v>248</v>
      </c>
      <c r="F101" s="1">
        <v>47084</v>
      </c>
      <c r="G101" s="1">
        <v>47118</v>
      </c>
      <c r="H101" t="s">
        <v>103</v>
      </c>
      <c r="I101" t="s">
        <v>14</v>
      </c>
      <c r="J101" t="s">
        <v>12</v>
      </c>
      <c r="L101" s="95" t="s">
        <v>132</v>
      </c>
      <c r="M101" s="92"/>
      <c r="N101" s="96"/>
      <c r="O101" s="94"/>
      <c r="P101" s="95"/>
      <c r="Q101" s="95"/>
      <c r="R101" s="95"/>
      <c r="S101" s="95"/>
      <c r="T101" s="95"/>
      <c r="U101" s="95"/>
      <c r="V101" s="95"/>
      <c r="W101" s="95"/>
    </row>
    <row r="102" spans="1:23" ht="15.75" x14ac:dyDescent="0.25">
      <c r="A102" s="55">
        <v>47455</v>
      </c>
      <c r="B102" s="3" t="s">
        <v>248</v>
      </c>
      <c r="F102" s="1">
        <v>47455</v>
      </c>
      <c r="G102" s="1">
        <v>47482</v>
      </c>
      <c r="H102" t="s">
        <v>105</v>
      </c>
      <c r="I102" t="s">
        <v>14</v>
      </c>
      <c r="J102" t="s">
        <v>12</v>
      </c>
      <c r="L102" s="95" t="s">
        <v>217</v>
      </c>
      <c r="M102" s="92"/>
      <c r="N102" s="96"/>
      <c r="O102" s="94"/>
      <c r="P102" s="95"/>
      <c r="Q102" s="95"/>
      <c r="R102" s="95"/>
      <c r="S102" s="95"/>
      <c r="T102" s="95"/>
      <c r="U102" s="95"/>
      <c r="V102" s="95"/>
      <c r="W102" s="95"/>
    </row>
    <row r="103" spans="1:23" ht="15.75" x14ac:dyDescent="0.25">
      <c r="A103" s="55">
        <v>47819</v>
      </c>
      <c r="B103" s="3" t="s">
        <v>248</v>
      </c>
      <c r="F103" s="1">
        <v>47819</v>
      </c>
      <c r="G103" s="1">
        <v>47846</v>
      </c>
      <c r="H103" t="s">
        <v>107</v>
      </c>
      <c r="I103" t="s">
        <v>14</v>
      </c>
      <c r="J103" t="s">
        <v>12</v>
      </c>
      <c r="L103" s="95" t="s">
        <v>667</v>
      </c>
      <c r="M103" s="92"/>
      <c r="N103" s="96"/>
      <c r="O103" s="94"/>
      <c r="P103" s="95"/>
      <c r="Q103" s="95"/>
      <c r="R103" s="95"/>
      <c r="S103" s="95"/>
      <c r="T103" s="95"/>
      <c r="U103" s="95"/>
      <c r="V103" s="95"/>
      <c r="W103" s="95"/>
    </row>
    <row r="104" spans="1:23" ht="15.75" x14ac:dyDescent="0.25">
      <c r="A104" s="55">
        <v>37255</v>
      </c>
      <c r="B104" s="3" t="s">
        <v>248</v>
      </c>
      <c r="F104" s="1">
        <v>37228</v>
      </c>
      <c r="G104" s="1">
        <v>37255</v>
      </c>
      <c r="H104" t="s">
        <v>77</v>
      </c>
      <c r="I104" t="s">
        <v>14</v>
      </c>
      <c r="J104" t="s">
        <v>12</v>
      </c>
      <c r="L104" s="95" t="s">
        <v>114</v>
      </c>
      <c r="M104" s="92"/>
      <c r="N104" s="96"/>
      <c r="O104" s="94"/>
      <c r="P104" s="95"/>
      <c r="Q104" s="95"/>
      <c r="R104" s="95"/>
      <c r="S104" s="95"/>
      <c r="T104" s="95"/>
      <c r="U104" s="95"/>
      <c r="V104" s="95"/>
      <c r="W104" s="95"/>
    </row>
    <row r="105" spans="1:23" ht="15.75" x14ac:dyDescent="0.25">
      <c r="A105" s="55">
        <v>37619</v>
      </c>
      <c r="B105" s="3" t="s">
        <v>248</v>
      </c>
      <c r="F105" s="1">
        <v>37592</v>
      </c>
      <c r="G105" s="1">
        <v>37619</v>
      </c>
      <c r="H105" t="s">
        <v>78</v>
      </c>
      <c r="I105" t="s">
        <v>14</v>
      </c>
      <c r="J105" t="s">
        <v>12</v>
      </c>
      <c r="L105" s="95" t="s">
        <v>115</v>
      </c>
      <c r="M105" s="92"/>
      <c r="N105" s="96"/>
      <c r="O105" s="94"/>
      <c r="P105" s="95"/>
      <c r="Q105" s="95"/>
      <c r="R105" s="95"/>
      <c r="S105" s="95"/>
      <c r="T105" s="95"/>
      <c r="U105" s="95"/>
      <c r="V105" s="95"/>
      <c r="W105" s="95"/>
    </row>
    <row r="106" spans="1:23" ht="15.75" x14ac:dyDescent="0.25">
      <c r="A106" s="55">
        <v>37983</v>
      </c>
      <c r="B106" s="3" t="s">
        <v>248</v>
      </c>
      <c r="F106" s="1">
        <v>37956</v>
      </c>
      <c r="G106" s="1">
        <v>37983</v>
      </c>
      <c r="H106" t="s">
        <v>80</v>
      </c>
      <c r="I106" t="s">
        <v>14</v>
      </c>
      <c r="J106" t="s">
        <v>12</v>
      </c>
      <c r="L106" s="95" t="s">
        <v>116</v>
      </c>
      <c r="M106" s="92"/>
      <c r="N106" s="96"/>
      <c r="O106" s="94"/>
      <c r="P106" s="95"/>
      <c r="Q106" s="95"/>
      <c r="R106" s="95"/>
      <c r="S106" s="95"/>
      <c r="T106" s="95"/>
      <c r="U106" s="95"/>
      <c r="V106" s="95"/>
      <c r="W106" s="95"/>
    </row>
    <row r="107" spans="1:23" ht="15.75" x14ac:dyDescent="0.25">
      <c r="A107" s="55">
        <v>38347</v>
      </c>
      <c r="B107" s="3" t="s">
        <v>248</v>
      </c>
      <c r="F107" s="1">
        <v>38320</v>
      </c>
      <c r="G107" s="1">
        <v>38347</v>
      </c>
      <c r="H107" t="s">
        <v>82</v>
      </c>
      <c r="I107" t="s">
        <v>14</v>
      </c>
      <c r="J107" t="s">
        <v>12</v>
      </c>
      <c r="L107" s="95" t="s">
        <v>117</v>
      </c>
      <c r="M107" s="92"/>
      <c r="N107" s="96"/>
      <c r="O107" s="94"/>
      <c r="P107" s="95"/>
      <c r="Q107" s="95"/>
      <c r="R107" s="95"/>
      <c r="S107" s="95"/>
      <c r="T107" s="95"/>
      <c r="U107" s="95"/>
      <c r="V107" s="95"/>
      <c r="W107" s="95"/>
    </row>
    <row r="108" spans="1:23" ht="15.75" x14ac:dyDescent="0.25">
      <c r="A108" s="55">
        <v>38711</v>
      </c>
      <c r="B108" s="3" t="s">
        <v>248</v>
      </c>
      <c r="F108" s="1">
        <v>38684</v>
      </c>
      <c r="G108" s="1">
        <v>38711</v>
      </c>
      <c r="H108" t="s">
        <v>84</v>
      </c>
      <c r="I108" t="s">
        <v>14</v>
      </c>
      <c r="J108" t="s">
        <v>12</v>
      </c>
      <c r="L108" s="95" t="s">
        <v>118</v>
      </c>
      <c r="M108" s="92"/>
      <c r="N108" s="96"/>
      <c r="O108" s="94"/>
      <c r="P108" s="95"/>
      <c r="Q108" s="95"/>
      <c r="R108" s="95"/>
      <c r="S108" s="95"/>
      <c r="T108" s="95"/>
      <c r="U108" s="95"/>
      <c r="V108" s="95"/>
      <c r="W108" s="95"/>
    </row>
    <row r="109" spans="1:23" ht="15.75" x14ac:dyDescent="0.25">
      <c r="A109" s="55">
        <v>39082</v>
      </c>
      <c r="B109" s="3" t="s">
        <v>248</v>
      </c>
      <c r="F109" s="1">
        <v>39048</v>
      </c>
      <c r="G109" s="1">
        <v>39082</v>
      </c>
      <c r="H109" t="s">
        <v>86</v>
      </c>
      <c r="I109" t="s">
        <v>14</v>
      </c>
      <c r="J109" t="s">
        <v>12</v>
      </c>
      <c r="L109" s="95" t="s">
        <v>119</v>
      </c>
      <c r="M109" s="92"/>
      <c r="N109" s="96"/>
      <c r="O109" s="94"/>
      <c r="P109" s="95"/>
      <c r="Q109" s="95"/>
      <c r="R109" s="95"/>
      <c r="S109" s="95"/>
      <c r="T109" s="95"/>
      <c r="U109" s="95"/>
      <c r="V109" s="95"/>
      <c r="W109" s="95"/>
    </row>
    <row r="110" spans="1:23" ht="15.75" x14ac:dyDescent="0.25">
      <c r="A110" s="55">
        <v>39446</v>
      </c>
      <c r="B110" s="3" t="s">
        <v>248</v>
      </c>
      <c r="F110" s="1">
        <v>39419</v>
      </c>
      <c r="G110" s="1">
        <v>39446</v>
      </c>
      <c r="H110" t="s">
        <v>87</v>
      </c>
      <c r="I110" t="s">
        <v>14</v>
      </c>
      <c r="J110" t="s">
        <v>12</v>
      </c>
      <c r="L110" s="95" t="s">
        <v>120</v>
      </c>
      <c r="M110" s="92"/>
      <c r="N110" s="96"/>
      <c r="O110" s="94"/>
      <c r="P110" s="95"/>
      <c r="Q110" s="95"/>
      <c r="R110" s="95"/>
      <c r="S110" s="95"/>
      <c r="T110" s="95"/>
      <c r="U110" s="95"/>
      <c r="V110" s="95"/>
      <c r="W110" s="95"/>
    </row>
    <row r="111" spans="1:23" ht="15.75" x14ac:dyDescent="0.25">
      <c r="A111" s="55">
        <v>39810</v>
      </c>
      <c r="B111" s="3" t="s">
        <v>248</v>
      </c>
      <c r="F111" s="1">
        <v>39783</v>
      </c>
      <c r="G111" s="1">
        <v>39810</v>
      </c>
      <c r="H111" t="s">
        <v>88</v>
      </c>
      <c r="I111" t="s">
        <v>14</v>
      </c>
      <c r="J111" t="s">
        <v>12</v>
      </c>
      <c r="L111" s="95" t="s">
        <v>121</v>
      </c>
      <c r="M111" s="92"/>
      <c r="N111" s="96"/>
      <c r="O111" s="94"/>
      <c r="P111" s="95"/>
      <c r="Q111" s="95"/>
      <c r="R111" s="95"/>
      <c r="S111" s="95"/>
      <c r="T111" s="95"/>
      <c r="U111" s="95"/>
      <c r="V111" s="95"/>
      <c r="W111" s="95"/>
    </row>
    <row r="112" spans="1:23" x14ac:dyDescent="0.25">
      <c r="A112" s="55">
        <v>39048</v>
      </c>
      <c r="B112" s="3" t="s">
        <v>248</v>
      </c>
      <c r="F112" s="1">
        <v>39048</v>
      </c>
      <c r="G112" s="1">
        <v>39082</v>
      </c>
      <c r="H112" t="s">
        <v>86</v>
      </c>
      <c r="I112" t="s">
        <v>14</v>
      </c>
      <c r="J112" t="s">
        <v>12</v>
      </c>
      <c r="L112" s="95" t="s">
        <v>119</v>
      </c>
      <c r="M112" s="92"/>
      <c r="N112" s="95"/>
      <c r="O112" s="95"/>
      <c r="P112" s="95"/>
      <c r="Q112" s="95"/>
      <c r="R112" s="95"/>
      <c r="S112" s="95"/>
      <c r="T112" s="95"/>
      <c r="U112" s="95"/>
      <c r="V112" s="95"/>
      <c r="W112" s="95"/>
    </row>
    <row r="113" spans="1:23" x14ac:dyDescent="0.25">
      <c r="A113" s="55">
        <v>43066</v>
      </c>
      <c r="B113" s="3" t="s">
        <v>248</v>
      </c>
      <c r="F113" s="1">
        <v>43066</v>
      </c>
      <c r="G113" s="1">
        <v>43100</v>
      </c>
      <c r="H113" t="s">
        <v>70</v>
      </c>
      <c r="I113" t="s">
        <v>14</v>
      </c>
      <c r="J113" t="s">
        <v>12</v>
      </c>
      <c r="L113" s="95" t="s">
        <v>131</v>
      </c>
      <c r="M113" s="92"/>
      <c r="N113" s="95"/>
      <c r="O113" s="95"/>
      <c r="P113" s="95"/>
      <c r="Q113" s="95"/>
      <c r="R113" s="95"/>
      <c r="S113" s="95"/>
      <c r="T113" s="95"/>
      <c r="U113" s="95"/>
      <c r="V113" s="95"/>
      <c r="W113" s="95"/>
    </row>
    <row r="114" spans="1:23" x14ac:dyDescent="0.25">
      <c r="A114" s="55">
        <v>47084</v>
      </c>
      <c r="B114" s="3" t="s">
        <v>248</v>
      </c>
      <c r="F114" s="1">
        <v>47084</v>
      </c>
      <c r="G114" s="1">
        <v>47118</v>
      </c>
      <c r="H114" t="s">
        <v>103</v>
      </c>
      <c r="I114" t="s">
        <v>14</v>
      </c>
      <c r="J114" t="s">
        <v>12</v>
      </c>
      <c r="L114" t="s">
        <v>132</v>
      </c>
      <c r="M114" s="1"/>
    </row>
    <row r="115" spans="1:23" x14ac:dyDescent="0.25">
      <c r="A115" s="55">
        <v>39082</v>
      </c>
      <c r="B115" s="3" t="s">
        <v>248</v>
      </c>
      <c r="F115" s="1">
        <v>39048</v>
      </c>
      <c r="G115" s="1">
        <v>39082</v>
      </c>
      <c r="H115" t="s">
        <v>86</v>
      </c>
      <c r="I115" t="s">
        <v>14</v>
      </c>
      <c r="J115" t="s">
        <v>12</v>
      </c>
      <c r="L115" t="s">
        <v>119</v>
      </c>
      <c r="M115" s="1"/>
    </row>
    <row r="116" spans="1:23" x14ac:dyDescent="0.25">
      <c r="A116" s="55">
        <v>43100</v>
      </c>
      <c r="B116" s="3" t="s">
        <v>248</v>
      </c>
      <c r="F116" s="1">
        <v>43066</v>
      </c>
      <c r="G116" s="1">
        <v>43100</v>
      </c>
      <c r="H116" t="s">
        <v>70</v>
      </c>
      <c r="I116" t="s">
        <v>14</v>
      </c>
      <c r="J116" t="s">
        <v>12</v>
      </c>
      <c r="L116" t="s">
        <v>131</v>
      </c>
      <c r="M116" s="1"/>
    </row>
    <row r="117" spans="1:23" x14ac:dyDescent="0.25">
      <c r="A117" s="55">
        <v>47118</v>
      </c>
      <c r="B117" s="3" t="s">
        <v>248</v>
      </c>
      <c r="F117" s="1">
        <v>47084</v>
      </c>
      <c r="G117" s="1">
        <v>47118</v>
      </c>
      <c r="H117" t="s">
        <v>103</v>
      </c>
      <c r="I117" t="s">
        <v>14</v>
      </c>
      <c r="J117" t="s">
        <v>12</v>
      </c>
      <c r="L117" t="s">
        <v>132</v>
      </c>
      <c r="M117" s="1"/>
    </row>
    <row r="118" spans="1:23" x14ac:dyDescent="0.25">
      <c r="A118" s="55">
        <v>39048</v>
      </c>
      <c r="B118" s="3" t="s">
        <v>248</v>
      </c>
      <c r="F118" s="1">
        <v>39048</v>
      </c>
      <c r="G118" s="1">
        <v>39082</v>
      </c>
      <c r="H118" t="s">
        <v>86</v>
      </c>
      <c r="I118" t="s">
        <v>14</v>
      </c>
      <c r="J118" t="s">
        <v>12</v>
      </c>
      <c r="L118" t="s">
        <v>119</v>
      </c>
      <c r="M118" s="1"/>
    </row>
    <row r="119" spans="1:23" x14ac:dyDescent="0.25">
      <c r="A119" s="55">
        <v>43066</v>
      </c>
      <c r="B119" s="3" t="s">
        <v>248</v>
      </c>
      <c r="F119" s="1">
        <v>43066</v>
      </c>
      <c r="G119" s="1">
        <v>43100</v>
      </c>
      <c r="H119" t="s">
        <v>70</v>
      </c>
      <c r="I119" t="s">
        <v>14</v>
      </c>
      <c r="J119" t="s">
        <v>12</v>
      </c>
      <c r="L119" t="s">
        <v>131</v>
      </c>
      <c r="M119" s="1"/>
    </row>
    <row r="120" spans="1:23" x14ac:dyDescent="0.25">
      <c r="A120" s="55">
        <v>47084</v>
      </c>
      <c r="B120" s="3" t="s">
        <v>248</v>
      </c>
      <c r="F120" s="1">
        <v>47084</v>
      </c>
      <c r="G120" s="1">
        <v>47118</v>
      </c>
      <c r="H120" t="s">
        <v>103</v>
      </c>
      <c r="I120" t="s">
        <v>14</v>
      </c>
      <c r="J120" t="s">
        <v>12</v>
      </c>
      <c r="L120" t="s">
        <v>132</v>
      </c>
      <c r="M120" s="1"/>
    </row>
    <row r="121" spans="1:23" x14ac:dyDescent="0.25">
      <c r="A121" s="55">
        <v>39082</v>
      </c>
      <c r="B121" s="3" t="s">
        <v>248</v>
      </c>
      <c r="F121" s="1">
        <v>39048</v>
      </c>
      <c r="G121" s="1">
        <v>39082</v>
      </c>
      <c r="H121" t="s">
        <v>86</v>
      </c>
      <c r="I121" t="s">
        <v>14</v>
      </c>
      <c r="J121" t="s">
        <v>12</v>
      </c>
      <c r="L121" t="s">
        <v>119</v>
      </c>
      <c r="M121" s="1"/>
    </row>
    <row r="122" spans="1:23" x14ac:dyDescent="0.25">
      <c r="A122" s="55">
        <v>43100</v>
      </c>
      <c r="B122" s="3" t="s">
        <v>248</v>
      </c>
      <c r="F122" s="1">
        <v>43066</v>
      </c>
      <c r="G122" s="1">
        <v>43100</v>
      </c>
      <c r="H122" t="s">
        <v>70</v>
      </c>
      <c r="I122" t="s">
        <v>14</v>
      </c>
      <c r="J122" t="s">
        <v>12</v>
      </c>
      <c r="L122" t="s">
        <v>131</v>
      </c>
      <c r="M122" s="1"/>
    </row>
    <row r="123" spans="1:23" x14ac:dyDescent="0.25">
      <c r="A123" s="55">
        <v>47118</v>
      </c>
      <c r="B123" s="3" t="s">
        <v>248</v>
      </c>
      <c r="F123" s="1">
        <v>47084</v>
      </c>
      <c r="G123" s="1">
        <v>47118</v>
      </c>
      <c r="H123" t="s">
        <v>103</v>
      </c>
      <c r="I123" t="s">
        <v>14</v>
      </c>
      <c r="J123" t="s">
        <v>12</v>
      </c>
      <c r="L123" t="s">
        <v>132</v>
      </c>
      <c r="M123" s="1"/>
    </row>
    <row r="124" spans="1:23" x14ac:dyDescent="0.25">
      <c r="A124" s="55">
        <v>39048</v>
      </c>
      <c r="B124" s="3" t="s">
        <v>248</v>
      </c>
      <c r="F124" s="1">
        <v>39048</v>
      </c>
      <c r="G124" s="1">
        <v>39082</v>
      </c>
      <c r="H124" t="s">
        <v>86</v>
      </c>
      <c r="I124" t="s">
        <v>14</v>
      </c>
      <c r="J124" t="s">
        <v>12</v>
      </c>
      <c r="L124" t="s">
        <v>119</v>
      </c>
      <c r="M124" s="1"/>
    </row>
    <row r="125" spans="1:23" x14ac:dyDescent="0.25">
      <c r="A125" s="55">
        <v>43066</v>
      </c>
      <c r="B125" s="3" t="s">
        <v>248</v>
      </c>
      <c r="F125" s="1">
        <v>43066</v>
      </c>
      <c r="G125" s="1">
        <v>43100</v>
      </c>
      <c r="H125" t="s">
        <v>70</v>
      </c>
      <c r="I125" t="s">
        <v>14</v>
      </c>
      <c r="J125" t="s">
        <v>12</v>
      </c>
      <c r="L125" t="s">
        <v>131</v>
      </c>
      <c r="M125" s="1"/>
    </row>
    <row r="126" spans="1:23" x14ac:dyDescent="0.25">
      <c r="A126" s="55">
        <v>47084</v>
      </c>
      <c r="B126" s="3" t="s">
        <v>248</v>
      </c>
      <c r="F126" s="1">
        <v>47084</v>
      </c>
      <c r="G126" s="1">
        <v>47118</v>
      </c>
      <c r="H126" t="s">
        <v>103</v>
      </c>
      <c r="I126" t="s">
        <v>14</v>
      </c>
      <c r="J126" t="s">
        <v>12</v>
      </c>
      <c r="L126" t="s">
        <v>132</v>
      </c>
      <c r="M126" s="1"/>
    </row>
    <row r="127" spans="1:23" x14ac:dyDescent="0.25">
      <c r="A127" s="55">
        <v>39082</v>
      </c>
      <c r="B127" s="3" t="s">
        <v>248</v>
      </c>
      <c r="F127" s="1">
        <v>39048</v>
      </c>
      <c r="G127" s="1">
        <v>39082</v>
      </c>
      <c r="H127" t="s">
        <v>86</v>
      </c>
      <c r="I127" t="s">
        <v>14</v>
      </c>
      <c r="J127" t="s">
        <v>12</v>
      </c>
      <c r="L127" t="s">
        <v>119</v>
      </c>
    </row>
    <row r="128" spans="1:23" x14ac:dyDescent="0.25">
      <c r="A128" s="55">
        <v>43100</v>
      </c>
      <c r="B128" s="3" t="s">
        <v>248</v>
      </c>
      <c r="F128" s="1">
        <v>43066</v>
      </c>
      <c r="G128" s="1">
        <v>43100</v>
      </c>
      <c r="H128" t="s">
        <v>70</v>
      </c>
      <c r="I128" t="s">
        <v>14</v>
      </c>
      <c r="J128" t="s">
        <v>12</v>
      </c>
      <c r="L128" t="s">
        <v>131</v>
      </c>
    </row>
    <row r="129" spans="1:12" x14ac:dyDescent="0.25">
      <c r="A129" s="55">
        <v>47118</v>
      </c>
      <c r="B129" s="3" t="s">
        <v>248</v>
      </c>
      <c r="F129" s="1">
        <v>47084</v>
      </c>
      <c r="G129" s="1">
        <v>47118</v>
      </c>
      <c r="H129" t="s">
        <v>103</v>
      </c>
      <c r="I129" t="s">
        <v>14</v>
      </c>
      <c r="J129" t="s">
        <v>12</v>
      </c>
      <c r="L129" t="s">
        <v>132</v>
      </c>
    </row>
    <row r="130" spans="1:12" x14ac:dyDescent="0.25">
      <c r="A130" s="1">
        <v>42817</v>
      </c>
      <c r="B130" s="3" t="s">
        <v>248</v>
      </c>
      <c r="F130" s="1">
        <v>42814</v>
      </c>
      <c r="G130" s="1">
        <v>42841</v>
      </c>
      <c r="H130" t="s">
        <v>70</v>
      </c>
      <c r="I130" t="s">
        <v>12</v>
      </c>
      <c r="J130" t="s">
        <v>17</v>
      </c>
      <c r="L130" t="s">
        <v>131</v>
      </c>
    </row>
    <row r="131" spans="1:12" x14ac:dyDescent="0.25">
      <c r="A131" s="1">
        <v>40855</v>
      </c>
      <c r="B131" s="3" t="s">
        <v>248</v>
      </c>
      <c r="F131" s="1">
        <v>40847</v>
      </c>
      <c r="G131" s="1">
        <v>40874</v>
      </c>
      <c r="H131" t="s">
        <v>91</v>
      </c>
      <c r="I131" t="s">
        <v>13</v>
      </c>
      <c r="J131" t="s">
        <v>12</v>
      </c>
      <c r="L131" t="s">
        <v>124</v>
      </c>
    </row>
    <row r="132" spans="1:12" x14ac:dyDescent="0.25">
      <c r="A132" s="1">
        <v>42676</v>
      </c>
      <c r="B132" s="3" t="s">
        <v>248</v>
      </c>
      <c r="F132" s="1">
        <v>42674</v>
      </c>
      <c r="G132" s="1">
        <v>42701</v>
      </c>
      <c r="H132" t="s">
        <v>16</v>
      </c>
      <c r="I132" t="s">
        <v>13</v>
      </c>
      <c r="J132" t="s">
        <v>12</v>
      </c>
      <c r="L132" t="s">
        <v>129</v>
      </c>
    </row>
    <row r="133" spans="1:12" x14ac:dyDescent="0.25">
      <c r="A133" s="1">
        <v>37793</v>
      </c>
      <c r="B133" s="3" t="s">
        <v>248</v>
      </c>
      <c r="F133" s="1">
        <v>37788</v>
      </c>
      <c r="G133" s="1">
        <v>37815</v>
      </c>
      <c r="H133" t="s">
        <v>80</v>
      </c>
      <c r="I133" t="s">
        <v>151</v>
      </c>
      <c r="J133" t="s">
        <v>143</v>
      </c>
      <c r="L133" t="s">
        <v>116</v>
      </c>
    </row>
    <row r="134" spans="1:12" x14ac:dyDescent="0.25">
      <c r="A134" s="1">
        <v>38644</v>
      </c>
      <c r="B134" s="3" t="s">
        <v>248</v>
      </c>
      <c r="F134" s="1">
        <v>38628</v>
      </c>
      <c r="G134" s="1">
        <v>38655</v>
      </c>
      <c r="H134" t="s">
        <v>84</v>
      </c>
      <c r="I134" t="s">
        <v>150</v>
      </c>
      <c r="J134" t="s">
        <v>12</v>
      </c>
      <c r="L134" t="s">
        <v>118</v>
      </c>
    </row>
    <row r="135" spans="1:12" x14ac:dyDescent="0.25">
      <c r="A135" s="1">
        <v>43850</v>
      </c>
      <c r="B135" s="3" t="s">
        <v>248</v>
      </c>
      <c r="F135" s="1">
        <v>43829</v>
      </c>
      <c r="G135" s="1">
        <v>43856</v>
      </c>
      <c r="H135" t="s">
        <v>55</v>
      </c>
      <c r="I135" t="s">
        <v>17</v>
      </c>
      <c r="J135" t="s">
        <v>17</v>
      </c>
      <c r="L135" t="s">
        <v>708</v>
      </c>
    </row>
    <row r="136" spans="1:12" x14ac:dyDescent="0.25">
      <c r="A136" s="1">
        <v>45605</v>
      </c>
      <c r="B136" s="3" t="s">
        <v>248</v>
      </c>
      <c r="F136" s="1">
        <v>45600</v>
      </c>
      <c r="G136" s="1">
        <v>45627</v>
      </c>
      <c r="H136" t="s">
        <v>56</v>
      </c>
      <c r="I136" t="s">
        <v>13</v>
      </c>
      <c r="J136" t="s">
        <v>12</v>
      </c>
      <c r="L136" t="s">
        <v>671</v>
      </c>
    </row>
    <row r="137" spans="1:12" x14ac:dyDescent="0.25">
      <c r="A137" s="1">
        <v>42068</v>
      </c>
      <c r="B137" s="3" t="s">
        <v>248</v>
      </c>
      <c r="F137" s="1">
        <v>42058</v>
      </c>
      <c r="G137" s="1">
        <v>42085</v>
      </c>
      <c r="H137" t="s">
        <v>93</v>
      </c>
      <c r="I137" t="s">
        <v>54</v>
      </c>
      <c r="J137" t="s">
        <v>17</v>
      </c>
      <c r="L137" t="s">
        <v>128</v>
      </c>
    </row>
    <row r="138" spans="1:12" x14ac:dyDescent="0.25">
      <c r="A138" s="1">
        <v>44795</v>
      </c>
      <c r="B138" s="3" t="s">
        <v>248</v>
      </c>
      <c r="F138" s="1">
        <v>44781</v>
      </c>
      <c r="G138" s="1">
        <v>44808</v>
      </c>
      <c r="H138" t="s">
        <v>95</v>
      </c>
      <c r="I138" t="s">
        <v>141</v>
      </c>
      <c r="J138" t="s">
        <v>54</v>
      </c>
      <c r="L138" t="s">
        <v>179</v>
      </c>
    </row>
    <row r="139" spans="1:12" x14ac:dyDescent="0.25">
      <c r="A139" s="1">
        <v>39243</v>
      </c>
      <c r="B139" s="3" t="s">
        <v>248</v>
      </c>
      <c r="F139" s="1">
        <v>39223</v>
      </c>
      <c r="G139" s="1">
        <v>39250</v>
      </c>
      <c r="H139" t="s">
        <v>87</v>
      </c>
      <c r="I139" t="s">
        <v>146</v>
      </c>
      <c r="J139" t="s">
        <v>143</v>
      </c>
      <c r="L139" t="s">
        <v>120</v>
      </c>
    </row>
    <row r="140" spans="1:12" x14ac:dyDescent="0.25">
      <c r="A140" s="1">
        <v>37579</v>
      </c>
      <c r="B140" s="3" t="s">
        <v>248</v>
      </c>
      <c r="F140" s="1">
        <v>37564</v>
      </c>
      <c r="G140" s="1">
        <v>37591</v>
      </c>
      <c r="H140" t="s">
        <v>78</v>
      </c>
      <c r="I140" t="s">
        <v>13</v>
      </c>
      <c r="J140" t="s">
        <v>12</v>
      </c>
      <c r="L140" t="s">
        <v>115</v>
      </c>
    </row>
    <row r="141" spans="1:12" x14ac:dyDescent="0.25">
      <c r="A141" s="1">
        <v>39242</v>
      </c>
      <c r="B141" s="3" t="s">
        <v>248</v>
      </c>
      <c r="F141" s="1">
        <v>39223</v>
      </c>
      <c r="G141" s="1">
        <v>39250</v>
      </c>
      <c r="H141" t="s">
        <v>87</v>
      </c>
      <c r="I141" t="s">
        <v>146</v>
      </c>
      <c r="J141" t="s">
        <v>143</v>
      </c>
      <c r="L141" t="s">
        <v>120</v>
      </c>
    </row>
    <row r="142" spans="1:12" x14ac:dyDescent="0.25">
      <c r="A142" s="1">
        <v>39904</v>
      </c>
      <c r="B142" s="3" t="s">
        <v>248</v>
      </c>
      <c r="F142" s="1">
        <v>39895</v>
      </c>
      <c r="G142" s="1">
        <v>39922</v>
      </c>
      <c r="H142" t="s">
        <v>89</v>
      </c>
      <c r="I142" t="s">
        <v>12</v>
      </c>
      <c r="J142" t="s">
        <v>17</v>
      </c>
      <c r="L142" t="s">
        <v>122</v>
      </c>
    </row>
    <row r="143" spans="1:12" x14ac:dyDescent="0.25">
      <c r="A143" s="1">
        <v>39690</v>
      </c>
      <c r="B143" s="3" t="s">
        <v>248</v>
      </c>
      <c r="F143" s="1">
        <v>39671</v>
      </c>
      <c r="G143" s="1">
        <v>39698</v>
      </c>
      <c r="H143" t="s">
        <v>88</v>
      </c>
      <c r="I143" t="s">
        <v>141</v>
      </c>
      <c r="J143" t="s">
        <v>54</v>
      </c>
      <c r="L143" t="s">
        <v>121</v>
      </c>
    </row>
    <row r="144" spans="1:12" x14ac:dyDescent="0.25">
      <c r="A144" s="1">
        <v>39621</v>
      </c>
      <c r="B144" s="3" t="s">
        <v>248</v>
      </c>
      <c r="F144" s="1">
        <v>39615</v>
      </c>
      <c r="G144" s="1">
        <v>39642</v>
      </c>
      <c r="H144" t="s">
        <v>88</v>
      </c>
      <c r="I144" t="s">
        <v>151</v>
      </c>
      <c r="J144" t="s">
        <v>143</v>
      </c>
      <c r="L144" t="s">
        <v>121</v>
      </c>
    </row>
    <row r="145" spans="1:12" x14ac:dyDescent="0.25">
      <c r="A145" s="1">
        <v>43321</v>
      </c>
      <c r="B145" s="3" t="s">
        <v>248</v>
      </c>
      <c r="F145" s="1">
        <v>43297</v>
      </c>
      <c r="G145" s="1">
        <v>43324</v>
      </c>
      <c r="H145" t="s">
        <v>72</v>
      </c>
      <c r="I145" t="s">
        <v>148</v>
      </c>
      <c r="J145" t="s">
        <v>54</v>
      </c>
      <c r="L145" t="s">
        <v>709</v>
      </c>
    </row>
    <row r="146" spans="1:12" x14ac:dyDescent="0.25">
      <c r="A146" s="1">
        <v>41348</v>
      </c>
      <c r="B146" s="3" t="s">
        <v>248</v>
      </c>
      <c r="F146" s="1">
        <v>41330</v>
      </c>
      <c r="G146" s="1">
        <v>41357</v>
      </c>
      <c r="H146" t="s">
        <v>67</v>
      </c>
      <c r="I146" t="s">
        <v>54</v>
      </c>
      <c r="J146" t="s">
        <v>17</v>
      </c>
      <c r="L146" t="s">
        <v>126</v>
      </c>
    </row>
    <row r="147" spans="1:12" x14ac:dyDescent="0.25">
      <c r="A147" s="1">
        <v>37909</v>
      </c>
      <c r="B147" s="3" t="s">
        <v>248</v>
      </c>
      <c r="F147" s="1">
        <v>37900</v>
      </c>
      <c r="G147" s="1">
        <v>37927</v>
      </c>
      <c r="H147" t="s">
        <v>80</v>
      </c>
      <c r="I147" t="s">
        <v>150</v>
      </c>
      <c r="J147" t="s">
        <v>12</v>
      </c>
      <c r="L147" t="s">
        <v>116</v>
      </c>
    </row>
    <row r="148" spans="1:12" x14ac:dyDescent="0.25">
      <c r="A148" s="1">
        <v>47427</v>
      </c>
      <c r="B148" s="3" t="s">
        <v>248</v>
      </c>
      <c r="F148" s="1">
        <v>47427</v>
      </c>
      <c r="G148" s="1">
        <v>47454</v>
      </c>
      <c r="H148" t="s">
        <v>105</v>
      </c>
      <c r="I148" t="s">
        <v>13</v>
      </c>
      <c r="J148" t="s">
        <v>12</v>
      </c>
      <c r="L148" t="s">
        <v>217</v>
      </c>
    </row>
    <row r="149" spans="1:12" x14ac:dyDescent="0.25">
      <c r="A149" s="1">
        <v>37196</v>
      </c>
      <c r="B149" s="3" t="s">
        <v>248</v>
      </c>
      <c r="F149" s="1">
        <v>37172</v>
      </c>
      <c r="G149" s="1">
        <v>37199</v>
      </c>
      <c r="H149" t="s">
        <v>77</v>
      </c>
      <c r="I149" t="s">
        <v>150</v>
      </c>
      <c r="J149" t="s">
        <v>12</v>
      </c>
      <c r="L149" t="s">
        <v>114</v>
      </c>
    </row>
    <row r="150" spans="1:12" x14ac:dyDescent="0.25">
      <c r="A150" s="1">
        <v>39101</v>
      </c>
      <c r="B150" s="3" t="s">
        <v>248</v>
      </c>
      <c r="F150" s="1">
        <v>39083</v>
      </c>
      <c r="G150" s="1">
        <v>39110</v>
      </c>
      <c r="H150" t="s">
        <v>87</v>
      </c>
      <c r="I150" t="s">
        <v>17</v>
      </c>
      <c r="J150" t="s">
        <v>17</v>
      </c>
      <c r="L150" t="s">
        <v>120</v>
      </c>
    </row>
    <row r="151" spans="1:12" x14ac:dyDescent="0.25">
      <c r="A151" s="1">
        <v>40189</v>
      </c>
      <c r="B151" s="3" t="s">
        <v>248</v>
      </c>
      <c r="F151" s="1">
        <v>40175</v>
      </c>
      <c r="G151" s="1">
        <v>40202</v>
      </c>
      <c r="H151" t="s">
        <v>90</v>
      </c>
      <c r="I151" t="s">
        <v>17</v>
      </c>
      <c r="J151" t="s">
        <v>17</v>
      </c>
      <c r="L151" t="s">
        <v>123</v>
      </c>
    </row>
    <row r="152" spans="1:12" x14ac:dyDescent="0.25">
      <c r="A152" s="1">
        <v>37291</v>
      </c>
      <c r="B152" s="3" t="s">
        <v>248</v>
      </c>
      <c r="F152" s="1">
        <v>37284</v>
      </c>
      <c r="G152" s="1">
        <v>37311</v>
      </c>
      <c r="H152" t="s">
        <v>78</v>
      </c>
      <c r="I152" t="s">
        <v>143</v>
      </c>
      <c r="J152" t="s">
        <v>17</v>
      </c>
      <c r="L152" t="s">
        <v>115</v>
      </c>
    </row>
    <row r="153" spans="1:12" x14ac:dyDescent="0.25">
      <c r="A153" s="1">
        <v>47124</v>
      </c>
      <c r="B153" s="3" t="s">
        <v>248</v>
      </c>
      <c r="F153" s="1">
        <v>47119</v>
      </c>
      <c r="G153" s="1">
        <v>47146</v>
      </c>
      <c r="H153" t="s">
        <v>105</v>
      </c>
      <c r="I153" t="s">
        <v>17</v>
      </c>
      <c r="J153" t="s">
        <v>17</v>
      </c>
      <c r="L153" t="s">
        <v>217</v>
      </c>
    </row>
    <row r="154" spans="1:12" x14ac:dyDescent="0.25">
      <c r="A154" s="1">
        <v>45759</v>
      </c>
      <c r="B154" s="3" t="s">
        <v>248</v>
      </c>
      <c r="F154" s="1">
        <v>45740</v>
      </c>
      <c r="G154" s="1">
        <v>45767</v>
      </c>
      <c r="H154" t="s">
        <v>97</v>
      </c>
      <c r="I154" t="s">
        <v>12</v>
      </c>
      <c r="J154" t="s">
        <v>17</v>
      </c>
      <c r="L154" t="s">
        <v>710</v>
      </c>
    </row>
    <row r="155" spans="1:12" x14ac:dyDescent="0.25">
      <c r="A155" s="1">
        <v>46257</v>
      </c>
      <c r="B155" s="3" t="s">
        <v>248</v>
      </c>
      <c r="F155" s="1">
        <v>46244</v>
      </c>
      <c r="G155" s="1">
        <v>46271</v>
      </c>
      <c r="H155" t="s">
        <v>99</v>
      </c>
      <c r="I155" t="s">
        <v>141</v>
      </c>
      <c r="J155" t="s">
        <v>54</v>
      </c>
      <c r="L155" t="s">
        <v>665</v>
      </c>
    </row>
    <row r="156" spans="1:12" x14ac:dyDescent="0.25">
      <c r="A156" s="1">
        <v>40817</v>
      </c>
      <c r="B156" s="3" t="s">
        <v>248</v>
      </c>
      <c r="F156" s="1">
        <v>40791</v>
      </c>
      <c r="G156" s="1">
        <v>40818</v>
      </c>
      <c r="H156" t="s">
        <v>91</v>
      </c>
      <c r="I156" t="s">
        <v>144</v>
      </c>
      <c r="J156" t="s">
        <v>54</v>
      </c>
      <c r="L156" t="s">
        <v>124</v>
      </c>
    </row>
    <row r="157" spans="1:12" x14ac:dyDescent="0.25">
      <c r="A157" s="1">
        <v>44758</v>
      </c>
      <c r="B157" s="3" t="s">
        <v>248</v>
      </c>
      <c r="F157" s="1">
        <v>44753</v>
      </c>
      <c r="G157" s="1">
        <v>44780</v>
      </c>
      <c r="H157" t="s">
        <v>95</v>
      </c>
      <c r="I157" t="s">
        <v>148</v>
      </c>
      <c r="J157" t="s">
        <v>54</v>
      </c>
      <c r="L157" t="s">
        <v>179</v>
      </c>
    </row>
    <row r="158" spans="1:12" x14ac:dyDescent="0.25">
      <c r="A158" s="1">
        <v>41402</v>
      </c>
      <c r="B158" s="3" t="s">
        <v>248</v>
      </c>
      <c r="F158" s="1">
        <v>41386</v>
      </c>
      <c r="G158" s="1">
        <v>41413</v>
      </c>
      <c r="H158" t="s">
        <v>67</v>
      </c>
      <c r="I158" t="s">
        <v>142</v>
      </c>
      <c r="J158" t="s">
        <v>143</v>
      </c>
      <c r="L158" t="s">
        <v>126</v>
      </c>
    </row>
    <row r="159" spans="1:12" x14ac:dyDescent="0.25">
      <c r="A159" s="1">
        <v>40831</v>
      </c>
      <c r="B159" s="3" t="s">
        <v>248</v>
      </c>
      <c r="F159" s="1">
        <v>40819</v>
      </c>
      <c r="G159" s="1">
        <v>40846</v>
      </c>
      <c r="H159" t="s">
        <v>91</v>
      </c>
      <c r="I159" t="s">
        <v>150</v>
      </c>
      <c r="J159" t="s">
        <v>12</v>
      </c>
      <c r="L159" t="s">
        <v>124</v>
      </c>
    </row>
    <row r="160" spans="1:12" x14ac:dyDescent="0.25">
      <c r="A160" s="1">
        <v>38093</v>
      </c>
      <c r="B160" s="3" t="s">
        <v>248</v>
      </c>
      <c r="F160" s="1">
        <v>38068</v>
      </c>
      <c r="G160" s="1">
        <v>38095</v>
      </c>
      <c r="H160" t="s">
        <v>82</v>
      </c>
      <c r="I160" t="s">
        <v>12</v>
      </c>
      <c r="J160" t="s">
        <v>17</v>
      </c>
      <c r="L160" t="s">
        <v>117</v>
      </c>
    </row>
    <row r="161" spans="1:12" x14ac:dyDescent="0.25">
      <c r="A161" s="1">
        <v>42965</v>
      </c>
      <c r="B161" s="3" t="s">
        <v>248</v>
      </c>
      <c r="F161" s="1">
        <v>42954</v>
      </c>
      <c r="G161" s="1">
        <v>42981</v>
      </c>
      <c r="H161" t="s">
        <v>70</v>
      </c>
      <c r="I161" t="s">
        <v>141</v>
      </c>
      <c r="J161" t="s">
        <v>54</v>
      </c>
      <c r="L161" t="s">
        <v>131</v>
      </c>
    </row>
    <row r="162" spans="1:12" x14ac:dyDescent="0.25">
      <c r="A162" s="1">
        <v>40487</v>
      </c>
      <c r="B162" s="3" t="s">
        <v>248</v>
      </c>
      <c r="F162" s="1">
        <v>40483</v>
      </c>
      <c r="G162" s="1">
        <v>40510</v>
      </c>
      <c r="H162" t="s">
        <v>90</v>
      </c>
      <c r="I162" t="s">
        <v>13</v>
      </c>
      <c r="J162" t="s">
        <v>12</v>
      </c>
      <c r="L162" t="s">
        <v>123</v>
      </c>
    </row>
    <row r="163" spans="1:12" x14ac:dyDescent="0.25">
      <c r="A163" s="1">
        <v>46324</v>
      </c>
      <c r="B163" s="3" t="s">
        <v>248</v>
      </c>
      <c r="F163" s="1">
        <v>46300</v>
      </c>
      <c r="G163" s="1">
        <v>46327</v>
      </c>
      <c r="H163" t="s">
        <v>99</v>
      </c>
      <c r="I163" t="s">
        <v>150</v>
      </c>
      <c r="J163" t="s">
        <v>12</v>
      </c>
      <c r="L163" t="s">
        <v>665</v>
      </c>
    </row>
    <row r="164" spans="1:12" x14ac:dyDescent="0.25">
      <c r="A164" s="1">
        <v>45178</v>
      </c>
      <c r="B164" s="3" t="s">
        <v>248</v>
      </c>
      <c r="F164" s="1">
        <v>45173</v>
      </c>
      <c r="G164" s="1">
        <v>45200</v>
      </c>
      <c r="H164" t="s">
        <v>96</v>
      </c>
      <c r="I164" t="s">
        <v>144</v>
      </c>
      <c r="J164" t="s">
        <v>54</v>
      </c>
      <c r="L164" t="s">
        <v>711</v>
      </c>
    </row>
    <row r="165" spans="1:12" x14ac:dyDescent="0.25">
      <c r="A165" s="1">
        <v>42760</v>
      </c>
      <c r="B165" s="3" t="s">
        <v>248</v>
      </c>
      <c r="F165" s="1">
        <v>42758</v>
      </c>
      <c r="G165" s="1">
        <v>42785</v>
      </c>
      <c r="H165" t="s">
        <v>70</v>
      </c>
      <c r="I165" t="s">
        <v>143</v>
      </c>
      <c r="J165" t="s">
        <v>17</v>
      </c>
      <c r="L165" t="s">
        <v>131</v>
      </c>
    </row>
    <row r="166" spans="1:12" x14ac:dyDescent="0.25">
      <c r="A166" s="1"/>
      <c r="B166" s="3"/>
      <c r="F166" s="1"/>
      <c r="G166" s="1"/>
    </row>
    <row r="167" spans="1:12" x14ac:dyDescent="0.25">
      <c r="A167" s="1"/>
      <c r="B167" s="3"/>
      <c r="F167" s="1"/>
      <c r="G167" s="1"/>
    </row>
    <row r="168" spans="1:12" x14ac:dyDescent="0.25">
      <c r="A168" s="1"/>
      <c r="B168" s="3"/>
      <c r="F168" s="1"/>
      <c r="G168" s="1"/>
    </row>
    <row r="169" spans="1:12" x14ac:dyDescent="0.25">
      <c r="A169" s="1"/>
      <c r="B169" s="3"/>
      <c r="F169" s="1"/>
      <c r="G169" s="1"/>
    </row>
    <row r="170" spans="1:12" x14ac:dyDescent="0.25">
      <c r="A170" s="1"/>
      <c r="B170" s="3"/>
      <c r="F170" s="1"/>
      <c r="G170" s="1"/>
    </row>
    <row r="171" spans="1:12" x14ac:dyDescent="0.25">
      <c r="A171" s="1"/>
      <c r="B171" s="3"/>
      <c r="F171" s="1"/>
      <c r="G171" s="1"/>
    </row>
    <row r="172" spans="1:12" x14ac:dyDescent="0.25">
      <c r="A172" s="1"/>
      <c r="B172" s="1"/>
      <c r="F172" s="1"/>
      <c r="G172" s="1"/>
    </row>
    <row r="173" spans="1:12" x14ac:dyDescent="0.25">
      <c r="A173" s="1"/>
      <c r="B173" s="1"/>
      <c r="F173" s="1"/>
      <c r="G173" s="1"/>
    </row>
    <row r="174" spans="1:12" x14ac:dyDescent="0.25">
      <c r="A174" s="1"/>
      <c r="B174" s="1"/>
      <c r="F174" s="1"/>
      <c r="G174" s="1"/>
    </row>
    <row r="175" spans="1:12" x14ac:dyDescent="0.25">
      <c r="A175" s="1"/>
      <c r="B175" s="1"/>
      <c r="F175" s="1"/>
      <c r="G175" s="1"/>
    </row>
    <row r="176" spans="1:12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F410" s="1"/>
      <c r="G410" s="1"/>
    </row>
    <row r="411" spans="1:7" x14ac:dyDescent="0.25">
      <c r="A411" s="1"/>
      <c r="B411" s="1"/>
      <c r="F411" s="1"/>
      <c r="G411" s="1"/>
    </row>
    <row r="412" spans="1:7" x14ac:dyDescent="0.25">
      <c r="A412" s="1"/>
      <c r="B412" s="1"/>
      <c r="F412" s="1"/>
      <c r="G412" s="1"/>
    </row>
    <row r="413" spans="1:7" x14ac:dyDescent="0.25">
      <c r="A413" s="1"/>
      <c r="B413" s="1"/>
      <c r="F413" s="1"/>
      <c r="G413" s="1"/>
    </row>
    <row r="414" spans="1:7" x14ac:dyDescent="0.25">
      <c r="A414" s="1"/>
      <c r="B414" s="1"/>
      <c r="F414" s="1"/>
      <c r="G414" s="1"/>
    </row>
    <row r="415" spans="1:7" x14ac:dyDescent="0.25">
      <c r="A415" s="1"/>
      <c r="B415" s="1"/>
      <c r="F415" s="1"/>
      <c r="G415" s="1"/>
    </row>
    <row r="416" spans="1:7" x14ac:dyDescent="0.25">
      <c r="A416" s="1"/>
      <c r="B416" s="1"/>
      <c r="F416" s="1"/>
      <c r="G416" s="1"/>
    </row>
    <row r="417" spans="1:7" x14ac:dyDescent="0.25">
      <c r="A417" s="1"/>
      <c r="B417" s="1"/>
      <c r="F417" s="1"/>
      <c r="G417" s="1"/>
    </row>
    <row r="418" spans="1:7" x14ac:dyDescent="0.25">
      <c r="A418" s="1"/>
      <c r="B418" s="1"/>
      <c r="F418" s="1"/>
      <c r="G418" s="1"/>
    </row>
    <row r="419" spans="1:7" x14ac:dyDescent="0.25">
      <c r="A419" s="1"/>
      <c r="B419" s="1"/>
      <c r="F419" s="1"/>
      <c r="G419" s="1"/>
    </row>
    <row r="420" spans="1:7" x14ac:dyDescent="0.25">
      <c r="A420" s="1"/>
      <c r="B420" s="1"/>
      <c r="F420" s="1"/>
      <c r="G420" s="1"/>
    </row>
    <row r="421" spans="1:7" x14ac:dyDescent="0.25">
      <c r="A421" s="1"/>
      <c r="B421" s="1"/>
      <c r="F421" s="1"/>
      <c r="G421" s="1"/>
    </row>
    <row r="422" spans="1:7" x14ac:dyDescent="0.25">
      <c r="A422" s="1"/>
      <c r="B422" s="1"/>
      <c r="G422" s="1"/>
    </row>
    <row r="423" spans="1:7" x14ac:dyDescent="0.25">
      <c r="A423" s="1"/>
      <c r="B423" s="1"/>
      <c r="G423" s="1"/>
    </row>
    <row r="424" spans="1:7" x14ac:dyDescent="0.25">
      <c r="A424" s="1"/>
      <c r="B424" s="1"/>
      <c r="G424" s="1"/>
    </row>
    <row r="425" spans="1:7" x14ac:dyDescent="0.25">
      <c r="A425" s="1"/>
      <c r="B425" s="1"/>
    </row>
    <row r="426" spans="1:7" x14ac:dyDescent="0.25">
      <c r="A426" s="1"/>
      <c r="B426" s="1"/>
    </row>
    <row r="427" spans="1:7" x14ac:dyDescent="0.25">
      <c r="A427" s="1"/>
      <c r="B427" s="1"/>
    </row>
    <row r="428" spans="1:7" x14ac:dyDescent="0.25">
      <c r="A428" s="1"/>
      <c r="B428" s="1"/>
    </row>
    <row r="429" spans="1:7" x14ac:dyDescent="0.25">
      <c r="A429" s="1"/>
      <c r="B429" s="1"/>
    </row>
    <row r="430" spans="1:7" x14ac:dyDescent="0.25">
      <c r="A430" s="1"/>
      <c r="B430" s="1"/>
    </row>
    <row r="431" spans="1:7" x14ac:dyDescent="0.25">
      <c r="A431" s="1"/>
      <c r="B431" s="1"/>
    </row>
    <row r="432" spans="1:7" x14ac:dyDescent="0.25">
      <c r="A432" s="1"/>
      <c r="B432" s="1"/>
    </row>
    <row r="433" spans="1:2" x14ac:dyDescent="0.25">
      <c r="A433" s="1"/>
      <c r="B433" s="1"/>
    </row>
    <row r="434" spans="1:2" x14ac:dyDescent="0.25">
      <c r="A434" s="1"/>
      <c r="B434" s="1"/>
    </row>
    <row r="435" spans="1:2" x14ac:dyDescent="0.25">
      <c r="A435" s="1"/>
      <c r="B435" s="1"/>
    </row>
    <row r="436" spans="1:2" x14ac:dyDescent="0.25">
      <c r="A436" s="1"/>
      <c r="B436" s="1"/>
    </row>
    <row r="437" spans="1:2" x14ac:dyDescent="0.25">
      <c r="A437" s="1"/>
      <c r="B437" s="1"/>
    </row>
    <row r="438" spans="1:2" x14ac:dyDescent="0.25">
      <c r="A438" s="1"/>
      <c r="B438" s="1"/>
    </row>
    <row r="439" spans="1:2" x14ac:dyDescent="0.25">
      <c r="A439" s="1"/>
      <c r="B439" s="1"/>
    </row>
    <row r="440" spans="1:2" x14ac:dyDescent="0.25">
      <c r="A440" s="1"/>
      <c r="B440" s="1"/>
    </row>
    <row r="441" spans="1:2" x14ac:dyDescent="0.25">
      <c r="A441" s="1"/>
      <c r="B441" s="1"/>
    </row>
    <row r="442" spans="1:2" x14ac:dyDescent="0.25">
      <c r="A442" s="1"/>
      <c r="B442" s="1"/>
    </row>
    <row r="443" spans="1:2" x14ac:dyDescent="0.25">
      <c r="A443" s="1"/>
      <c r="B443" s="1"/>
    </row>
    <row r="444" spans="1:2" x14ac:dyDescent="0.25">
      <c r="A444" s="1"/>
      <c r="B444" s="1"/>
    </row>
    <row r="445" spans="1:2" x14ac:dyDescent="0.25">
      <c r="A445" s="1"/>
      <c r="B445" s="1"/>
    </row>
    <row r="446" spans="1:2" x14ac:dyDescent="0.25">
      <c r="A446" s="1"/>
      <c r="B446" s="1"/>
    </row>
    <row r="447" spans="1:2" x14ac:dyDescent="0.25">
      <c r="A447" s="1"/>
      <c r="B447" s="1"/>
    </row>
    <row r="448" spans="1:2" x14ac:dyDescent="0.25">
      <c r="A448" s="1"/>
      <c r="B448" s="1"/>
    </row>
    <row r="449" spans="1:2" x14ac:dyDescent="0.25">
      <c r="A449" s="1"/>
      <c r="B449" s="1"/>
    </row>
    <row r="450" spans="1:2" x14ac:dyDescent="0.25">
      <c r="A450" s="1"/>
      <c r="B450" s="1"/>
    </row>
    <row r="451" spans="1:2" x14ac:dyDescent="0.25">
      <c r="A451" s="1"/>
      <c r="B451" s="1"/>
    </row>
    <row r="452" spans="1:2" x14ac:dyDescent="0.25">
      <c r="A452" s="1"/>
      <c r="B452" s="1"/>
    </row>
    <row r="453" spans="1:2" x14ac:dyDescent="0.25">
      <c r="A453" s="1"/>
      <c r="B453" s="1"/>
    </row>
    <row r="454" spans="1:2" x14ac:dyDescent="0.25">
      <c r="A454" s="1"/>
      <c r="B454" s="1"/>
    </row>
    <row r="455" spans="1:2" x14ac:dyDescent="0.25">
      <c r="A455" s="1"/>
      <c r="B455" s="1"/>
    </row>
    <row r="456" spans="1:2" x14ac:dyDescent="0.25">
      <c r="A456" s="1"/>
      <c r="B456" s="1"/>
    </row>
    <row r="457" spans="1:2" x14ac:dyDescent="0.25">
      <c r="A457" s="1"/>
      <c r="B457" s="1"/>
    </row>
    <row r="458" spans="1:2" x14ac:dyDescent="0.25">
      <c r="A458" s="1"/>
      <c r="B458" s="1"/>
    </row>
    <row r="459" spans="1:2" x14ac:dyDescent="0.25">
      <c r="A459" s="1"/>
      <c r="B459" s="1"/>
    </row>
    <row r="460" spans="1:2" x14ac:dyDescent="0.25">
      <c r="A460" s="1"/>
      <c r="B460" s="1"/>
    </row>
    <row r="461" spans="1:2" x14ac:dyDescent="0.25">
      <c r="A461" s="1"/>
      <c r="B461" s="1"/>
    </row>
  </sheetData>
  <mergeCells count="4">
    <mergeCell ref="A5:D5"/>
    <mergeCell ref="F5:J5"/>
    <mergeCell ref="L5:Y5"/>
    <mergeCell ref="L6:Y6"/>
  </mergeCells>
  <conditionalFormatting sqref="N87:N111">
    <cfRule type="cellIs" dxfId="12" priority="6" operator="equal">
      <formula>"F"</formula>
    </cfRule>
  </conditionalFormatting>
  <conditionalFormatting sqref="AC8:AC86">
    <cfRule type="cellIs" dxfId="11" priority="4" operator="equal">
      <formula>"F"</formula>
    </cfRule>
  </conditionalFormatting>
  <conditionalFormatting sqref="N8:N86">
    <cfRule type="cellIs" dxfId="10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6562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419100</xdr:colOff>
                <xdr:row>2</xdr:row>
                <xdr:rowOff>104775</xdr:rowOff>
              </to>
            </anchor>
          </controlPr>
        </control>
      </mc:Choice>
      <mc:Fallback>
        <control shapeId="66562" r:id="rId4" name="ClearBtn"/>
      </mc:Fallback>
    </mc:AlternateContent>
    <mc:AlternateContent xmlns:mc="http://schemas.openxmlformats.org/markup-compatibility/2006">
      <mc:Choice Requires="x14">
        <control shapeId="66561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1</xdr:col>
                <xdr:colOff>1362075</xdr:colOff>
                <xdr:row>2</xdr:row>
                <xdr:rowOff>104775</xdr:rowOff>
              </to>
            </anchor>
          </controlPr>
        </control>
      </mc:Choice>
      <mc:Fallback>
        <control shapeId="66561" r:id="rId6" name="ExecuteQueri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92D050"/>
  </sheetPr>
  <dimension ref="A1:R412"/>
  <sheetViews>
    <sheetView workbookViewId="0">
      <selection activeCell="N15" sqref="N15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9.8554687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  <c r="M1" t="s">
        <v>209</v>
      </c>
    </row>
    <row r="2" spans="1:18" x14ac:dyDescent="0.25">
      <c r="E2"/>
      <c r="H2" t="s">
        <v>20</v>
      </c>
      <c r="I2" s="5">
        <v>80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E5" s="82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8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E7" s="82"/>
      <c r="F7" s="6"/>
      <c r="G7" s="6"/>
      <c r="K7" s="82"/>
      <c r="M7" s="15"/>
      <c r="N7" s="16"/>
    </row>
    <row r="8" spans="1:18" ht="15.75" x14ac:dyDescent="0.25">
      <c r="A8" s="69">
        <v>37977</v>
      </c>
      <c r="B8" s="70" t="str">
        <f>$M$1</f>
        <v>yrstart</v>
      </c>
      <c r="C8" s="70"/>
      <c r="D8" s="71"/>
      <c r="E8" s="82"/>
      <c r="F8" s="72">
        <v>37956</v>
      </c>
      <c r="G8" s="72">
        <v>37983</v>
      </c>
      <c r="H8" s="71" t="s">
        <v>80</v>
      </c>
      <c r="I8" s="71" t="s">
        <v>14</v>
      </c>
      <c r="J8" s="71" t="s">
        <v>12</v>
      </c>
      <c r="K8" s="82"/>
      <c r="L8" s="71" t="s">
        <v>210</v>
      </c>
      <c r="M8" s="73" t="str">
        <f>B8</f>
        <v>yrstart</v>
      </c>
      <c r="N8" s="74"/>
      <c r="O8" s="75"/>
      <c r="R8" t="s">
        <v>24</v>
      </c>
    </row>
    <row r="9" spans="1:18" ht="15.75" x14ac:dyDescent="0.25">
      <c r="A9" s="69">
        <v>37978</v>
      </c>
      <c r="B9" s="70" t="str">
        <f t="shared" ref="B9:B72" si="0">$M$1</f>
        <v>yrstart</v>
      </c>
      <c r="C9" s="70"/>
      <c r="D9" s="71"/>
      <c r="E9" s="82"/>
      <c r="F9" s="72">
        <v>37956</v>
      </c>
      <c r="G9" s="72">
        <v>37983</v>
      </c>
      <c r="H9" s="71" t="s">
        <v>80</v>
      </c>
      <c r="I9" s="71" t="s">
        <v>14</v>
      </c>
      <c r="J9" s="71" t="s">
        <v>12</v>
      </c>
      <c r="K9" s="82"/>
      <c r="L9" s="71" t="s">
        <v>210</v>
      </c>
      <c r="M9" s="73" t="str">
        <f t="shared" ref="M9:M72" si="1">B9</f>
        <v>yrstart</v>
      </c>
      <c r="N9" s="76"/>
      <c r="O9" s="75"/>
      <c r="R9" t="s">
        <v>25</v>
      </c>
    </row>
    <row r="10" spans="1:18" ht="15.75" x14ac:dyDescent="0.25">
      <c r="A10" s="69">
        <v>37979</v>
      </c>
      <c r="B10" s="70" t="str">
        <f t="shared" si="0"/>
        <v>yrstart</v>
      </c>
      <c r="C10" s="70"/>
      <c r="D10" s="71"/>
      <c r="E10" s="82"/>
      <c r="F10" s="72">
        <v>37956</v>
      </c>
      <c r="G10" s="72">
        <v>37983</v>
      </c>
      <c r="H10" s="71" t="s">
        <v>80</v>
      </c>
      <c r="I10" s="71" t="s">
        <v>14</v>
      </c>
      <c r="J10" s="71" t="s">
        <v>12</v>
      </c>
      <c r="K10" s="82"/>
      <c r="L10" s="71" t="s">
        <v>210</v>
      </c>
      <c r="M10" s="73" t="str">
        <f t="shared" si="1"/>
        <v>yrstart</v>
      </c>
      <c r="N10" s="76"/>
      <c r="O10" s="75"/>
      <c r="R10" t="s">
        <v>26</v>
      </c>
    </row>
    <row r="11" spans="1:18" ht="15.75" x14ac:dyDescent="0.25">
      <c r="A11" s="69">
        <v>37980</v>
      </c>
      <c r="B11" s="70" t="str">
        <f t="shared" si="0"/>
        <v>yrstart</v>
      </c>
      <c r="C11" s="70"/>
      <c r="D11" s="71"/>
      <c r="E11" s="82"/>
      <c r="F11" s="72">
        <v>37956</v>
      </c>
      <c r="G11" s="72">
        <v>37983</v>
      </c>
      <c r="H11" s="71" t="s">
        <v>80</v>
      </c>
      <c r="I11" s="71" t="s">
        <v>14</v>
      </c>
      <c r="J11" s="71" t="s">
        <v>12</v>
      </c>
      <c r="K11" s="82"/>
      <c r="L11" s="71" t="s">
        <v>210</v>
      </c>
      <c r="M11" s="73" t="str">
        <f t="shared" si="1"/>
        <v>yrstart</v>
      </c>
      <c r="N11" s="76"/>
      <c r="O11" s="75"/>
      <c r="R11" t="s">
        <v>27</v>
      </c>
    </row>
    <row r="12" spans="1:18" ht="15.75" x14ac:dyDescent="0.25">
      <c r="A12" s="69">
        <v>37981</v>
      </c>
      <c r="B12" s="70" t="str">
        <f t="shared" si="0"/>
        <v>yrstart</v>
      </c>
      <c r="C12" s="70"/>
      <c r="D12" s="71"/>
      <c r="E12" s="82"/>
      <c r="F12" s="72">
        <v>37956</v>
      </c>
      <c r="G12" s="72">
        <v>37983</v>
      </c>
      <c r="H12" s="71" t="s">
        <v>80</v>
      </c>
      <c r="I12" s="71" t="s">
        <v>14</v>
      </c>
      <c r="J12" s="71" t="s">
        <v>12</v>
      </c>
      <c r="K12" s="82"/>
      <c r="L12" s="71" t="s">
        <v>210</v>
      </c>
      <c r="M12" s="73" t="str">
        <f t="shared" si="1"/>
        <v>yrstart</v>
      </c>
      <c r="N12" s="76"/>
      <c r="O12" s="75"/>
      <c r="R12" t="s">
        <v>28</v>
      </c>
    </row>
    <row r="13" spans="1:18" ht="15.75" x14ac:dyDescent="0.25">
      <c r="A13" s="69">
        <v>37982</v>
      </c>
      <c r="B13" s="70" t="str">
        <f t="shared" si="0"/>
        <v>yrstart</v>
      </c>
      <c r="C13" s="70"/>
      <c r="D13" s="71"/>
      <c r="E13" s="82"/>
      <c r="F13" s="72">
        <v>37956</v>
      </c>
      <c r="G13" s="72">
        <v>37983</v>
      </c>
      <c r="H13" s="71" t="s">
        <v>80</v>
      </c>
      <c r="I13" s="71" t="s">
        <v>14</v>
      </c>
      <c r="J13" s="71" t="s">
        <v>12</v>
      </c>
      <c r="K13" s="82"/>
      <c r="L13" s="71" t="s">
        <v>210</v>
      </c>
      <c r="M13" s="73" t="str">
        <f t="shared" si="1"/>
        <v>yrstart</v>
      </c>
      <c r="N13" s="76"/>
      <c r="O13" s="75"/>
      <c r="R13" t="s">
        <v>29</v>
      </c>
    </row>
    <row r="14" spans="1:18" ht="15.75" x14ac:dyDescent="0.25">
      <c r="A14" s="69">
        <v>37983</v>
      </c>
      <c r="B14" s="70" t="str">
        <f t="shared" si="0"/>
        <v>yrstart</v>
      </c>
      <c r="C14" s="70"/>
      <c r="D14" s="71"/>
      <c r="E14" s="82"/>
      <c r="F14" s="72">
        <v>37956</v>
      </c>
      <c r="G14" s="72">
        <v>37983</v>
      </c>
      <c r="H14" s="71" t="s">
        <v>80</v>
      </c>
      <c r="I14" s="71" t="s">
        <v>14</v>
      </c>
      <c r="J14" s="71" t="s">
        <v>12</v>
      </c>
      <c r="K14" s="82"/>
      <c r="L14" s="71" t="s">
        <v>210</v>
      </c>
      <c r="M14" s="73" t="str">
        <f t="shared" si="1"/>
        <v>yrstart</v>
      </c>
      <c r="N14" s="76"/>
      <c r="O14" s="75"/>
      <c r="R14" t="s">
        <v>30</v>
      </c>
    </row>
    <row r="15" spans="1:18" ht="15.75" x14ac:dyDescent="0.25">
      <c r="A15" s="67">
        <v>37984</v>
      </c>
      <c r="B15" s="68" t="str">
        <f t="shared" si="0"/>
        <v>yrstart</v>
      </c>
      <c r="C15" s="68"/>
      <c r="D15" s="24"/>
      <c r="E15" s="82"/>
      <c r="F15" s="39">
        <v>37984</v>
      </c>
      <c r="G15" s="39">
        <v>38011</v>
      </c>
      <c r="H15" s="24" t="s">
        <v>82</v>
      </c>
      <c r="I15" s="24" t="s">
        <v>17</v>
      </c>
      <c r="J15" s="24" t="s">
        <v>17</v>
      </c>
      <c r="K15" s="82"/>
      <c r="L15" s="24" t="s">
        <v>207</v>
      </c>
      <c r="M15" s="25" t="str">
        <f t="shared" si="1"/>
        <v>yrstart</v>
      </c>
      <c r="N15" s="26" t="s">
        <v>50</v>
      </c>
      <c r="O15" s="40"/>
      <c r="R15" t="s">
        <v>31</v>
      </c>
    </row>
    <row r="16" spans="1:18" ht="15.75" x14ac:dyDescent="0.25">
      <c r="A16" s="77">
        <v>37985</v>
      </c>
      <c r="B16" s="78" t="str">
        <f t="shared" si="0"/>
        <v>yrstart</v>
      </c>
      <c r="C16" s="78"/>
      <c r="D16" s="52"/>
      <c r="E16" s="82"/>
      <c r="F16" s="51">
        <v>37984</v>
      </c>
      <c r="G16" s="51">
        <v>38011</v>
      </c>
      <c r="H16" s="52" t="s">
        <v>82</v>
      </c>
      <c r="I16" s="52" t="s">
        <v>17</v>
      </c>
      <c r="J16" s="52" t="s">
        <v>17</v>
      </c>
      <c r="K16" s="82"/>
      <c r="L16" s="52" t="s">
        <v>207</v>
      </c>
      <c r="M16" s="79" t="str">
        <f t="shared" si="1"/>
        <v>yrstart</v>
      </c>
      <c r="N16" s="80"/>
      <c r="O16" s="81"/>
      <c r="R16" t="s">
        <v>32</v>
      </c>
    </row>
    <row r="17" spans="1:18" ht="15.75" x14ac:dyDescent="0.25">
      <c r="A17" s="77">
        <v>37986</v>
      </c>
      <c r="B17" s="78" t="str">
        <f t="shared" si="0"/>
        <v>yrstart</v>
      </c>
      <c r="C17" s="78"/>
      <c r="D17" s="52"/>
      <c r="E17" s="82"/>
      <c r="F17" s="51">
        <v>37984</v>
      </c>
      <c r="G17" s="51">
        <v>38011</v>
      </c>
      <c r="H17" s="52" t="s">
        <v>82</v>
      </c>
      <c r="I17" s="52" t="s">
        <v>17</v>
      </c>
      <c r="J17" s="52" t="s">
        <v>17</v>
      </c>
      <c r="K17" s="82"/>
      <c r="L17" s="52" t="s">
        <v>207</v>
      </c>
      <c r="M17" s="79" t="str">
        <f t="shared" si="1"/>
        <v>yrstart</v>
      </c>
      <c r="N17" s="80"/>
      <c r="O17" s="81"/>
      <c r="R17" t="s">
        <v>33</v>
      </c>
    </row>
    <row r="18" spans="1:18" ht="15.75" x14ac:dyDescent="0.25">
      <c r="A18" s="77">
        <v>37987</v>
      </c>
      <c r="B18" s="78" t="str">
        <f t="shared" si="0"/>
        <v>yrstart</v>
      </c>
      <c r="C18" s="78"/>
      <c r="D18" s="52"/>
      <c r="E18" s="82"/>
      <c r="F18" s="51">
        <v>37984</v>
      </c>
      <c r="G18" s="51">
        <v>38011</v>
      </c>
      <c r="H18" s="52" t="s">
        <v>82</v>
      </c>
      <c r="I18" s="52" t="s">
        <v>17</v>
      </c>
      <c r="J18" s="52" t="s">
        <v>17</v>
      </c>
      <c r="K18" s="82"/>
      <c r="L18" s="52" t="s">
        <v>207</v>
      </c>
      <c r="M18" s="79" t="str">
        <f t="shared" si="1"/>
        <v>yrstart</v>
      </c>
      <c r="N18" s="80"/>
      <c r="O18" s="81"/>
      <c r="R18" t="s">
        <v>34</v>
      </c>
    </row>
    <row r="19" spans="1:18" ht="15.75" x14ac:dyDescent="0.25">
      <c r="A19" s="77">
        <v>37988</v>
      </c>
      <c r="B19" s="78" t="str">
        <f t="shared" si="0"/>
        <v>yrstart</v>
      </c>
      <c r="C19" s="78"/>
      <c r="D19" s="52"/>
      <c r="E19" s="82"/>
      <c r="F19" s="51">
        <v>37984</v>
      </c>
      <c r="G19" s="51">
        <v>38011</v>
      </c>
      <c r="H19" s="52" t="s">
        <v>82</v>
      </c>
      <c r="I19" s="52" t="s">
        <v>17</v>
      </c>
      <c r="J19" s="52" t="s">
        <v>17</v>
      </c>
      <c r="K19" s="82"/>
      <c r="L19" s="52" t="s">
        <v>207</v>
      </c>
      <c r="M19" s="79" t="str">
        <f t="shared" si="1"/>
        <v>yrstart</v>
      </c>
      <c r="N19" s="80"/>
      <c r="O19" s="81"/>
      <c r="R19" t="s">
        <v>35</v>
      </c>
    </row>
    <row r="20" spans="1:18" ht="15.75" x14ac:dyDescent="0.25">
      <c r="A20" s="77">
        <v>37989</v>
      </c>
      <c r="B20" s="78" t="str">
        <f t="shared" si="0"/>
        <v>yrstart</v>
      </c>
      <c r="C20" s="78"/>
      <c r="D20" s="52"/>
      <c r="E20" s="82"/>
      <c r="F20" s="51">
        <v>37984</v>
      </c>
      <c r="G20" s="51">
        <v>38011</v>
      </c>
      <c r="H20" s="52" t="s">
        <v>82</v>
      </c>
      <c r="I20" s="52" t="s">
        <v>17</v>
      </c>
      <c r="J20" s="52" t="s">
        <v>17</v>
      </c>
      <c r="K20" s="82"/>
      <c r="L20" s="52" t="s">
        <v>207</v>
      </c>
      <c r="M20" s="79" t="str">
        <f t="shared" si="1"/>
        <v>yrstart</v>
      </c>
      <c r="N20" s="80"/>
      <c r="O20" s="81"/>
      <c r="R20" t="s">
        <v>36</v>
      </c>
    </row>
    <row r="21" spans="1:18" ht="15.75" x14ac:dyDescent="0.25">
      <c r="A21" s="77">
        <v>37990</v>
      </c>
      <c r="B21" s="78" t="str">
        <f t="shared" si="0"/>
        <v>yrstart</v>
      </c>
      <c r="C21" s="78"/>
      <c r="D21" s="52"/>
      <c r="E21" s="82"/>
      <c r="F21" s="51">
        <v>37984</v>
      </c>
      <c r="G21" s="51">
        <v>38011</v>
      </c>
      <c r="H21" s="52" t="s">
        <v>82</v>
      </c>
      <c r="I21" s="52" t="s">
        <v>17</v>
      </c>
      <c r="J21" s="52" t="s">
        <v>17</v>
      </c>
      <c r="K21" s="82"/>
      <c r="L21" s="52" t="s">
        <v>207</v>
      </c>
      <c r="M21" s="79" t="str">
        <f t="shared" si="1"/>
        <v>yrstart</v>
      </c>
      <c r="N21" s="80"/>
      <c r="O21" s="81"/>
      <c r="R21" t="s">
        <v>37</v>
      </c>
    </row>
    <row r="22" spans="1:18" ht="15.75" x14ac:dyDescent="0.25">
      <c r="A22" s="77">
        <v>37991</v>
      </c>
      <c r="B22" s="78" t="str">
        <f t="shared" si="0"/>
        <v>yrstart</v>
      </c>
      <c r="C22" s="78"/>
      <c r="D22" s="52"/>
      <c r="E22" s="82"/>
      <c r="F22" s="51">
        <v>37984</v>
      </c>
      <c r="G22" s="51">
        <v>38011</v>
      </c>
      <c r="H22" s="52" t="s">
        <v>82</v>
      </c>
      <c r="I22" s="52" t="s">
        <v>17</v>
      </c>
      <c r="J22" s="52" t="s">
        <v>17</v>
      </c>
      <c r="K22" s="82"/>
      <c r="L22" s="52" t="s">
        <v>207</v>
      </c>
      <c r="M22" s="79" t="str">
        <f t="shared" si="1"/>
        <v>yrstart</v>
      </c>
      <c r="N22" s="80"/>
      <c r="O22" s="81"/>
      <c r="R22" t="s">
        <v>38</v>
      </c>
    </row>
    <row r="23" spans="1:18" ht="15.75" x14ac:dyDescent="0.25">
      <c r="A23" s="77">
        <v>37992</v>
      </c>
      <c r="B23" s="78" t="str">
        <f t="shared" si="0"/>
        <v>yrstart</v>
      </c>
      <c r="C23" s="78"/>
      <c r="D23" s="52"/>
      <c r="E23" s="82"/>
      <c r="F23" s="51">
        <v>37984</v>
      </c>
      <c r="G23" s="51">
        <v>38011</v>
      </c>
      <c r="H23" s="52" t="s">
        <v>82</v>
      </c>
      <c r="I23" s="52" t="s">
        <v>17</v>
      </c>
      <c r="J23" s="52" t="s">
        <v>17</v>
      </c>
      <c r="K23" s="82"/>
      <c r="L23" s="52" t="s">
        <v>207</v>
      </c>
      <c r="M23" s="79" t="str">
        <f t="shared" si="1"/>
        <v>yrstart</v>
      </c>
      <c r="N23" s="80"/>
      <c r="O23" s="81"/>
      <c r="R23" t="s">
        <v>39</v>
      </c>
    </row>
    <row r="24" spans="1:18" ht="15.75" x14ac:dyDescent="0.25">
      <c r="A24" s="77">
        <v>37993</v>
      </c>
      <c r="B24" s="78" t="str">
        <f t="shared" si="0"/>
        <v>yrstart</v>
      </c>
      <c r="C24" s="78"/>
      <c r="D24" s="52"/>
      <c r="E24" s="82"/>
      <c r="F24" s="51">
        <v>37984</v>
      </c>
      <c r="G24" s="51">
        <v>38011</v>
      </c>
      <c r="H24" s="52" t="s">
        <v>82</v>
      </c>
      <c r="I24" s="52" t="s">
        <v>17</v>
      </c>
      <c r="J24" s="52" t="s">
        <v>17</v>
      </c>
      <c r="K24" s="82"/>
      <c r="L24" s="52" t="s">
        <v>207</v>
      </c>
      <c r="M24" s="79" t="str">
        <f t="shared" si="1"/>
        <v>yrstart</v>
      </c>
      <c r="N24" s="80"/>
      <c r="O24" s="81"/>
      <c r="R24" t="s">
        <v>40</v>
      </c>
    </row>
    <row r="25" spans="1:18" ht="15.75" x14ac:dyDescent="0.25">
      <c r="A25" s="77">
        <v>37994</v>
      </c>
      <c r="B25" s="78" t="str">
        <f t="shared" si="0"/>
        <v>yrstart</v>
      </c>
      <c r="C25" s="78"/>
      <c r="D25" s="52"/>
      <c r="E25" s="82"/>
      <c r="F25" s="51">
        <v>37984</v>
      </c>
      <c r="G25" s="51">
        <v>38011</v>
      </c>
      <c r="H25" s="52" t="s">
        <v>82</v>
      </c>
      <c r="I25" s="52" t="s">
        <v>17</v>
      </c>
      <c r="J25" s="52" t="s">
        <v>17</v>
      </c>
      <c r="K25" s="82"/>
      <c r="L25" s="52" t="s">
        <v>207</v>
      </c>
      <c r="M25" s="79" t="str">
        <f t="shared" si="1"/>
        <v>yrstart</v>
      </c>
      <c r="N25" s="80"/>
      <c r="O25" s="81"/>
    </row>
    <row r="26" spans="1:18" ht="15.75" x14ac:dyDescent="0.25">
      <c r="A26" s="77">
        <v>37995</v>
      </c>
      <c r="B26" s="78" t="str">
        <f t="shared" si="0"/>
        <v>yrstart</v>
      </c>
      <c r="C26" s="78"/>
      <c r="D26" s="52"/>
      <c r="E26" s="82"/>
      <c r="F26" s="51">
        <v>37984</v>
      </c>
      <c r="G26" s="51">
        <v>38011</v>
      </c>
      <c r="H26" s="52" t="s">
        <v>82</v>
      </c>
      <c r="I26" s="52" t="s">
        <v>17</v>
      </c>
      <c r="J26" s="52" t="s">
        <v>17</v>
      </c>
      <c r="K26" s="82"/>
      <c r="L26" s="52" t="s">
        <v>207</v>
      </c>
      <c r="M26" s="79" t="str">
        <f t="shared" si="1"/>
        <v>yrstart</v>
      </c>
      <c r="N26" s="80"/>
      <c r="O26" s="81"/>
      <c r="R26" t="s">
        <v>247</v>
      </c>
    </row>
    <row r="27" spans="1:18" ht="15.75" x14ac:dyDescent="0.25">
      <c r="A27" s="77">
        <v>37996</v>
      </c>
      <c r="B27" s="78" t="str">
        <f t="shared" si="0"/>
        <v>yrstart</v>
      </c>
      <c r="C27" s="78"/>
      <c r="D27" s="52"/>
      <c r="E27" s="82"/>
      <c r="F27" s="51">
        <v>37984</v>
      </c>
      <c r="G27" s="51">
        <v>38011</v>
      </c>
      <c r="H27" s="52" t="s">
        <v>82</v>
      </c>
      <c r="I27" s="52" t="s">
        <v>17</v>
      </c>
      <c r="J27" s="52" t="s">
        <v>17</v>
      </c>
      <c r="K27" s="82"/>
      <c r="L27" s="52" t="s">
        <v>207</v>
      </c>
      <c r="M27" s="79" t="str">
        <f t="shared" si="1"/>
        <v>yrstart</v>
      </c>
      <c r="N27" s="80"/>
      <c r="O27" s="81"/>
      <c r="R27" t="s">
        <v>242</v>
      </c>
    </row>
    <row r="28" spans="1:18" ht="15.75" x14ac:dyDescent="0.25">
      <c r="A28" s="69">
        <v>40534</v>
      </c>
      <c r="B28" s="70" t="str">
        <f t="shared" si="0"/>
        <v>yrstart</v>
      </c>
      <c r="C28" s="70"/>
      <c r="D28" s="71"/>
      <c r="E28" s="82"/>
      <c r="F28" s="72">
        <v>40511</v>
      </c>
      <c r="G28" s="72">
        <v>40538</v>
      </c>
      <c r="H28" s="71" t="s">
        <v>90</v>
      </c>
      <c r="I28" s="71" t="s">
        <v>14</v>
      </c>
      <c r="J28" s="71" t="s">
        <v>12</v>
      </c>
      <c r="K28" s="82"/>
      <c r="L28" s="71" t="s">
        <v>206</v>
      </c>
      <c r="M28" s="73" t="str">
        <f t="shared" si="1"/>
        <v>yrstart</v>
      </c>
      <c r="N28" s="76"/>
      <c r="O28" s="75"/>
      <c r="R28" t="s">
        <v>243</v>
      </c>
    </row>
    <row r="29" spans="1:18" ht="15.75" x14ac:dyDescent="0.25">
      <c r="A29" s="69">
        <v>40535</v>
      </c>
      <c r="B29" s="70" t="str">
        <f t="shared" si="0"/>
        <v>yrstart</v>
      </c>
      <c r="C29" s="70"/>
      <c r="D29" s="71"/>
      <c r="E29" s="82"/>
      <c r="F29" s="72">
        <v>40511</v>
      </c>
      <c r="G29" s="72">
        <v>40538</v>
      </c>
      <c r="H29" s="71" t="s">
        <v>90</v>
      </c>
      <c r="I29" s="71" t="s">
        <v>14</v>
      </c>
      <c r="J29" s="71" t="s">
        <v>12</v>
      </c>
      <c r="K29" s="82"/>
      <c r="L29" s="71" t="s">
        <v>206</v>
      </c>
      <c r="M29" s="73" t="str">
        <f t="shared" si="1"/>
        <v>yrstart</v>
      </c>
      <c r="N29" s="76"/>
      <c r="O29" s="75"/>
      <c r="R29" t="s">
        <v>244</v>
      </c>
    </row>
    <row r="30" spans="1:18" ht="15.75" x14ac:dyDescent="0.25">
      <c r="A30" s="69">
        <v>40536</v>
      </c>
      <c r="B30" s="70" t="str">
        <f t="shared" si="0"/>
        <v>yrstart</v>
      </c>
      <c r="C30" s="70"/>
      <c r="D30" s="71"/>
      <c r="E30" s="82"/>
      <c r="F30" s="72">
        <v>40511</v>
      </c>
      <c r="G30" s="72">
        <v>40538</v>
      </c>
      <c r="H30" s="71" t="s">
        <v>90</v>
      </c>
      <c r="I30" s="71" t="s">
        <v>14</v>
      </c>
      <c r="J30" s="71" t="s">
        <v>12</v>
      </c>
      <c r="K30" s="82"/>
      <c r="L30" s="71" t="s">
        <v>206</v>
      </c>
      <c r="M30" s="73" t="str">
        <f t="shared" si="1"/>
        <v>yrstart</v>
      </c>
      <c r="N30" s="76"/>
      <c r="O30" s="75"/>
      <c r="R30" t="s">
        <v>245</v>
      </c>
    </row>
    <row r="31" spans="1:18" ht="15.75" x14ac:dyDescent="0.25">
      <c r="A31" s="69">
        <v>40537</v>
      </c>
      <c r="B31" s="70" t="str">
        <f t="shared" si="0"/>
        <v>yrstart</v>
      </c>
      <c r="C31" s="70"/>
      <c r="D31" s="71"/>
      <c r="E31" s="82"/>
      <c r="F31" s="72">
        <v>40511</v>
      </c>
      <c r="G31" s="72">
        <v>40538</v>
      </c>
      <c r="H31" s="71" t="s">
        <v>90</v>
      </c>
      <c r="I31" s="71" t="s">
        <v>14</v>
      </c>
      <c r="J31" s="71" t="s">
        <v>12</v>
      </c>
      <c r="K31" s="82"/>
      <c r="L31" s="71" t="s">
        <v>206</v>
      </c>
      <c r="M31" s="73" t="str">
        <f t="shared" si="1"/>
        <v>yrstart</v>
      </c>
      <c r="N31" s="76"/>
      <c r="O31" s="75"/>
      <c r="R31" t="s">
        <v>246</v>
      </c>
    </row>
    <row r="32" spans="1:18" ht="15.75" x14ac:dyDescent="0.25">
      <c r="A32" s="69">
        <v>40538</v>
      </c>
      <c r="B32" s="70" t="str">
        <f t="shared" si="0"/>
        <v>yrstart</v>
      </c>
      <c r="C32" s="70"/>
      <c r="D32" s="71"/>
      <c r="E32" s="82"/>
      <c r="F32" s="72">
        <v>40511</v>
      </c>
      <c r="G32" s="72">
        <v>40538</v>
      </c>
      <c r="H32" s="71" t="s">
        <v>90</v>
      </c>
      <c r="I32" s="71" t="s">
        <v>14</v>
      </c>
      <c r="J32" s="71" t="s">
        <v>12</v>
      </c>
      <c r="K32" s="82"/>
      <c r="L32" s="71" t="s">
        <v>206</v>
      </c>
      <c r="M32" s="73" t="str">
        <f t="shared" si="1"/>
        <v>yrstart</v>
      </c>
      <c r="N32" s="76"/>
      <c r="O32" s="75"/>
    </row>
    <row r="33" spans="1:15" ht="15.75" x14ac:dyDescent="0.25">
      <c r="A33" s="67">
        <v>40539</v>
      </c>
      <c r="B33" s="68" t="str">
        <f t="shared" si="0"/>
        <v>yrstart</v>
      </c>
      <c r="C33" s="68"/>
      <c r="D33" s="24"/>
      <c r="E33" s="82"/>
      <c r="F33" s="39">
        <v>40539</v>
      </c>
      <c r="G33" s="39">
        <v>40566</v>
      </c>
      <c r="H33" s="24" t="s">
        <v>91</v>
      </c>
      <c r="I33" s="24" t="s">
        <v>17</v>
      </c>
      <c r="J33" s="24" t="s">
        <v>17</v>
      </c>
      <c r="K33" s="82"/>
      <c r="L33" s="24" t="s">
        <v>213</v>
      </c>
      <c r="M33" s="25" t="str">
        <f t="shared" si="1"/>
        <v>yrstart</v>
      </c>
      <c r="N33" s="26" t="s">
        <v>52</v>
      </c>
      <c r="O33" s="40"/>
    </row>
    <row r="34" spans="1:15" ht="15.75" x14ac:dyDescent="0.25">
      <c r="A34" s="77">
        <v>40540</v>
      </c>
      <c r="B34" s="78" t="str">
        <f t="shared" si="0"/>
        <v>yrstart</v>
      </c>
      <c r="C34" s="78"/>
      <c r="D34" s="52"/>
      <c r="E34" s="82"/>
      <c r="F34" s="51">
        <v>40539</v>
      </c>
      <c r="G34" s="51">
        <v>40566</v>
      </c>
      <c r="H34" s="52" t="s">
        <v>91</v>
      </c>
      <c r="I34" s="52" t="s">
        <v>17</v>
      </c>
      <c r="J34" s="52" t="s">
        <v>17</v>
      </c>
      <c r="K34" s="82"/>
      <c r="L34" s="52" t="s">
        <v>213</v>
      </c>
      <c r="M34" s="79" t="str">
        <f t="shared" si="1"/>
        <v>yrstart</v>
      </c>
      <c r="N34" s="80"/>
      <c r="O34" s="81"/>
    </row>
    <row r="35" spans="1:15" ht="15.75" x14ac:dyDescent="0.25">
      <c r="A35" s="77">
        <v>40541</v>
      </c>
      <c r="B35" s="78" t="str">
        <f t="shared" si="0"/>
        <v>yrstart</v>
      </c>
      <c r="C35" s="78"/>
      <c r="D35" s="52"/>
      <c r="E35" s="82"/>
      <c r="F35" s="51">
        <v>40539</v>
      </c>
      <c r="G35" s="51">
        <v>40566</v>
      </c>
      <c r="H35" s="52" t="s">
        <v>91</v>
      </c>
      <c r="I35" s="52" t="s">
        <v>17</v>
      </c>
      <c r="J35" s="52" t="s">
        <v>17</v>
      </c>
      <c r="K35" s="82"/>
      <c r="L35" s="52" t="s">
        <v>213</v>
      </c>
      <c r="M35" s="79" t="str">
        <f t="shared" si="1"/>
        <v>yrstart</v>
      </c>
      <c r="N35" s="80"/>
      <c r="O35" s="81"/>
    </row>
    <row r="36" spans="1:15" ht="15.75" x14ac:dyDescent="0.25">
      <c r="A36" s="77">
        <v>40542</v>
      </c>
      <c r="B36" s="78" t="str">
        <f t="shared" si="0"/>
        <v>yrstart</v>
      </c>
      <c r="C36" s="78"/>
      <c r="D36" s="52"/>
      <c r="E36" s="82"/>
      <c r="F36" s="51">
        <v>40539</v>
      </c>
      <c r="G36" s="51">
        <v>40566</v>
      </c>
      <c r="H36" s="52" t="s">
        <v>91</v>
      </c>
      <c r="I36" s="52" t="s">
        <v>17</v>
      </c>
      <c r="J36" s="52" t="s">
        <v>17</v>
      </c>
      <c r="K36" s="82"/>
      <c r="L36" s="52" t="s">
        <v>213</v>
      </c>
      <c r="M36" s="79" t="str">
        <f t="shared" si="1"/>
        <v>yrstart</v>
      </c>
      <c r="N36" s="80"/>
      <c r="O36" s="81"/>
    </row>
    <row r="37" spans="1:15" ht="15.75" x14ac:dyDescent="0.25">
      <c r="A37" s="77">
        <v>40543</v>
      </c>
      <c r="B37" s="78" t="str">
        <f t="shared" si="0"/>
        <v>yrstart</v>
      </c>
      <c r="C37" s="78"/>
      <c r="D37" s="52"/>
      <c r="E37" s="82"/>
      <c r="F37" s="51">
        <v>40539</v>
      </c>
      <c r="G37" s="51">
        <v>40566</v>
      </c>
      <c r="H37" s="52" t="s">
        <v>91</v>
      </c>
      <c r="I37" s="52" t="s">
        <v>17</v>
      </c>
      <c r="J37" s="52" t="s">
        <v>17</v>
      </c>
      <c r="K37" s="82"/>
      <c r="L37" s="52" t="s">
        <v>213</v>
      </c>
      <c r="M37" s="79" t="str">
        <f t="shared" si="1"/>
        <v>yrstart</v>
      </c>
      <c r="N37" s="80"/>
      <c r="O37" s="81"/>
    </row>
    <row r="38" spans="1:15" ht="15.75" x14ac:dyDescent="0.25">
      <c r="A38" s="77">
        <v>40544</v>
      </c>
      <c r="B38" s="78" t="str">
        <f t="shared" si="0"/>
        <v>yrstart</v>
      </c>
      <c r="C38" s="78"/>
      <c r="D38" s="52"/>
      <c r="E38" s="82"/>
      <c r="F38" s="51">
        <v>40539</v>
      </c>
      <c r="G38" s="51">
        <v>40566</v>
      </c>
      <c r="H38" s="52" t="s">
        <v>91</v>
      </c>
      <c r="I38" s="52" t="s">
        <v>17</v>
      </c>
      <c r="J38" s="52" t="s">
        <v>17</v>
      </c>
      <c r="K38" s="82"/>
      <c r="L38" s="52" t="s">
        <v>213</v>
      </c>
      <c r="M38" s="79" t="str">
        <f t="shared" si="1"/>
        <v>yrstart</v>
      </c>
      <c r="N38" s="80"/>
      <c r="O38" s="81"/>
    </row>
    <row r="39" spans="1:15" ht="15.75" x14ac:dyDescent="0.25">
      <c r="A39" s="77">
        <v>40545</v>
      </c>
      <c r="B39" s="78" t="str">
        <f t="shared" si="0"/>
        <v>yrstart</v>
      </c>
      <c r="C39" s="78"/>
      <c r="D39" s="52"/>
      <c r="E39" s="82"/>
      <c r="F39" s="51">
        <v>40539</v>
      </c>
      <c r="G39" s="51">
        <v>40566</v>
      </c>
      <c r="H39" s="52" t="s">
        <v>91</v>
      </c>
      <c r="I39" s="52" t="s">
        <v>17</v>
      </c>
      <c r="J39" s="52" t="s">
        <v>17</v>
      </c>
      <c r="K39" s="82"/>
      <c r="L39" s="52" t="s">
        <v>213</v>
      </c>
      <c r="M39" s="79" t="str">
        <f t="shared" si="1"/>
        <v>yrstart</v>
      </c>
      <c r="N39" s="80"/>
      <c r="O39" s="81"/>
    </row>
    <row r="40" spans="1:15" ht="15.75" x14ac:dyDescent="0.25">
      <c r="A40" s="77">
        <v>40546</v>
      </c>
      <c r="B40" s="78" t="str">
        <f t="shared" si="0"/>
        <v>yrstart</v>
      </c>
      <c r="C40" s="78"/>
      <c r="D40" s="52"/>
      <c r="E40" s="82"/>
      <c r="F40" s="51">
        <v>40539</v>
      </c>
      <c r="G40" s="51">
        <v>40566</v>
      </c>
      <c r="H40" s="52" t="s">
        <v>91</v>
      </c>
      <c r="I40" s="52" t="s">
        <v>17</v>
      </c>
      <c r="J40" s="52" t="s">
        <v>17</v>
      </c>
      <c r="K40" s="82"/>
      <c r="L40" s="52" t="s">
        <v>213</v>
      </c>
      <c r="M40" s="79" t="str">
        <f t="shared" si="1"/>
        <v>yrstart</v>
      </c>
      <c r="N40" s="80"/>
      <c r="O40" s="81"/>
    </row>
    <row r="41" spans="1:15" ht="15.75" x14ac:dyDescent="0.25">
      <c r="A41" s="77">
        <v>40547</v>
      </c>
      <c r="B41" s="78" t="str">
        <f t="shared" si="0"/>
        <v>yrstart</v>
      </c>
      <c r="C41" s="78"/>
      <c r="D41" s="52"/>
      <c r="E41" s="82"/>
      <c r="F41" s="51">
        <v>40539</v>
      </c>
      <c r="G41" s="51">
        <v>40566</v>
      </c>
      <c r="H41" s="52" t="s">
        <v>91</v>
      </c>
      <c r="I41" s="52" t="s">
        <v>17</v>
      </c>
      <c r="J41" s="52" t="s">
        <v>17</v>
      </c>
      <c r="K41" s="82"/>
      <c r="L41" s="52" t="s">
        <v>213</v>
      </c>
      <c r="M41" s="79" t="str">
        <f t="shared" si="1"/>
        <v>yrstart</v>
      </c>
      <c r="N41" s="80"/>
      <c r="O41" s="81"/>
    </row>
    <row r="42" spans="1:15" ht="15.75" x14ac:dyDescent="0.25">
      <c r="A42" s="77">
        <v>40548</v>
      </c>
      <c r="B42" s="78" t="str">
        <f t="shared" si="0"/>
        <v>yrstart</v>
      </c>
      <c r="C42" s="78"/>
      <c r="D42" s="52"/>
      <c r="E42" s="82" t="s">
        <v>71</v>
      </c>
      <c r="F42" s="51">
        <v>40539</v>
      </c>
      <c r="G42" s="51">
        <v>40566</v>
      </c>
      <c r="H42" s="52" t="s">
        <v>91</v>
      </c>
      <c r="I42" s="52" t="s">
        <v>17</v>
      </c>
      <c r="J42" s="52" t="s">
        <v>17</v>
      </c>
      <c r="K42" s="82"/>
      <c r="L42" s="52" t="s">
        <v>213</v>
      </c>
      <c r="M42" s="79" t="str">
        <f t="shared" si="1"/>
        <v>yrstart</v>
      </c>
      <c r="N42" s="80"/>
      <c r="O42" s="81"/>
    </row>
    <row r="43" spans="1:15" ht="15.75" x14ac:dyDescent="0.25">
      <c r="A43" s="77">
        <v>40549</v>
      </c>
      <c r="B43" s="78" t="str">
        <f t="shared" si="0"/>
        <v>yrstart</v>
      </c>
      <c r="C43" s="78"/>
      <c r="D43" s="52"/>
      <c r="E43" s="82"/>
      <c r="F43" s="51">
        <v>40539</v>
      </c>
      <c r="G43" s="51">
        <v>40566</v>
      </c>
      <c r="H43" s="52" t="s">
        <v>91</v>
      </c>
      <c r="I43" s="52" t="s">
        <v>17</v>
      </c>
      <c r="J43" s="52" t="s">
        <v>17</v>
      </c>
      <c r="K43" s="82"/>
      <c r="L43" s="52" t="s">
        <v>213</v>
      </c>
      <c r="M43" s="79" t="str">
        <f t="shared" si="1"/>
        <v>yrstart</v>
      </c>
      <c r="N43" s="80"/>
      <c r="O43" s="81"/>
    </row>
    <row r="44" spans="1:15" ht="15.75" x14ac:dyDescent="0.25">
      <c r="A44" s="77">
        <v>40550</v>
      </c>
      <c r="B44" s="78" t="str">
        <f t="shared" si="0"/>
        <v>yrstart</v>
      </c>
      <c r="C44" s="78"/>
      <c r="D44" s="52"/>
      <c r="E44" s="82"/>
      <c r="F44" s="51">
        <v>40539</v>
      </c>
      <c r="G44" s="51">
        <v>40566</v>
      </c>
      <c r="H44" s="52" t="s">
        <v>91</v>
      </c>
      <c r="I44" s="52" t="s">
        <v>17</v>
      </c>
      <c r="J44" s="52" t="s">
        <v>17</v>
      </c>
      <c r="K44" s="82"/>
      <c r="L44" s="52" t="s">
        <v>213</v>
      </c>
      <c r="M44" s="79" t="str">
        <f t="shared" si="1"/>
        <v>yrstart</v>
      </c>
      <c r="N44" s="80"/>
      <c r="O44" s="81"/>
    </row>
    <row r="45" spans="1:15" ht="15.75" x14ac:dyDescent="0.25">
      <c r="A45" s="77">
        <v>40551</v>
      </c>
      <c r="B45" s="78" t="str">
        <f t="shared" si="0"/>
        <v>yrstart</v>
      </c>
      <c r="C45" s="78"/>
      <c r="D45" s="52"/>
      <c r="E45" s="82"/>
      <c r="F45" s="51">
        <v>40539</v>
      </c>
      <c r="G45" s="51">
        <v>40566</v>
      </c>
      <c r="H45" s="52" t="s">
        <v>91</v>
      </c>
      <c r="I45" s="52" t="s">
        <v>17</v>
      </c>
      <c r="J45" s="52" t="s">
        <v>17</v>
      </c>
      <c r="L45" s="52" t="s">
        <v>213</v>
      </c>
      <c r="M45" s="79" t="str">
        <f t="shared" si="1"/>
        <v>yrstart</v>
      </c>
      <c r="N45" s="80"/>
      <c r="O45" s="81"/>
    </row>
    <row r="46" spans="1:15" ht="15.75" x14ac:dyDescent="0.25">
      <c r="A46" s="77">
        <v>40552</v>
      </c>
      <c r="B46" s="78" t="str">
        <f t="shared" si="0"/>
        <v>yrstart</v>
      </c>
      <c r="C46" s="78"/>
      <c r="D46" s="52"/>
      <c r="E46" s="82"/>
      <c r="F46" s="51">
        <v>40539</v>
      </c>
      <c r="G46" s="51">
        <v>40566</v>
      </c>
      <c r="H46" s="52" t="s">
        <v>91</v>
      </c>
      <c r="I46" s="52" t="s">
        <v>17</v>
      </c>
      <c r="J46" s="52" t="s">
        <v>17</v>
      </c>
      <c r="L46" s="52" t="s">
        <v>213</v>
      </c>
      <c r="M46" s="79" t="str">
        <f t="shared" si="1"/>
        <v>yrstart</v>
      </c>
      <c r="N46" s="80"/>
      <c r="O46" s="81"/>
    </row>
    <row r="47" spans="1:15" ht="15.75" x14ac:dyDescent="0.25">
      <c r="A47" s="77">
        <v>40553</v>
      </c>
      <c r="B47" s="78" t="str">
        <f t="shared" si="0"/>
        <v>yrstart</v>
      </c>
      <c r="C47" s="78"/>
      <c r="D47" s="52"/>
      <c r="F47" s="51">
        <v>40539</v>
      </c>
      <c r="G47" s="51">
        <v>40566</v>
      </c>
      <c r="H47" s="52" t="s">
        <v>91</v>
      </c>
      <c r="I47" s="52" t="s">
        <v>17</v>
      </c>
      <c r="J47" s="52" t="s">
        <v>17</v>
      </c>
      <c r="L47" s="52" t="s">
        <v>213</v>
      </c>
      <c r="M47" s="79" t="str">
        <f t="shared" si="1"/>
        <v>yrstart</v>
      </c>
      <c r="N47" s="80"/>
      <c r="O47" s="81"/>
    </row>
    <row r="48" spans="1:15" ht="15.75" x14ac:dyDescent="0.25">
      <c r="A48" s="65">
        <v>41995</v>
      </c>
      <c r="B48" s="66" t="str">
        <f t="shared" si="0"/>
        <v>yrstart</v>
      </c>
      <c r="C48" s="66"/>
      <c r="D48" s="35"/>
      <c r="F48" s="41">
        <v>41974</v>
      </c>
      <c r="G48" s="41">
        <v>42001</v>
      </c>
      <c r="H48" s="35" t="s">
        <v>92</v>
      </c>
      <c r="I48" s="35" t="s">
        <v>14</v>
      </c>
      <c r="J48" s="35" t="s">
        <v>12</v>
      </c>
      <c r="L48" s="35" t="s">
        <v>214</v>
      </c>
      <c r="M48" s="43" t="str">
        <f t="shared" si="1"/>
        <v>yrstart</v>
      </c>
      <c r="N48" s="44"/>
      <c r="O48" s="42"/>
    </row>
    <row r="49" spans="1:15" ht="15.75" x14ac:dyDescent="0.25">
      <c r="A49" s="65">
        <v>41996</v>
      </c>
      <c r="B49" s="66" t="str">
        <f t="shared" si="0"/>
        <v>yrstart</v>
      </c>
      <c r="C49" s="66"/>
      <c r="D49" s="35"/>
      <c r="F49" s="41">
        <v>41974</v>
      </c>
      <c r="G49" s="41">
        <v>42001</v>
      </c>
      <c r="H49" s="35" t="s">
        <v>92</v>
      </c>
      <c r="I49" s="35" t="s">
        <v>14</v>
      </c>
      <c r="J49" s="35" t="s">
        <v>12</v>
      </c>
      <c r="L49" s="35" t="s">
        <v>214</v>
      </c>
      <c r="M49" s="43" t="str">
        <f t="shared" si="1"/>
        <v>yrstart</v>
      </c>
      <c r="N49" s="44"/>
      <c r="O49" s="42"/>
    </row>
    <row r="50" spans="1:15" ht="15.75" x14ac:dyDescent="0.25">
      <c r="A50" s="65">
        <v>41997</v>
      </c>
      <c r="B50" s="66" t="str">
        <f t="shared" si="0"/>
        <v>yrstart</v>
      </c>
      <c r="C50" s="66"/>
      <c r="D50" s="35"/>
      <c r="F50" s="41">
        <v>41974</v>
      </c>
      <c r="G50" s="41">
        <v>42001</v>
      </c>
      <c r="H50" s="35" t="s">
        <v>92</v>
      </c>
      <c r="I50" s="35" t="s">
        <v>14</v>
      </c>
      <c r="J50" s="35" t="s">
        <v>12</v>
      </c>
      <c r="L50" s="35" t="s">
        <v>214</v>
      </c>
      <c r="M50" s="43" t="str">
        <f t="shared" si="1"/>
        <v>yrstart</v>
      </c>
      <c r="N50" s="44"/>
      <c r="O50" s="42"/>
    </row>
    <row r="51" spans="1:15" ht="15.75" x14ac:dyDescent="0.25">
      <c r="A51" s="65">
        <v>41998</v>
      </c>
      <c r="B51" s="66" t="str">
        <f t="shared" si="0"/>
        <v>yrstart</v>
      </c>
      <c r="C51" s="66"/>
      <c r="D51" s="35"/>
      <c r="F51" s="41">
        <v>41974</v>
      </c>
      <c r="G51" s="41">
        <v>42001</v>
      </c>
      <c r="H51" s="35" t="s">
        <v>92</v>
      </c>
      <c r="I51" s="35" t="s">
        <v>14</v>
      </c>
      <c r="J51" s="35" t="s">
        <v>12</v>
      </c>
      <c r="L51" s="35" t="s">
        <v>214</v>
      </c>
      <c r="M51" s="43" t="str">
        <f t="shared" si="1"/>
        <v>yrstart</v>
      </c>
      <c r="N51" s="44"/>
      <c r="O51" s="42"/>
    </row>
    <row r="52" spans="1:15" ht="15.75" x14ac:dyDescent="0.25">
      <c r="A52" s="65">
        <v>41999</v>
      </c>
      <c r="B52" s="66" t="str">
        <f t="shared" si="0"/>
        <v>yrstart</v>
      </c>
      <c r="C52" s="66"/>
      <c r="D52" s="35"/>
      <c r="F52" s="41">
        <v>41974</v>
      </c>
      <c r="G52" s="41">
        <v>42001</v>
      </c>
      <c r="H52" s="35" t="s">
        <v>92</v>
      </c>
      <c r="I52" s="35" t="s">
        <v>14</v>
      </c>
      <c r="J52" s="35" t="s">
        <v>12</v>
      </c>
      <c r="L52" s="35" t="s">
        <v>214</v>
      </c>
      <c r="M52" s="43" t="str">
        <f t="shared" si="1"/>
        <v>yrstart</v>
      </c>
      <c r="N52" s="44"/>
      <c r="O52" s="42"/>
    </row>
    <row r="53" spans="1:15" ht="15.75" x14ac:dyDescent="0.25">
      <c r="A53" s="65">
        <v>42000</v>
      </c>
      <c r="B53" s="66" t="str">
        <f t="shared" si="0"/>
        <v>yrstart</v>
      </c>
      <c r="C53" s="66"/>
      <c r="D53" s="35"/>
      <c r="F53" s="41">
        <v>41974</v>
      </c>
      <c r="G53" s="41">
        <v>42001</v>
      </c>
      <c r="H53" s="35" t="s">
        <v>92</v>
      </c>
      <c r="I53" s="35" t="s">
        <v>14</v>
      </c>
      <c r="J53" s="35" t="s">
        <v>12</v>
      </c>
      <c r="L53" s="35" t="s">
        <v>214</v>
      </c>
      <c r="M53" s="43" t="str">
        <f t="shared" si="1"/>
        <v>yrstart</v>
      </c>
      <c r="N53" s="44"/>
      <c r="O53" s="42"/>
    </row>
    <row r="54" spans="1:15" ht="15.75" x14ac:dyDescent="0.25">
      <c r="A54" s="65">
        <v>42001</v>
      </c>
      <c r="B54" s="66" t="str">
        <f t="shared" si="0"/>
        <v>yrstart</v>
      </c>
      <c r="C54" s="66"/>
      <c r="D54" s="35"/>
      <c r="F54" s="41">
        <v>41974</v>
      </c>
      <c r="G54" s="41">
        <v>42001</v>
      </c>
      <c r="H54" s="35" t="s">
        <v>92</v>
      </c>
      <c r="I54" s="35" t="s">
        <v>14</v>
      </c>
      <c r="J54" s="35" t="s">
        <v>12</v>
      </c>
      <c r="L54" s="35" t="s">
        <v>214</v>
      </c>
      <c r="M54" s="43" t="str">
        <f t="shared" si="1"/>
        <v>yrstart</v>
      </c>
      <c r="N54" s="44"/>
      <c r="O54" s="42"/>
    </row>
    <row r="55" spans="1:15" ht="16.5" customHeight="1" x14ac:dyDescent="0.25">
      <c r="A55" s="67">
        <v>42002</v>
      </c>
      <c r="B55" s="68" t="str">
        <f t="shared" si="0"/>
        <v>yrstart</v>
      </c>
      <c r="C55" s="68"/>
      <c r="D55" s="24"/>
      <c r="F55" s="39">
        <v>42002</v>
      </c>
      <c r="G55" s="39">
        <v>42029</v>
      </c>
      <c r="H55" s="24" t="s">
        <v>93</v>
      </c>
      <c r="I55" s="24" t="s">
        <v>17</v>
      </c>
      <c r="J55" s="24" t="s">
        <v>17</v>
      </c>
      <c r="L55" s="24" t="s">
        <v>215</v>
      </c>
      <c r="M55" s="25" t="str">
        <f t="shared" si="1"/>
        <v>yrstart</v>
      </c>
      <c r="N55" s="26" t="s">
        <v>52</v>
      </c>
      <c r="O55" s="40"/>
    </row>
    <row r="56" spans="1:15" ht="15.75" x14ac:dyDescent="0.25">
      <c r="A56" s="77">
        <v>42003</v>
      </c>
      <c r="B56" s="78" t="str">
        <f t="shared" si="0"/>
        <v>yrstart</v>
      </c>
      <c r="C56" s="78"/>
      <c r="D56" s="52"/>
      <c r="F56" s="51">
        <v>42002</v>
      </c>
      <c r="G56" s="51">
        <v>42029</v>
      </c>
      <c r="H56" s="52" t="s">
        <v>93</v>
      </c>
      <c r="I56" s="52" t="s">
        <v>17</v>
      </c>
      <c r="J56" s="52" t="s">
        <v>17</v>
      </c>
      <c r="L56" s="52" t="s">
        <v>215</v>
      </c>
      <c r="M56" s="79" t="str">
        <f t="shared" si="1"/>
        <v>yrstart</v>
      </c>
      <c r="N56" s="80"/>
      <c r="O56" s="81"/>
    </row>
    <row r="57" spans="1:15" ht="15.75" x14ac:dyDescent="0.25">
      <c r="A57" s="77">
        <v>42004</v>
      </c>
      <c r="B57" s="78" t="str">
        <f t="shared" si="0"/>
        <v>yrstart</v>
      </c>
      <c r="C57" s="78"/>
      <c r="D57" s="52"/>
      <c r="F57" s="51">
        <v>42002</v>
      </c>
      <c r="G57" s="51">
        <v>42029</v>
      </c>
      <c r="H57" s="52" t="s">
        <v>93</v>
      </c>
      <c r="I57" s="52" t="s">
        <v>17</v>
      </c>
      <c r="J57" s="52" t="s">
        <v>17</v>
      </c>
      <c r="L57" s="52" t="s">
        <v>215</v>
      </c>
      <c r="M57" s="79" t="str">
        <f t="shared" si="1"/>
        <v>yrstart</v>
      </c>
      <c r="N57" s="80"/>
      <c r="O57" s="81"/>
    </row>
    <row r="58" spans="1:15" ht="15.75" x14ac:dyDescent="0.25">
      <c r="A58" s="77">
        <v>42005</v>
      </c>
      <c r="B58" s="78" t="str">
        <f t="shared" si="0"/>
        <v>yrstart</v>
      </c>
      <c r="C58" s="78"/>
      <c r="D58" s="52"/>
      <c r="F58" s="51">
        <v>42002</v>
      </c>
      <c r="G58" s="51">
        <v>42029</v>
      </c>
      <c r="H58" s="52" t="s">
        <v>93</v>
      </c>
      <c r="I58" s="52" t="s">
        <v>17</v>
      </c>
      <c r="J58" s="52" t="s">
        <v>17</v>
      </c>
      <c r="L58" s="52" t="s">
        <v>215</v>
      </c>
      <c r="M58" s="79" t="str">
        <f t="shared" si="1"/>
        <v>yrstart</v>
      </c>
      <c r="N58" s="80"/>
      <c r="O58" s="81"/>
    </row>
    <row r="59" spans="1:15" ht="15.75" x14ac:dyDescent="0.25">
      <c r="A59" s="77">
        <v>42006</v>
      </c>
      <c r="B59" s="78" t="str">
        <f t="shared" si="0"/>
        <v>yrstart</v>
      </c>
      <c r="C59" s="78"/>
      <c r="D59" s="52"/>
      <c r="F59" s="51">
        <v>42002</v>
      </c>
      <c r="G59" s="51">
        <v>42029</v>
      </c>
      <c r="H59" s="52" t="s">
        <v>93</v>
      </c>
      <c r="I59" s="52" t="s">
        <v>17</v>
      </c>
      <c r="J59" s="52" t="s">
        <v>17</v>
      </c>
      <c r="L59" s="52" t="s">
        <v>215</v>
      </c>
      <c r="M59" s="79" t="str">
        <f t="shared" si="1"/>
        <v>yrstart</v>
      </c>
      <c r="N59" s="80"/>
      <c r="O59" s="81"/>
    </row>
    <row r="60" spans="1:15" ht="15.75" x14ac:dyDescent="0.25">
      <c r="A60" s="77">
        <v>42007</v>
      </c>
      <c r="B60" s="78" t="str">
        <f t="shared" si="0"/>
        <v>yrstart</v>
      </c>
      <c r="C60" s="78"/>
      <c r="D60" s="52"/>
      <c r="F60" s="51">
        <v>42002</v>
      </c>
      <c r="G60" s="51">
        <v>42029</v>
      </c>
      <c r="H60" s="52" t="s">
        <v>93</v>
      </c>
      <c r="I60" s="52" t="s">
        <v>17</v>
      </c>
      <c r="J60" s="52" t="s">
        <v>17</v>
      </c>
      <c r="L60" s="52" t="s">
        <v>215</v>
      </c>
      <c r="M60" s="79" t="str">
        <f t="shared" si="1"/>
        <v>yrstart</v>
      </c>
      <c r="N60" s="80"/>
      <c r="O60" s="81"/>
    </row>
    <row r="61" spans="1:15" ht="15.75" x14ac:dyDescent="0.25">
      <c r="A61" s="77">
        <v>42008</v>
      </c>
      <c r="B61" s="78" t="str">
        <f t="shared" si="0"/>
        <v>yrstart</v>
      </c>
      <c r="C61" s="78"/>
      <c r="D61" s="52"/>
      <c r="F61" s="51">
        <v>42002</v>
      </c>
      <c r="G61" s="51">
        <v>42029</v>
      </c>
      <c r="H61" s="52" t="s">
        <v>93</v>
      </c>
      <c r="I61" s="52" t="s">
        <v>17</v>
      </c>
      <c r="J61" s="52" t="s">
        <v>17</v>
      </c>
      <c r="L61" s="52" t="s">
        <v>215</v>
      </c>
      <c r="M61" s="79" t="str">
        <f t="shared" si="1"/>
        <v>yrstart</v>
      </c>
      <c r="N61" s="80"/>
      <c r="O61" s="81"/>
    </row>
    <row r="62" spans="1:15" ht="15.75" x14ac:dyDescent="0.25">
      <c r="A62" s="77">
        <v>42009</v>
      </c>
      <c r="B62" s="78" t="str">
        <f t="shared" si="0"/>
        <v>yrstart</v>
      </c>
      <c r="C62" s="78"/>
      <c r="D62" s="52"/>
      <c r="F62" s="51">
        <v>42002</v>
      </c>
      <c r="G62" s="51">
        <v>42029</v>
      </c>
      <c r="H62" s="52" t="s">
        <v>93</v>
      </c>
      <c r="I62" s="52" t="s">
        <v>17</v>
      </c>
      <c r="J62" s="52" t="s">
        <v>17</v>
      </c>
      <c r="L62" s="52" t="s">
        <v>215</v>
      </c>
      <c r="M62" s="79" t="str">
        <f t="shared" si="1"/>
        <v>yrstart</v>
      </c>
      <c r="N62" s="80"/>
      <c r="O62" s="81"/>
    </row>
    <row r="63" spans="1:15" ht="15.75" x14ac:dyDescent="0.25">
      <c r="A63" s="77">
        <v>42010</v>
      </c>
      <c r="B63" s="78" t="str">
        <f t="shared" si="0"/>
        <v>yrstart</v>
      </c>
      <c r="C63" s="78"/>
      <c r="D63" s="52"/>
      <c r="F63" s="51">
        <v>42002</v>
      </c>
      <c r="G63" s="51">
        <v>42029</v>
      </c>
      <c r="H63" s="52" t="s">
        <v>93</v>
      </c>
      <c r="I63" s="52" t="s">
        <v>17</v>
      </c>
      <c r="J63" s="52" t="s">
        <v>17</v>
      </c>
      <c r="L63" s="52" t="s">
        <v>215</v>
      </c>
      <c r="M63" s="79" t="str">
        <f t="shared" si="1"/>
        <v>yrstart</v>
      </c>
      <c r="N63" s="80"/>
      <c r="O63" s="81"/>
    </row>
    <row r="64" spans="1:15" ht="15.75" x14ac:dyDescent="0.25">
      <c r="A64" s="77">
        <v>42011</v>
      </c>
      <c r="B64" s="78" t="str">
        <f t="shared" si="0"/>
        <v>yrstart</v>
      </c>
      <c r="C64" s="78"/>
      <c r="D64" s="52"/>
      <c r="F64" s="51">
        <v>42002</v>
      </c>
      <c r="G64" s="51">
        <v>42029</v>
      </c>
      <c r="H64" s="52" t="s">
        <v>93</v>
      </c>
      <c r="I64" s="52" t="s">
        <v>17</v>
      </c>
      <c r="J64" s="52" t="s">
        <v>17</v>
      </c>
      <c r="L64" s="52" t="s">
        <v>215</v>
      </c>
      <c r="M64" s="79" t="str">
        <f t="shared" si="1"/>
        <v>yrstart</v>
      </c>
      <c r="N64" s="80"/>
      <c r="O64" s="81"/>
    </row>
    <row r="65" spans="1:15" ht="15.75" x14ac:dyDescent="0.25">
      <c r="A65" s="77">
        <v>42012</v>
      </c>
      <c r="B65" s="78" t="str">
        <f t="shared" si="0"/>
        <v>yrstart</v>
      </c>
      <c r="C65" s="78"/>
      <c r="D65" s="52"/>
      <c r="F65" s="51">
        <v>42002</v>
      </c>
      <c r="G65" s="51">
        <v>42029</v>
      </c>
      <c r="H65" s="52" t="s">
        <v>93</v>
      </c>
      <c r="I65" s="52" t="s">
        <v>17</v>
      </c>
      <c r="J65" s="52" t="s">
        <v>17</v>
      </c>
      <c r="L65" s="52" t="s">
        <v>215</v>
      </c>
      <c r="M65" s="79" t="str">
        <f t="shared" si="1"/>
        <v>yrstart</v>
      </c>
      <c r="N65" s="80"/>
      <c r="O65" s="81"/>
    </row>
    <row r="66" spans="1:15" ht="15.75" x14ac:dyDescent="0.25">
      <c r="A66" s="77">
        <v>42013</v>
      </c>
      <c r="B66" s="78" t="str">
        <f t="shared" si="0"/>
        <v>yrstart</v>
      </c>
      <c r="C66" s="78"/>
      <c r="D66" s="52"/>
      <c r="F66" s="51">
        <v>42002</v>
      </c>
      <c r="G66" s="51">
        <v>42029</v>
      </c>
      <c r="H66" s="52" t="s">
        <v>93</v>
      </c>
      <c r="I66" s="52" t="s">
        <v>17</v>
      </c>
      <c r="J66" s="52" t="s">
        <v>17</v>
      </c>
      <c r="L66" s="52" t="s">
        <v>215</v>
      </c>
      <c r="M66" s="79" t="str">
        <f t="shared" si="1"/>
        <v>yrstart</v>
      </c>
      <c r="N66" s="80"/>
      <c r="O66" s="81"/>
    </row>
    <row r="67" spans="1:15" ht="15.75" x14ac:dyDescent="0.25">
      <c r="A67" s="77">
        <v>42014</v>
      </c>
      <c r="B67" s="78" t="str">
        <f t="shared" si="0"/>
        <v>yrstart</v>
      </c>
      <c r="C67" s="78"/>
      <c r="D67" s="52"/>
      <c r="F67" s="51">
        <v>42002</v>
      </c>
      <c r="G67" s="51">
        <v>42029</v>
      </c>
      <c r="H67" s="52" t="s">
        <v>93</v>
      </c>
      <c r="I67" s="52" t="s">
        <v>17</v>
      </c>
      <c r="J67" s="52" t="s">
        <v>17</v>
      </c>
      <c r="L67" s="52" t="s">
        <v>215</v>
      </c>
      <c r="M67" s="79" t="str">
        <f t="shared" si="1"/>
        <v>yrstart</v>
      </c>
      <c r="N67" s="80"/>
      <c r="O67" s="81"/>
    </row>
    <row r="68" spans="1:15" ht="15.75" x14ac:dyDescent="0.25">
      <c r="A68" s="65">
        <v>47109</v>
      </c>
      <c r="B68" s="66" t="str">
        <f t="shared" si="0"/>
        <v>yrstart</v>
      </c>
      <c r="C68" s="66"/>
      <c r="D68" s="35"/>
      <c r="F68" s="41">
        <v>47084</v>
      </c>
      <c r="G68" s="41">
        <v>47118</v>
      </c>
      <c r="H68" s="35" t="s">
        <v>103</v>
      </c>
      <c r="I68" s="35" t="s">
        <v>14</v>
      </c>
      <c r="J68" s="35" t="s">
        <v>12</v>
      </c>
      <c r="L68" s="35" t="s">
        <v>211</v>
      </c>
      <c r="M68" s="43" t="str">
        <f t="shared" si="1"/>
        <v>yrstart</v>
      </c>
      <c r="N68" s="44"/>
      <c r="O68" s="42"/>
    </row>
    <row r="69" spans="1:15" ht="15.75" x14ac:dyDescent="0.25">
      <c r="A69" s="65">
        <v>47110</v>
      </c>
      <c r="B69" s="66" t="str">
        <f t="shared" si="0"/>
        <v>yrstart</v>
      </c>
      <c r="C69" s="84"/>
      <c r="D69" s="35"/>
      <c r="F69" s="41">
        <v>47084</v>
      </c>
      <c r="G69" s="41">
        <v>47118</v>
      </c>
      <c r="H69" s="35" t="s">
        <v>103</v>
      </c>
      <c r="I69" s="35" t="s">
        <v>14</v>
      </c>
      <c r="J69" s="35" t="s">
        <v>12</v>
      </c>
      <c r="L69" s="35" t="s">
        <v>211</v>
      </c>
      <c r="M69" s="43" t="str">
        <f t="shared" si="1"/>
        <v>yrstart</v>
      </c>
      <c r="N69" s="44"/>
      <c r="O69" s="42"/>
    </row>
    <row r="70" spans="1:15" ht="15.75" x14ac:dyDescent="0.25">
      <c r="A70" s="65">
        <v>47111</v>
      </c>
      <c r="B70" s="66" t="str">
        <f t="shared" si="0"/>
        <v>yrstart</v>
      </c>
      <c r="C70" s="84"/>
      <c r="D70" s="35"/>
      <c r="F70" s="41">
        <v>47084</v>
      </c>
      <c r="G70" s="41">
        <v>47118</v>
      </c>
      <c r="H70" s="35" t="s">
        <v>103</v>
      </c>
      <c r="I70" s="35" t="s">
        <v>14</v>
      </c>
      <c r="J70" s="35" t="s">
        <v>12</v>
      </c>
      <c r="L70" s="35" t="s">
        <v>211</v>
      </c>
      <c r="M70" s="43" t="str">
        <f t="shared" si="1"/>
        <v>yrstart</v>
      </c>
      <c r="N70" s="44"/>
      <c r="O70" s="42"/>
    </row>
    <row r="71" spans="1:15" ht="15.75" x14ac:dyDescent="0.25">
      <c r="A71" s="65">
        <v>47112</v>
      </c>
      <c r="B71" s="66" t="str">
        <f t="shared" si="0"/>
        <v>yrstart</v>
      </c>
      <c r="C71" s="84"/>
      <c r="D71" s="35"/>
      <c r="F71" s="41">
        <v>47084</v>
      </c>
      <c r="G71" s="41">
        <v>47118</v>
      </c>
      <c r="H71" s="35" t="s">
        <v>103</v>
      </c>
      <c r="I71" s="35" t="s">
        <v>14</v>
      </c>
      <c r="J71" s="35" t="s">
        <v>12</v>
      </c>
      <c r="L71" s="35" t="s">
        <v>211</v>
      </c>
      <c r="M71" s="43" t="str">
        <f t="shared" si="1"/>
        <v>yrstart</v>
      </c>
      <c r="N71" s="44"/>
      <c r="O71" s="42"/>
    </row>
    <row r="72" spans="1:15" ht="15.75" x14ac:dyDescent="0.25">
      <c r="A72" s="65">
        <v>47113</v>
      </c>
      <c r="B72" s="66" t="str">
        <f t="shared" si="0"/>
        <v>yrstart</v>
      </c>
      <c r="C72" s="84"/>
      <c r="D72" s="35"/>
      <c r="F72" s="41">
        <v>47084</v>
      </c>
      <c r="G72" s="41">
        <v>47118</v>
      </c>
      <c r="H72" s="35" t="s">
        <v>103</v>
      </c>
      <c r="I72" s="35" t="s">
        <v>14</v>
      </c>
      <c r="J72" s="35" t="s">
        <v>12</v>
      </c>
      <c r="L72" s="35" t="s">
        <v>211</v>
      </c>
      <c r="M72" s="43" t="str">
        <f t="shared" si="1"/>
        <v>yrstart</v>
      </c>
      <c r="N72" s="44"/>
      <c r="O72" s="42"/>
    </row>
    <row r="73" spans="1:15" ht="15.75" x14ac:dyDescent="0.25">
      <c r="A73" s="65">
        <v>47114</v>
      </c>
      <c r="B73" s="66" t="str">
        <f t="shared" ref="B73:B87" si="2">$M$1</f>
        <v>yrstart</v>
      </c>
      <c r="C73" s="84"/>
      <c r="D73" s="35"/>
      <c r="F73" s="41">
        <v>47084</v>
      </c>
      <c r="G73" s="41">
        <v>47118</v>
      </c>
      <c r="H73" s="35" t="s">
        <v>103</v>
      </c>
      <c r="I73" s="35" t="s">
        <v>14</v>
      </c>
      <c r="J73" s="35" t="s">
        <v>12</v>
      </c>
      <c r="L73" s="35" t="s">
        <v>211</v>
      </c>
      <c r="M73" s="43" t="str">
        <f t="shared" ref="M73:M87" si="3">B73</f>
        <v>yrstart</v>
      </c>
      <c r="N73" s="44"/>
      <c r="O73" s="42"/>
    </row>
    <row r="74" spans="1:15" ht="15.75" x14ac:dyDescent="0.25">
      <c r="A74" s="65">
        <v>47115</v>
      </c>
      <c r="B74" s="66" t="str">
        <f t="shared" si="2"/>
        <v>yrstart</v>
      </c>
      <c r="C74" s="84"/>
      <c r="D74" s="35"/>
      <c r="F74" s="41">
        <v>47084</v>
      </c>
      <c r="G74" s="41">
        <v>47118</v>
      </c>
      <c r="H74" s="35" t="s">
        <v>103</v>
      </c>
      <c r="I74" s="35" t="s">
        <v>14</v>
      </c>
      <c r="J74" s="35" t="s">
        <v>12</v>
      </c>
      <c r="L74" s="35" t="s">
        <v>211</v>
      </c>
      <c r="M74" s="43" t="str">
        <f t="shared" si="3"/>
        <v>yrstart</v>
      </c>
      <c r="N74" s="44"/>
      <c r="O74" s="42"/>
    </row>
    <row r="75" spans="1:15" ht="15.75" x14ac:dyDescent="0.25">
      <c r="A75" s="65">
        <v>47116</v>
      </c>
      <c r="B75" s="66" t="str">
        <f t="shared" si="2"/>
        <v>yrstart</v>
      </c>
      <c r="C75" s="84"/>
      <c r="D75" s="35"/>
      <c r="F75" s="41">
        <v>47084</v>
      </c>
      <c r="G75" s="41">
        <v>47118</v>
      </c>
      <c r="H75" s="35" t="s">
        <v>103</v>
      </c>
      <c r="I75" s="35" t="s">
        <v>14</v>
      </c>
      <c r="J75" s="35" t="s">
        <v>12</v>
      </c>
      <c r="L75" s="35" t="s">
        <v>211</v>
      </c>
      <c r="M75" s="43" t="str">
        <f t="shared" si="3"/>
        <v>yrstart</v>
      </c>
      <c r="N75" s="44"/>
      <c r="O75" s="42"/>
    </row>
    <row r="76" spans="1:15" ht="15.75" x14ac:dyDescent="0.25">
      <c r="A76" s="65">
        <v>47117</v>
      </c>
      <c r="B76" s="66" t="str">
        <f t="shared" si="2"/>
        <v>yrstart</v>
      </c>
      <c r="C76" s="84"/>
      <c r="D76" s="35"/>
      <c r="F76" s="41">
        <v>47084</v>
      </c>
      <c r="G76" s="41">
        <v>47118</v>
      </c>
      <c r="H76" s="35" t="s">
        <v>103</v>
      </c>
      <c r="I76" s="35" t="s">
        <v>14</v>
      </c>
      <c r="J76" s="35" t="s">
        <v>12</v>
      </c>
      <c r="L76" s="35" t="s">
        <v>211</v>
      </c>
      <c r="M76" s="43" t="str">
        <f t="shared" si="3"/>
        <v>yrstart</v>
      </c>
      <c r="N76" s="44"/>
      <c r="O76" s="42"/>
    </row>
    <row r="77" spans="1:15" ht="15.75" x14ac:dyDescent="0.25">
      <c r="A77" s="65">
        <v>47118</v>
      </c>
      <c r="B77" s="66" t="str">
        <f t="shared" si="2"/>
        <v>yrstart</v>
      </c>
      <c r="C77" s="84"/>
      <c r="D77" s="35"/>
      <c r="F77" s="41">
        <v>47084</v>
      </c>
      <c r="G77" s="41">
        <v>47118</v>
      </c>
      <c r="H77" s="35" t="s">
        <v>103</v>
      </c>
      <c r="I77" s="35" t="s">
        <v>14</v>
      </c>
      <c r="J77" s="35" t="s">
        <v>12</v>
      </c>
      <c r="L77" s="35" t="s">
        <v>211</v>
      </c>
      <c r="M77" s="43" t="str">
        <f t="shared" si="3"/>
        <v>yrstart</v>
      </c>
      <c r="N77" s="44"/>
      <c r="O77" s="42"/>
    </row>
    <row r="78" spans="1:15" ht="15.75" x14ac:dyDescent="0.25">
      <c r="A78" s="67">
        <v>47119</v>
      </c>
      <c r="B78" s="68" t="str">
        <f t="shared" si="2"/>
        <v>yrstart</v>
      </c>
      <c r="C78" s="83"/>
      <c r="D78" s="24"/>
      <c r="F78" s="39">
        <v>47119</v>
      </c>
      <c r="G78" s="39">
        <v>47146</v>
      </c>
      <c r="H78" s="24" t="s">
        <v>105</v>
      </c>
      <c r="I78" s="24" t="s">
        <v>17</v>
      </c>
      <c r="J78" s="24" t="s">
        <v>17</v>
      </c>
      <c r="L78" s="24" t="s">
        <v>212</v>
      </c>
      <c r="M78" s="25" t="str">
        <f t="shared" si="3"/>
        <v>yrstart</v>
      </c>
      <c r="N78" s="26" t="s">
        <v>52</v>
      </c>
      <c r="O78" s="40"/>
    </row>
    <row r="79" spans="1:15" ht="15.75" x14ac:dyDescent="0.25">
      <c r="A79" s="77">
        <v>47120</v>
      </c>
      <c r="B79" s="78" t="str">
        <f t="shared" si="2"/>
        <v>yrstart</v>
      </c>
      <c r="C79" s="85"/>
      <c r="D79" s="52"/>
      <c r="F79" s="51">
        <v>47119</v>
      </c>
      <c r="G79" s="51">
        <v>47146</v>
      </c>
      <c r="H79" s="52" t="s">
        <v>105</v>
      </c>
      <c r="I79" s="52" t="s">
        <v>17</v>
      </c>
      <c r="J79" s="52" t="s">
        <v>17</v>
      </c>
      <c r="L79" s="52" t="s">
        <v>212</v>
      </c>
      <c r="M79" s="79" t="str">
        <f t="shared" si="3"/>
        <v>yrstart</v>
      </c>
      <c r="N79" s="80"/>
      <c r="O79" s="81"/>
    </row>
    <row r="80" spans="1:15" ht="15.75" x14ac:dyDescent="0.25">
      <c r="A80" s="77">
        <v>47121</v>
      </c>
      <c r="B80" s="78" t="str">
        <f t="shared" si="2"/>
        <v>yrstart</v>
      </c>
      <c r="C80" s="85"/>
      <c r="D80" s="52"/>
      <c r="F80" s="51">
        <v>47119</v>
      </c>
      <c r="G80" s="51">
        <v>47146</v>
      </c>
      <c r="H80" s="52" t="s">
        <v>105</v>
      </c>
      <c r="I80" s="52" t="s">
        <v>17</v>
      </c>
      <c r="J80" s="52" t="s">
        <v>17</v>
      </c>
      <c r="L80" s="52" t="s">
        <v>212</v>
      </c>
      <c r="M80" s="79" t="str">
        <f t="shared" si="3"/>
        <v>yrstart</v>
      </c>
      <c r="N80" s="80"/>
      <c r="O80" s="81"/>
    </row>
    <row r="81" spans="1:15" ht="15.75" x14ac:dyDescent="0.25">
      <c r="A81" s="77">
        <v>47122</v>
      </c>
      <c r="B81" s="78" t="str">
        <f t="shared" si="2"/>
        <v>yrstart</v>
      </c>
      <c r="C81" s="85"/>
      <c r="D81" s="52"/>
      <c r="F81" s="51">
        <v>47119</v>
      </c>
      <c r="G81" s="51">
        <v>47146</v>
      </c>
      <c r="H81" s="52" t="s">
        <v>105</v>
      </c>
      <c r="I81" s="52" t="s">
        <v>17</v>
      </c>
      <c r="J81" s="52" t="s">
        <v>17</v>
      </c>
      <c r="L81" s="52" t="s">
        <v>212</v>
      </c>
      <c r="M81" s="79" t="str">
        <f t="shared" si="3"/>
        <v>yrstart</v>
      </c>
      <c r="N81" s="80"/>
      <c r="O81" s="81"/>
    </row>
    <row r="82" spans="1:15" ht="15.75" x14ac:dyDescent="0.25">
      <c r="A82" s="77">
        <v>47123</v>
      </c>
      <c r="B82" s="78" t="str">
        <f t="shared" si="2"/>
        <v>yrstart</v>
      </c>
      <c r="C82" s="85"/>
      <c r="D82" s="52"/>
      <c r="F82" s="51">
        <v>47119</v>
      </c>
      <c r="G82" s="51">
        <v>47146</v>
      </c>
      <c r="H82" s="52" t="s">
        <v>105</v>
      </c>
      <c r="I82" s="52" t="s">
        <v>17</v>
      </c>
      <c r="J82" s="52" t="s">
        <v>17</v>
      </c>
      <c r="L82" s="52" t="s">
        <v>212</v>
      </c>
      <c r="M82" s="79" t="str">
        <f t="shared" si="3"/>
        <v>yrstart</v>
      </c>
      <c r="N82" s="80"/>
      <c r="O82" s="81"/>
    </row>
    <row r="83" spans="1:15" ht="15.75" x14ac:dyDescent="0.25">
      <c r="A83" s="77">
        <v>47124</v>
      </c>
      <c r="B83" s="78" t="str">
        <f t="shared" si="2"/>
        <v>yrstart</v>
      </c>
      <c r="C83" s="85"/>
      <c r="D83" s="52"/>
      <c r="F83" s="51">
        <v>47119</v>
      </c>
      <c r="G83" s="51">
        <v>47146</v>
      </c>
      <c r="H83" s="52" t="s">
        <v>105</v>
      </c>
      <c r="I83" s="52" t="s">
        <v>17</v>
      </c>
      <c r="J83" s="52" t="s">
        <v>17</v>
      </c>
      <c r="L83" s="52" t="s">
        <v>212</v>
      </c>
      <c r="M83" s="79" t="str">
        <f t="shared" si="3"/>
        <v>yrstart</v>
      </c>
      <c r="N83" s="80"/>
      <c r="O83" s="81"/>
    </row>
    <row r="84" spans="1:15" ht="15.75" x14ac:dyDescent="0.25">
      <c r="A84" s="77">
        <v>47125</v>
      </c>
      <c r="B84" s="78" t="str">
        <f t="shared" si="2"/>
        <v>yrstart</v>
      </c>
      <c r="C84" s="85"/>
      <c r="D84" s="52"/>
      <c r="F84" s="51">
        <v>47119</v>
      </c>
      <c r="G84" s="51">
        <v>47146</v>
      </c>
      <c r="H84" s="52" t="s">
        <v>105</v>
      </c>
      <c r="I84" s="52" t="s">
        <v>17</v>
      </c>
      <c r="J84" s="52" t="s">
        <v>17</v>
      </c>
      <c r="L84" s="52" t="s">
        <v>212</v>
      </c>
      <c r="M84" s="79" t="str">
        <f t="shared" si="3"/>
        <v>yrstart</v>
      </c>
      <c r="N84" s="80"/>
      <c r="O84" s="81"/>
    </row>
    <row r="85" spans="1:15" ht="15.75" x14ac:dyDescent="0.25">
      <c r="A85" s="77">
        <v>47126</v>
      </c>
      <c r="B85" s="78" t="str">
        <f t="shared" si="2"/>
        <v>yrstart</v>
      </c>
      <c r="C85" s="85"/>
      <c r="D85" s="52"/>
      <c r="F85" s="51">
        <v>47119</v>
      </c>
      <c r="G85" s="51">
        <v>47146</v>
      </c>
      <c r="H85" s="52" t="s">
        <v>105</v>
      </c>
      <c r="I85" s="52" t="s">
        <v>17</v>
      </c>
      <c r="J85" s="52" t="s">
        <v>17</v>
      </c>
      <c r="L85" s="52" t="s">
        <v>212</v>
      </c>
      <c r="M85" s="79" t="str">
        <f t="shared" si="3"/>
        <v>yrstart</v>
      </c>
      <c r="N85" s="80"/>
      <c r="O85" s="81"/>
    </row>
    <row r="86" spans="1:15" ht="15.75" x14ac:dyDescent="0.25">
      <c r="A86" s="77">
        <v>47127</v>
      </c>
      <c r="B86" s="78" t="str">
        <f t="shared" si="2"/>
        <v>yrstart</v>
      </c>
      <c r="C86" s="85"/>
      <c r="D86" s="52"/>
      <c r="F86" s="51">
        <v>47119</v>
      </c>
      <c r="G86" s="51">
        <v>47146</v>
      </c>
      <c r="H86" s="52" t="s">
        <v>105</v>
      </c>
      <c r="I86" s="52" t="s">
        <v>17</v>
      </c>
      <c r="J86" s="52" t="s">
        <v>17</v>
      </c>
      <c r="L86" s="52" t="s">
        <v>212</v>
      </c>
      <c r="M86" s="79" t="str">
        <f t="shared" si="3"/>
        <v>yrstart</v>
      </c>
      <c r="N86" s="80"/>
      <c r="O86" s="81"/>
    </row>
    <row r="87" spans="1:15" ht="15.75" x14ac:dyDescent="0.25">
      <c r="A87" s="77">
        <v>47128</v>
      </c>
      <c r="B87" s="78" t="str">
        <f t="shared" si="2"/>
        <v>yrstart</v>
      </c>
      <c r="C87" s="85"/>
      <c r="D87" s="52"/>
      <c r="F87" s="51">
        <v>47119</v>
      </c>
      <c r="G87" s="51">
        <v>47146</v>
      </c>
      <c r="H87" s="52" t="s">
        <v>105</v>
      </c>
      <c r="I87" s="52" t="s">
        <v>17</v>
      </c>
      <c r="J87" s="52" t="s">
        <v>17</v>
      </c>
      <c r="L87" s="52" t="s">
        <v>212</v>
      </c>
      <c r="M87" s="79" t="str">
        <f t="shared" si="3"/>
        <v>yrstart</v>
      </c>
      <c r="N87" s="80"/>
      <c r="O87" s="81"/>
    </row>
    <row r="88" spans="1:15" ht="15.75" x14ac:dyDescent="0.25">
      <c r="A88" s="1"/>
      <c r="B88" s="56"/>
      <c r="C88" s="57"/>
      <c r="F88" s="1"/>
      <c r="G88" s="1"/>
      <c r="M88" s="17"/>
      <c r="N88" s="19"/>
      <c r="O88" s="3"/>
    </row>
    <row r="89" spans="1:15" ht="15.75" x14ac:dyDescent="0.25">
      <c r="A89" s="1"/>
      <c r="B89" s="56"/>
      <c r="C89" s="57"/>
      <c r="E89" s="82"/>
      <c r="F89" s="1"/>
      <c r="G89" s="1"/>
      <c r="M89" s="17"/>
      <c r="N89" s="19"/>
      <c r="O89" s="3"/>
    </row>
    <row r="90" spans="1:15" ht="15.75" x14ac:dyDescent="0.25">
      <c r="A90" s="1"/>
      <c r="B90" s="56"/>
      <c r="C90" s="57"/>
      <c r="E90" s="82"/>
      <c r="F90" s="1"/>
      <c r="G90" s="1"/>
      <c r="M90" s="17"/>
      <c r="N90" s="19"/>
      <c r="O90" s="3"/>
    </row>
    <row r="91" spans="1:15" ht="15.75" x14ac:dyDescent="0.25">
      <c r="A91" s="1"/>
      <c r="B91" s="56"/>
      <c r="C91" s="57"/>
      <c r="E91" s="82"/>
      <c r="F91" s="1"/>
      <c r="G91" s="1"/>
      <c r="M91" s="17"/>
      <c r="N91" s="19"/>
      <c r="O91" s="3"/>
    </row>
    <row r="92" spans="1:15" ht="15.75" x14ac:dyDescent="0.25">
      <c r="A92" s="1"/>
      <c r="B92" s="56"/>
      <c r="C92" s="57"/>
      <c r="E92" s="82"/>
      <c r="F92" s="1"/>
      <c r="G92" s="1"/>
      <c r="M92" s="17"/>
      <c r="N92" s="19"/>
      <c r="O92" s="3"/>
    </row>
    <row r="93" spans="1:15" ht="15.75" x14ac:dyDescent="0.25">
      <c r="A93" s="1"/>
      <c r="B93" s="56"/>
      <c r="C93" s="57"/>
      <c r="E93" s="82"/>
      <c r="F93" s="1"/>
      <c r="G93" s="1"/>
      <c r="M93" s="17"/>
      <c r="N93" s="19"/>
      <c r="O93" s="3"/>
    </row>
    <row r="94" spans="1:15" ht="15.75" x14ac:dyDescent="0.25">
      <c r="A94" s="1"/>
      <c r="B94" s="56"/>
      <c r="C94" s="57"/>
      <c r="E94" s="82"/>
      <c r="F94" s="1"/>
      <c r="G94" s="1"/>
      <c r="M94" s="17"/>
      <c r="N94" s="19"/>
      <c r="O94" s="3"/>
    </row>
    <row r="95" spans="1:15" ht="15.75" x14ac:dyDescent="0.25">
      <c r="A95" s="1"/>
      <c r="B95" s="56"/>
      <c r="C95" s="57"/>
      <c r="E95" s="82"/>
      <c r="F95" s="1"/>
      <c r="G95" s="1"/>
      <c r="M95" s="17"/>
      <c r="N95" s="19"/>
      <c r="O95" s="3"/>
    </row>
    <row r="96" spans="1:15" ht="15.75" x14ac:dyDescent="0.25">
      <c r="A96" s="1"/>
      <c r="B96" s="56"/>
      <c r="C96" s="57"/>
      <c r="E96" s="82"/>
      <c r="F96" s="1"/>
      <c r="G96" s="1"/>
      <c r="M96" s="17"/>
      <c r="N96" s="19"/>
      <c r="O96" s="3"/>
    </row>
    <row r="97" spans="1:15" ht="15.75" x14ac:dyDescent="0.25">
      <c r="A97" s="1"/>
      <c r="B97" s="56"/>
      <c r="C97" s="57"/>
      <c r="E97" s="82"/>
      <c r="F97" s="1"/>
      <c r="G97" s="1"/>
      <c r="M97" s="17"/>
      <c r="N97" s="19"/>
      <c r="O97" s="3"/>
    </row>
    <row r="98" spans="1:15" ht="15.75" x14ac:dyDescent="0.25">
      <c r="A98" s="1"/>
      <c r="B98" s="56"/>
      <c r="C98" s="57"/>
      <c r="E98" s="82"/>
      <c r="F98" s="1"/>
      <c r="G98" s="1"/>
      <c r="M98" s="17"/>
      <c r="N98" s="19"/>
      <c r="O98" s="3"/>
    </row>
    <row r="99" spans="1:15" ht="15.75" x14ac:dyDescent="0.25">
      <c r="A99" s="1"/>
      <c r="B99" s="56"/>
      <c r="C99" s="57"/>
      <c r="E99" s="82"/>
      <c r="F99" s="1"/>
      <c r="G99" s="1"/>
      <c r="M99" s="17"/>
      <c r="N99" s="19"/>
      <c r="O99" s="3"/>
    </row>
    <row r="100" spans="1:15" x14ac:dyDescent="0.25">
      <c r="A100" s="1"/>
      <c r="B100" s="3"/>
      <c r="E100" s="82"/>
      <c r="F100" s="1"/>
      <c r="G100" s="1"/>
      <c r="M100" s="1"/>
    </row>
    <row r="101" spans="1:15" x14ac:dyDescent="0.25">
      <c r="A101" s="1"/>
      <c r="B101" s="3"/>
      <c r="E101" s="82"/>
      <c r="F101" s="1"/>
      <c r="G101" s="1"/>
      <c r="M101" s="1"/>
    </row>
    <row r="102" spans="1:15" x14ac:dyDescent="0.25">
      <c r="A102" s="1"/>
      <c r="B102" s="3"/>
      <c r="E102" s="82"/>
      <c r="F102" s="1"/>
      <c r="G102" s="1"/>
      <c r="M102" s="1"/>
    </row>
    <row r="103" spans="1:15" x14ac:dyDescent="0.25">
      <c r="A103" s="1"/>
      <c r="B103" s="3"/>
      <c r="E103" s="82"/>
      <c r="F103" s="1"/>
      <c r="G103" s="1"/>
      <c r="M103" s="1"/>
    </row>
    <row r="104" spans="1:15" x14ac:dyDescent="0.25">
      <c r="A104" s="1"/>
      <c r="B104" s="3"/>
      <c r="E104" s="82"/>
      <c r="F104" s="1"/>
      <c r="G104" s="1"/>
      <c r="M104" s="1"/>
    </row>
    <row r="105" spans="1:15" x14ac:dyDescent="0.25">
      <c r="A105" s="1"/>
      <c r="B105" s="3"/>
      <c r="E105" s="82"/>
      <c r="F105" s="1"/>
      <c r="G105" s="1"/>
      <c r="M105" s="1"/>
    </row>
    <row r="106" spans="1:15" x14ac:dyDescent="0.25">
      <c r="A106" s="1"/>
      <c r="B106" s="3"/>
      <c r="E106" s="82"/>
      <c r="F106" s="1"/>
      <c r="G106" s="1"/>
      <c r="M106" s="1"/>
    </row>
    <row r="107" spans="1:15" x14ac:dyDescent="0.25">
      <c r="A107" s="1"/>
      <c r="B107" s="3"/>
      <c r="E107" s="82"/>
      <c r="F107" s="1"/>
      <c r="G107" s="1"/>
      <c r="M107" s="1"/>
    </row>
    <row r="108" spans="1:15" x14ac:dyDescent="0.25">
      <c r="A108" s="1"/>
      <c r="B108" s="3"/>
      <c r="E108" s="82"/>
      <c r="F108" s="1"/>
      <c r="G108" s="1"/>
      <c r="M108" s="1"/>
    </row>
    <row r="109" spans="1:15" x14ac:dyDescent="0.25">
      <c r="A109" s="1"/>
      <c r="B109" s="3"/>
      <c r="E109" s="82"/>
      <c r="F109" s="1"/>
      <c r="G109" s="1"/>
      <c r="M109" s="1"/>
    </row>
    <row r="110" spans="1:15" x14ac:dyDescent="0.25">
      <c r="A110" s="1"/>
      <c r="B110" s="3"/>
      <c r="E110" s="82"/>
      <c r="F110" s="1"/>
      <c r="G110" s="1"/>
      <c r="M110" s="1"/>
    </row>
    <row r="111" spans="1:15" x14ac:dyDescent="0.25">
      <c r="A111" s="1"/>
      <c r="B111" s="3"/>
      <c r="E111" s="82"/>
      <c r="F111" s="1"/>
      <c r="G111" s="1"/>
      <c r="M111" s="1"/>
    </row>
    <row r="112" spans="1:15" x14ac:dyDescent="0.25">
      <c r="A112" s="1"/>
      <c r="B112" s="3"/>
      <c r="E112" s="82"/>
      <c r="F112" s="1"/>
      <c r="G112" s="1"/>
      <c r="M112" s="1"/>
    </row>
    <row r="113" spans="1:13" x14ac:dyDescent="0.25">
      <c r="A113" s="1"/>
      <c r="B113" s="3"/>
      <c r="E113" s="82"/>
      <c r="F113" s="1"/>
      <c r="G113" s="1"/>
      <c r="M113" s="1"/>
    </row>
    <row r="114" spans="1:13" x14ac:dyDescent="0.25">
      <c r="A114" s="1"/>
      <c r="B114" s="3"/>
      <c r="E114" s="82"/>
      <c r="F114" s="1"/>
      <c r="G114" s="1"/>
      <c r="M114" s="1"/>
    </row>
    <row r="115" spans="1:13" x14ac:dyDescent="0.25">
      <c r="A115" s="1"/>
      <c r="B115" s="3"/>
      <c r="E115" s="82"/>
      <c r="F115" s="1"/>
      <c r="G115" s="1"/>
    </row>
    <row r="116" spans="1:13" x14ac:dyDescent="0.25">
      <c r="A116" s="1"/>
      <c r="B116" s="3"/>
      <c r="E116" s="82"/>
      <c r="F116" s="1"/>
      <c r="G116" s="1"/>
    </row>
    <row r="117" spans="1:13" x14ac:dyDescent="0.25">
      <c r="A117" s="1"/>
      <c r="B117" s="3"/>
      <c r="E117" s="82"/>
      <c r="F117" s="1"/>
      <c r="G117" s="1"/>
    </row>
    <row r="118" spans="1:13" x14ac:dyDescent="0.25">
      <c r="A118" s="1"/>
      <c r="B118" s="3"/>
      <c r="E118" s="82"/>
      <c r="F118" s="1"/>
      <c r="G118" s="1"/>
    </row>
    <row r="119" spans="1:13" x14ac:dyDescent="0.25">
      <c r="A119" s="1"/>
      <c r="B119" s="3"/>
      <c r="E119" s="82"/>
      <c r="F119" s="1"/>
      <c r="G119" s="1"/>
    </row>
    <row r="120" spans="1:13" x14ac:dyDescent="0.25">
      <c r="A120" s="1"/>
      <c r="B120" s="3"/>
      <c r="E120" s="82"/>
      <c r="F120" s="1"/>
      <c r="G120" s="1"/>
    </row>
    <row r="121" spans="1:13" x14ac:dyDescent="0.25">
      <c r="A121" s="1"/>
      <c r="B121" s="3"/>
      <c r="E121" s="82"/>
      <c r="F121" s="1"/>
      <c r="G121" s="1"/>
    </row>
    <row r="122" spans="1:13" x14ac:dyDescent="0.25">
      <c r="A122" s="1"/>
      <c r="B122" s="3"/>
      <c r="E122" s="82"/>
      <c r="F122" s="1"/>
      <c r="G122" s="1"/>
    </row>
    <row r="123" spans="1:13" x14ac:dyDescent="0.25">
      <c r="A123" s="1"/>
      <c r="B123" s="1"/>
      <c r="E123" s="82"/>
      <c r="F123" s="1"/>
      <c r="G123" s="1"/>
    </row>
    <row r="124" spans="1:13" x14ac:dyDescent="0.25">
      <c r="A124" s="1"/>
      <c r="B124" s="1"/>
      <c r="E124" s="82"/>
      <c r="F124" s="1"/>
      <c r="G124" s="1"/>
    </row>
    <row r="125" spans="1:13" x14ac:dyDescent="0.25">
      <c r="A125" s="1"/>
      <c r="B125" s="1"/>
      <c r="E125" s="82"/>
      <c r="F125" s="1"/>
      <c r="G125" s="1"/>
    </row>
    <row r="126" spans="1:13" x14ac:dyDescent="0.25">
      <c r="A126" s="1"/>
      <c r="B126" s="1"/>
      <c r="E126" s="82"/>
      <c r="F126" s="1"/>
      <c r="G126" s="1"/>
    </row>
    <row r="127" spans="1:13" x14ac:dyDescent="0.25">
      <c r="A127" s="1"/>
      <c r="B127" s="1"/>
      <c r="E127" s="82"/>
      <c r="F127" s="1"/>
      <c r="G127" s="1"/>
    </row>
    <row r="128" spans="1:13" x14ac:dyDescent="0.25">
      <c r="A128" s="1"/>
      <c r="B128" s="1"/>
      <c r="E128" s="82"/>
      <c r="F128" s="1"/>
      <c r="G128" s="1"/>
    </row>
    <row r="129" spans="1:7" x14ac:dyDescent="0.25">
      <c r="A129" s="1"/>
      <c r="B129" s="1"/>
      <c r="E129" s="82"/>
      <c r="F129" s="1"/>
      <c r="G129" s="1"/>
    </row>
    <row r="130" spans="1:7" x14ac:dyDescent="0.25">
      <c r="A130" s="1"/>
      <c r="B130" s="1"/>
      <c r="E130" s="82"/>
      <c r="F130" s="1"/>
      <c r="G130" s="1"/>
    </row>
    <row r="131" spans="1:7" x14ac:dyDescent="0.25">
      <c r="A131" s="1"/>
      <c r="B131" s="1"/>
      <c r="E131" s="82"/>
      <c r="F131" s="1"/>
      <c r="G131" s="1"/>
    </row>
    <row r="132" spans="1:7" x14ac:dyDescent="0.25">
      <c r="A132" s="1"/>
      <c r="B132" s="1"/>
      <c r="E132" s="82"/>
      <c r="F132" s="1"/>
      <c r="G132" s="1"/>
    </row>
    <row r="133" spans="1:7" x14ac:dyDescent="0.25">
      <c r="A133" s="1"/>
      <c r="B133" s="1"/>
      <c r="E133" s="82"/>
      <c r="F133" s="1"/>
      <c r="G133" s="1"/>
    </row>
    <row r="134" spans="1:7" x14ac:dyDescent="0.25">
      <c r="A134" s="1"/>
      <c r="B134" s="1"/>
      <c r="E134" s="82"/>
      <c r="F134" s="1"/>
      <c r="G134" s="1"/>
    </row>
    <row r="135" spans="1:7" x14ac:dyDescent="0.25">
      <c r="A135" s="1"/>
      <c r="B135" s="1"/>
      <c r="E135" s="82"/>
      <c r="F135" s="1"/>
      <c r="G135" s="1"/>
    </row>
    <row r="136" spans="1:7" x14ac:dyDescent="0.25">
      <c r="A136" s="1"/>
      <c r="B136" s="1"/>
      <c r="E136" s="82"/>
      <c r="F136" s="1"/>
      <c r="G136" s="1"/>
    </row>
    <row r="137" spans="1:7" x14ac:dyDescent="0.25">
      <c r="A137" s="1"/>
      <c r="B137" s="1"/>
      <c r="E137" s="82"/>
      <c r="F137" s="1"/>
      <c r="G137" s="1"/>
    </row>
    <row r="138" spans="1:7" x14ac:dyDescent="0.25">
      <c r="A138" s="1"/>
      <c r="B138" s="1"/>
      <c r="E138" s="82"/>
      <c r="F138" s="1"/>
      <c r="G138" s="1"/>
    </row>
    <row r="139" spans="1:7" x14ac:dyDescent="0.25">
      <c r="A139" s="1"/>
      <c r="B139" s="1"/>
      <c r="E139" s="82"/>
      <c r="F139" s="1"/>
      <c r="G139" s="1"/>
    </row>
    <row r="140" spans="1:7" x14ac:dyDescent="0.25">
      <c r="A140" s="1"/>
      <c r="B140" s="1"/>
      <c r="E140" s="82"/>
      <c r="F140" s="1"/>
      <c r="G140" s="1"/>
    </row>
    <row r="141" spans="1:7" x14ac:dyDescent="0.25">
      <c r="A141" s="1"/>
      <c r="B141" s="1"/>
      <c r="E141" s="82"/>
      <c r="F141" s="1"/>
      <c r="G141" s="1"/>
    </row>
    <row r="142" spans="1:7" x14ac:dyDescent="0.25">
      <c r="A142" s="1"/>
      <c r="B142" s="1"/>
      <c r="E142" s="82"/>
      <c r="F142" s="1"/>
      <c r="G142" s="1"/>
    </row>
    <row r="143" spans="1:7" x14ac:dyDescent="0.25">
      <c r="A143" s="1"/>
      <c r="B143" s="1"/>
      <c r="E143" s="82"/>
      <c r="F143" s="1"/>
      <c r="G143" s="1"/>
    </row>
    <row r="144" spans="1:7" x14ac:dyDescent="0.25">
      <c r="A144" s="1"/>
      <c r="B144" s="1"/>
      <c r="E144" s="82"/>
      <c r="F144" s="1"/>
      <c r="G144" s="1"/>
    </row>
    <row r="145" spans="1:7" x14ac:dyDescent="0.25">
      <c r="A145" s="1"/>
      <c r="B145" s="1"/>
      <c r="E145" s="82"/>
      <c r="F145" s="1"/>
      <c r="G145" s="1"/>
    </row>
    <row r="146" spans="1:7" x14ac:dyDescent="0.25">
      <c r="A146" s="1"/>
      <c r="B146" s="1"/>
      <c r="E146" s="82"/>
      <c r="F146" s="1"/>
      <c r="G146" s="1"/>
    </row>
    <row r="147" spans="1:7" x14ac:dyDescent="0.25">
      <c r="A147" s="1"/>
      <c r="B147" s="1"/>
      <c r="E147" s="82"/>
      <c r="F147" s="1"/>
      <c r="G147" s="1"/>
    </row>
    <row r="148" spans="1:7" x14ac:dyDescent="0.25">
      <c r="A148" s="1"/>
      <c r="B148" s="1"/>
      <c r="E148" s="82"/>
      <c r="F148" s="1"/>
      <c r="G148" s="1"/>
    </row>
    <row r="149" spans="1:7" x14ac:dyDescent="0.25">
      <c r="A149" s="1"/>
      <c r="B149" s="1"/>
      <c r="E149" s="82"/>
      <c r="F149" s="1"/>
      <c r="G149" s="1"/>
    </row>
    <row r="150" spans="1:7" x14ac:dyDescent="0.25">
      <c r="A150" s="1"/>
      <c r="B150" s="1"/>
      <c r="E150" s="82"/>
      <c r="F150" s="1"/>
      <c r="G150" s="1"/>
    </row>
    <row r="151" spans="1:7" x14ac:dyDescent="0.25">
      <c r="A151" s="1"/>
      <c r="B151" s="1"/>
      <c r="E151" s="82"/>
      <c r="F151" s="1"/>
      <c r="G151" s="1"/>
    </row>
    <row r="152" spans="1:7" x14ac:dyDescent="0.25">
      <c r="A152" s="1"/>
      <c r="B152" s="1"/>
      <c r="E152" s="82"/>
      <c r="F152" s="1"/>
      <c r="G152" s="1"/>
    </row>
    <row r="153" spans="1:7" x14ac:dyDescent="0.25">
      <c r="A153" s="1"/>
      <c r="B153" s="1"/>
      <c r="E153" s="82"/>
      <c r="F153" s="1"/>
      <c r="G153" s="1"/>
    </row>
    <row r="154" spans="1:7" x14ac:dyDescent="0.25">
      <c r="A154" s="1"/>
      <c r="B154" s="1"/>
      <c r="E154" s="82"/>
      <c r="F154" s="1"/>
      <c r="G154" s="1"/>
    </row>
    <row r="155" spans="1:7" x14ac:dyDescent="0.25">
      <c r="A155" s="1"/>
      <c r="B155" s="1"/>
      <c r="E155" s="82"/>
      <c r="F155" s="1"/>
      <c r="G155" s="1"/>
    </row>
    <row r="156" spans="1:7" x14ac:dyDescent="0.25">
      <c r="A156" s="1"/>
      <c r="B156" s="1"/>
      <c r="E156" s="82"/>
      <c r="F156" s="1"/>
      <c r="G156" s="1"/>
    </row>
    <row r="157" spans="1:7" x14ac:dyDescent="0.25">
      <c r="A157" s="1"/>
      <c r="B157" s="1"/>
      <c r="E157" s="82"/>
      <c r="F157" s="1"/>
      <c r="G157" s="1"/>
    </row>
    <row r="158" spans="1:7" x14ac:dyDescent="0.25">
      <c r="A158" s="1"/>
      <c r="B158" s="1"/>
      <c r="E158" s="82"/>
      <c r="F158" s="1"/>
      <c r="G158" s="1"/>
    </row>
    <row r="159" spans="1:7" x14ac:dyDescent="0.25">
      <c r="A159" s="1"/>
      <c r="B159" s="1"/>
      <c r="E159" s="82"/>
      <c r="F159" s="1"/>
      <c r="G159" s="1"/>
    </row>
    <row r="160" spans="1:7" x14ac:dyDescent="0.25">
      <c r="A160" s="1"/>
      <c r="B160" s="1"/>
      <c r="E160" s="82"/>
      <c r="F160" s="1"/>
      <c r="G160" s="1"/>
    </row>
    <row r="161" spans="1:7" x14ac:dyDescent="0.25">
      <c r="A161" s="1"/>
      <c r="B161" s="1"/>
      <c r="E161" s="82"/>
      <c r="F161" s="1"/>
      <c r="G161" s="1"/>
    </row>
    <row r="162" spans="1:7" x14ac:dyDescent="0.25">
      <c r="A162" s="1"/>
      <c r="B162" s="1"/>
      <c r="E162" s="82"/>
      <c r="F162" s="1"/>
      <c r="G162" s="1"/>
    </row>
    <row r="163" spans="1:7" x14ac:dyDescent="0.25">
      <c r="A163" s="1"/>
      <c r="B163" s="1"/>
      <c r="E163" s="82"/>
      <c r="F163" s="1"/>
      <c r="G163" s="1"/>
    </row>
    <row r="164" spans="1:7" x14ac:dyDescent="0.25">
      <c r="A164" s="1"/>
      <c r="B164" s="1"/>
      <c r="E164" s="82"/>
      <c r="F164" s="1"/>
      <c r="G164" s="1"/>
    </row>
    <row r="165" spans="1:7" x14ac:dyDescent="0.25">
      <c r="A165" s="1"/>
      <c r="B165" s="1"/>
      <c r="E165" s="82"/>
      <c r="F165" s="1"/>
      <c r="G165" s="1"/>
    </row>
    <row r="166" spans="1:7" x14ac:dyDescent="0.25">
      <c r="A166" s="1"/>
      <c r="B166" s="1"/>
      <c r="E166" s="82"/>
      <c r="F166" s="1"/>
      <c r="G166" s="1"/>
    </row>
    <row r="167" spans="1:7" x14ac:dyDescent="0.25">
      <c r="A167" s="1"/>
      <c r="B167" s="1"/>
      <c r="E167" s="82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99">
    <cfRule type="cellIs" dxfId="9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9153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49153" r:id="rId4" name="ExecuteQueries"/>
      </mc:Fallback>
    </mc:AlternateContent>
    <mc:AlternateContent xmlns:mc="http://schemas.openxmlformats.org/markup-compatibility/2006">
      <mc:Choice Requires="x14">
        <control shapeId="49154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400050</xdr:colOff>
                <xdr:row>2</xdr:row>
                <xdr:rowOff>104775</xdr:rowOff>
              </to>
            </anchor>
          </controlPr>
        </control>
      </mc:Choice>
      <mc:Fallback>
        <control shapeId="49154" r:id="rId6" name="ClearBt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</sheetPr>
  <dimension ref="A1:R412"/>
  <sheetViews>
    <sheetView workbookViewId="0">
      <selection activeCell="R26" sqref="R26:R31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  <c r="M1" t="s">
        <v>216</v>
      </c>
    </row>
    <row r="2" spans="1:18" x14ac:dyDescent="0.25">
      <c r="E2"/>
      <c r="H2" t="s">
        <v>20</v>
      </c>
      <c r="I2" s="5">
        <v>80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5">
        <v>37977</v>
      </c>
      <c r="B8" s="56" t="str">
        <f>$M$1</f>
        <v>yrEnd</v>
      </c>
      <c r="C8" s="56"/>
      <c r="D8" s="4"/>
      <c r="F8" s="30">
        <v>37956</v>
      </c>
      <c r="G8" s="30">
        <v>37983</v>
      </c>
      <c r="H8" s="4" t="s">
        <v>80</v>
      </c>
      <c r="I8" s="4" t="s">
        <v>14</v>
      </c>
      <c r="J8" s="4" t="s">
        <v>12</v>
      </c>
      <c r="L8" s="4" t="s">
        <v>116</v>
      </c>
      <c r="M8" s="32" t="str">
        <f>B8</f>
        <v>yrEnd</v>
      </c>
      <c r="N8" s="86"/>
      <c r="O8" s="31"/>
      <c r="R8" t="s">
        <v>24</v>
      </c>
    </row>
    <row r="9" spans="1:18" ht="15.75" x14ac:dyDescent="0.25">
      <c r="A9" s="55">
        <v>37978</v>
      </c>
      <c r="B9" s="56" t="str">
        <f t="shared" ref="B9:B72" si="0">$M$1</f>
        <v>yrEnd</v>
      </c>
      <c r="C9" s="56"/>
      <c r="D9" s="4"/>
      <c r="F9" s="30">
        <v>37956</v>
      </c>
      <c r="G9" s="30">
        <v>37983</v>
      </c>
      <c r="H9" s="4" t="s">
        <v>80</v>
      </c>
      <c r="I9" s="4" t="s">
        <v>14</v>
      </c>
      <c r="J9" s="4" t="s">
        <v>12</v>
      </c>
      <c r="L9" s="4" t="s">
        <v>116</v>
      </c>
      <c r="M9" s="32" t="str">
        <f t="shared" ref="M9:M72" si="1">B9</f>
        <v>yrEnd</v>
      </c>
      <c r="N9" s="33"/>
      <c r="O9" s="31"/>
      <c r="R9" t="s">
        <v>25</v>
      </c>
    </row>
    <row r="10" spans="1:18" ht="15.75" x14ac:dyDescent="0.25">
      <c r="A10" s="55">
        <v>37979</v>
      </c>
      <c r="B10" s="56" t="str">
        <f t="shared" si="0"/>
        <v>yrEnd</v>
      </c>
      <c r="C10" s="56"/>
      <c r="D10" s="4"/>
      <c r="F10" s="30">
        <v>37956</v>
      </c>
      <c r="G10" s="30">
        <v>37983</v>
      </c>
      <c r="H10" s="4" t="s">
        <v>80</v>
      </c>
      <c r="I10" s="4" t="s">
        <v>14</v>
      </c>
      <c r="J10" s="4" t="s">
        <v>12</v>
      </c>
      <c r="L10" s="4" t="s">
        <v>116</v>
      </c>
      <c r="M10" s="32" t="str">
        <f t="shared" si="1"/>
        <v>yrEnd</v>
      </c>
      <c r="N10" s="33"/>
      <c r="O10" s="31"/>
      <c r="R10" t="s">
        <v>26</v>
      </c>
    </row>
    <row r="11" spans="1:18" ht="15.75" x14ac:dyDescent="0.25">
      <c r="A11" s="55">
        <v>37980</v>
      </c>
      <c r="B11" s="56" t="str">
        <f t="shared" si="0"/>
        <v>yrEnd</v>
      </c>
      <c r="C11" s="56"/>
      <c r="D11" s="4"/>
      <c r="F11" s="30">
        <v>37956</v>
      </c>
      <c r="G11" s="30">
        <v>37983</v>
      </c>
      <c r="H11" s="4" t="s">
        <v>80</v>
      </c>
      <c r="I11" s="4" t="s">
        <v>14</v>
      </c>
      <c r="J11" s="4" t="s">
        <v>12</v>
      </c>
      <c r="L11" s="4" t="s">
        <v>116</v>
      </c>
      <c r="M11" s="32" t="str">
        <f t="shared" si="1"/>
        <v>yrEnd</v>
      </c>
      <c r="N11" s="33"/>
      <c r="O11" s="31"/>
      <c r="R11" t="s">
        <v>27</v>
      </c>
    </row>
    <row r="12" spans="1:18" ht="15.75" x14ac:dyDescent="0.25">
      <c r="A12" s="55">
        <v>37981</v>
      </c>
      <c r="B12" s="56" t="str">
        <f t="shared" si="0"/>
        <v>yrEnd</v>
      </c>
      <c r="C12" s="56"/>
      <c r="D12" s="4"/>
      <c r="F12" s="30">
        <v>37956</v>
      </c>
      <c r="G12" s="30">
        <v>37983</v>
      </c>
      <c r="H12" s="4" t="s">
        <v>80</v>
      </c>
      <c r="I12" s="4" t="s">
        <v>14</v>
      </c>
      <c r="J12" s="4" t="s">
        <v>12</v>
      </c>
      <c r="L12" s="4" t="s">
        <v>116</v>
      </c>
      <c r="M12" s="32" t="str">
        <f t="shared" si="1"/>
        <v>yrEnd</v>
      </c>
      <c r="N12" s="33"/>
      <c r="O12" s="31"/>
      <c r="R12" t="s">
        <v>28</v>
      </c>
    </row>
    <row r="13" spans="1:18" ht="15.75" x14ac:dyDescent="0.25">
      <c r="A13" s="55">
        <v>37982</v>
      </c>
      <c r="B13" s="56" t="str">
        <f t="shared" si="0"/>
        <v>yrEnd</v>
      </c>
      <c r="C13" s="56"/>
      <c r="D13" s="4"/>
      <c r="F13" s="30">
        <v>37956</v>
      </c>
      <c r="G13" s="30">
        <v>37983</v>
      </c>
      <c r="H13" s="4" t="s">
        <v>80</v>
      </c>
      <c r="I13" s="4" t="s">
        <v>14</v>
      </c>
      <c r="J13" s="4" t="s">
        <v>12</v>
      </c>
      <c r="L13" s="4" t="s">
        <v>116</v>
      </c>
      <c r="M13" s="32" t="str">
        <f t="shared" si="1"/>
        <v>yrEnd</v>
      </c>
      <c r="N13" s="33"/>
      <c r="O13" s="31"/>
      <c r="R13" t="s">
        <v>29</v>
      </c>
    </row>
    <row r="14" spans="1:18" ht="15.75" x14ac:dyDescent="0.25">
      <c r="A14" s="87">
        <v>37983</v>
      </c>
      <c r="B14" s="88" t="str">
        <f t="shared" si="0"/>
        <v>yrEnd</v>
      </c>
      <c r="C14" s="88"/>
      <c r="D14" s="5"/>
      <c r="E14" s="5"/>
      <c r="F14" s="50">
        <v>37956</v>
      </c>
      <c r="G14" s="50">
        <v>37983</v>
      </c>
      <c r="H14" s="5" t="s">
        <v>80</v>
      </c>
      <c r="I14" s="5" t="s">
        <v>14</v>
      </c>
      <c r="J14" s="5" t="s">
        <v>12</v>
      </c>
      <c r="K14" s="5"/>
      <c r="L14" s="5" t="s">
        <v>116</v>
      </c>
      <c r="M14" s="89" t="str">
        <f t="shared" si="1"/>
        <v>yrEnd</v>
      </c>
      <c r="N14" s="90" t="s">
        <v>52</v>
      </c>
      <c r="O14" s="53"/>
      <c r="P14" s="5"/>
      <c r="R14" t="s">
        <v>30</v>
      </c>
    </row>
    <row r="15" spans="1:18" ht="15.75" x14ac:dyDescent="0.25">
      <c r="A15" s="55">
        <v>37984</v>
      </c>
      <c r="B15" s="56" t="str">
        <f t="shared" si="0"/>
        <v>yrEnd</v>
      </c>
      <c r="C15" s="56"/>
      <c r="D15" s="4"/>
      <c r="F15" s="30">
        <v>37984</v>
      </c>
      <c r="G15" s="30">
        <v>38011</v>
      </c>
      <c r="H15" s="4" t="s">
        <v>82</v>
      </c>
      <c r="I15" s="4" t="s">
        <v>17</v>
      </c>
      <c r="J15" s="4" t="s">
        <v>17</v>
      </c>
      <c r="L15" s="4" t="s">
        <v>117</v>
      </c>
      <c r="M15" s="32" t="str">
        <f t="shared" si="1"/>
        <v>yrEnd</v>
      </c>
      <c r="N15" s="33"/>
      <c r="O15" s="31"/>
      <c r="R15" t="s">
        <v>31</v>
      </c>
    </row>
    <row r="16" spans="1:18" ht="15.75" x14ac:dyDescent="0.25">
      <c r="A16" s="55">
        <v>37985</v>
      </c>
      <c r="B16" s="56" t="str">
        <f t="shared" si="0"/>
        <v>yrEnd</v>
      </c>
      <c r="C16" s="56"/>
      <c r="D16" s="4"/>
      <c r="F16" s="30">
        <v>37984</v>
      </c>
      <c r="G16" s="30">
        <v>38011</v>
      </c>
      <c r="H16" s="4" t="s">
        <v>82</v>
      </c>
      <c r="I16" s="4" t="s">
        <v>17</v>
      </c>
      <c r="J16" s="4" t="s">
        <v>17</v>
      </c>
      <c r="L16" s="4" t="s">
        <v>117</v>
      </c>
      <c r="M16" s="32" t="str">
        <f t="shared" si="1"/>
        <v>yrEnd</v>
      </c>
      <c r="N16" s="33"/>
      <c r="O16" s="31"/>
      <c r="R16" t="s">
        <v>32</v>
      </c>
    </row>
    <row r="17" spans="1:18" ht="15.75" x14ac:dyDescent="0.25">
      <c r="A17" s="55">
        <v>37986</v>
      </c>
      <c r="B17" s="56" t="str">
        <f t="shared" si="0"/>
        <v>yrEnd</v>
      </c>
      <c r="C17" s="56"/>
      <c r="D17" s="4"/>
      <c r="F17" s="30">
        <v>37984</v>
      </c>
      <c r="G17" s="30">
        <v>38011</v>
      </c>
      <c r="H17" s="4" t="s">
        <v>82</v>
      </c>
      <c r="I17" s="4" t="s">
        <v>17</v>
      </c>
      <c r="J17" s="4" t="s">
        <v>17</v>
      </c>
      <c r="L17" s="4" t="s">
        <v>117</v>
      </c>
      <c r="M17" s="32" t="str">
        <f t="shared" si="1"/>
        <v>yrEnd</v>
      </c>
      <c r="N17" s="33"/>
      <c r="O17" s="31"/>
      <c r="R17" t="s">
        <v>33</v>
      </c>
    </row>
    <row r="18" spans="1:18" ht="15.75" x14ac:dyDescent="0.25">
      <c r="A18" s="55">
        <v>37987</v>
      </c>
      <c r="B18" s="56" t="str">
        <f t="shared" si="0"/>
        <v>yrEnd</v>
      </c>
      <c r="C18" s="56"/>
      <c r="D18" s="4"/>
      <c r="F18" s="30">
        <v>37984</v>
      </c>
      <c r="G18" s="30">
        <v>38011</v>
      </c>
      <c r="H18" s="4" t="s">
        <v>82</v>
      </c>
      <c r="I18" s="4" t="s">
        <v>17</v>
      </c>
      <c r="J18" s="4" t="s">
        <v>17</v>
      </c>
      <c r="L18" s="4" t="s">
        <v>117</v>
      </c>
      <c r="M18" s="32" t="str">
        <f t="shared" si="1"/>
        <v>yrEnd</v>
      </c>
      <c r="N18" s="33"/>
      <c r="O18" s="31"/>
      <c r="R18" t="s">
        <v>34</v>
      </c>
    </row>
    <row r="19" spans="1:18" ht="15.75" x14ac:dyDescent="0.25">
      <c r="A19" s="55">
        <v>37988</v>
      </c>
      <c r="B19" s="56" t="str">
        <f t="shared" si="0"/>
        <v>yrEnd</v>
      </c>
      <c r="C19" s="56"/>
      <c r="D19" s="4"/>
      <c r="F19" s="30">
        <v>37984</v>
      </c>
      <c r="G19" s="30">
        <v>38011</v>
      </c>
      <c r="H19" s="4" t="s">
        <v>82</v>
      </c>
      <c r="I19" s="4" t="s">
        <v>17</v>
      </c>
      <c r="J19" s="4" t="s">
        <v>17</v>
      </c>
      <c r="L19" s="4" t="s">
        <v>117</v>
      </c>
      <c r="M19" s="32" t="str">
        <f t="shared" si="1"/>
        <v>yrEnd</v>
      </c>
      <c r="N19" s="33"/>
      <c r="O19" s="31"/>
      <c r="R19" t="s">
        <v>35</v>
      </c>
    </row>
    <row r="20" spans="1:18" ht="15.75" x14ac:dyDescent="0.25">
      <c r="A20" s="55">
        <v>37989</v>
      </c>
      <c r="B20" s="56" t="str">
        <f t="shared" si="0"/>
        <v>yrEnd</v>
      </c>
      <c r="C20" s="56"/>
      <c r="D20" s="4"/>
      <c r="F20" s="30">
        <v>37984</v>
      </c>
      <c r="G20" s="30">
        <v>38011</v>
      </c>
      <c r="H20" s="4" t="s">
        <v>82</v>
      </c>
      <c r="I20" s="4" t="s">
        <v>17</v>
      </c>
      <c r="J20" s="4" t="s">
        <v>17</v>
      </c>
      <c r="L20" s="4" t="s">
        <v>117</v>
      </c>
      <c r="M20" s="32" t="str">
        <f t="shared" si="1"/>
        <v>yrEnd</v>
      </c>
      <c r="N20" s="33"/>
      <c r="O20" s="31"/>
      <c r="R20" t="s">
        <v>36</v>
      </c>
    </row>
    <row r="21" spans="1:18" ht="15.75" x14ac:dyDescent="0.25">
      <c r="A21" s="55">
        <v>37990</v>
      </c>
      <c r="B21" s="56" t="str">
        <f t="shared" si="0"/>
        <v>yrEnd</v>
      </c>
      <c r="C21" s="56"/>
      <c r="D21" s="4"/>
      <c r="F21" s="30">
        <v>37984</v>
      </c>
      <c r="G21" s="30">
        <v>38011</v>
      </c>
      <c r="H21" s="4" t="s">
        <v>82</v>
      </c>
      <c r="I21" s="4" t="s">
        <v>17</v>
      </c>
      <c r="J21" s="4" t="s">
        <v>17</v>
      </c>
      <c r="L21" s="4" t="s">
        <v>117</v>
      </c>
      <c r="M21" s="32" t="str">
        <f t="shared" si="1"/>
        <v>yrEnd</v>
      </c>
      <c r="N21" s="33"/>
      <c r="O21" s="31"/>
      <c r="R21" t="s">
        <v>37</v>
      </c>
    </row>
    <row r="22" spans="1:18" ht="15.75" x14ac:dyDescent="0.25">
      <c r="A22" s="55">
        <v>37991</v>
      </c>
      <c r="B22" s="56" t="str">
        <f t="shared" si="0"/>
        <v>yrEnd</v>
      </c>
      <c r="C22" s="56"/>
      <c r="D22" s="4"/>
      <c r="F22" s="30">
        <v>37984</v>
      </c>
      <c r="G22" s="30">
        <v>38011</v>
      </c>
      <c r="H22" s="4" t="s">
        <v>82</v>
      </c>
      <c r="I22" s="4" t="s">
        <v>17</v>
      </c>
      <c r="J22" s="4" t="s">
        <v>17</v>
      </c>
      <c r="L22" s="4" t="s">
        <v>117</v>
      </c>
      <c r="M22" s="32" t="str">
        <f t="shared" si="1"/>
        <v>yrEnd</v>
      </c>
      <c r="N22" s="33"/>
      <c r="O22" s="31"/>
      <c r="R22" t="s">
        <v>38</v>
      </c>
    </row>
    <row r="23" spans="1:18" ht="15.75" x14ac:dyDescent="0.25">
      <c r="A23" s="55">
        <v>37992</v>
      </c>
      <c r="B23" s="56" t="str">
        <f t="shared" si="0"/>
        <v>yrEnd</v>
      </c>
      <c r="C23" s="56"/>
      <c r="D23" s="4"/>
      <c r="F23" s="30">
        <v>37984</v>
      </c>
      <c r="G23" s="30">
        <v>38011</v>
      </c>
      <c r="H23" s="4" t="s">
        <v>82</v>
      </c>
      <c r="I23" s="4" t="s">
        <v>17</v>
      </c>
      <c r="J23" s="4" t="s">
        <v>17</v>
      </c>
      <c r="L23" s="4" t="s">
        <v>117</v>
      </c>
      <c r="M23" s="32" t="str">
        <f t="shared" si="1"/>
        <v>yrEnd</v>
      </c>
      <c r="N23" s="33"/>
      <c r="O23" s="31"/>
      <c r="R23" t="s">
        <v>39</v>
      </c>
    </row>
    <row r="24" spans="1:18" ht="15.75" x14ac:dyDescent="0.25">
      <c r="A24" s="55">
        <v>37993</v>
      </c>
      <c r="B24" s="56" t="str">
        <f t="shared" si="0"/>
        <v>yrEnd</v>
      </c>
      <c r="C24" s="56"/>
      <c r="D24" s="4"/>
      <c r="F24" s="30">
        <v>37984</v>
      </c>
      <c r="G24" s="30">
        <v>38011</v>
      </c>
      <c r="H24" s="4" t="s">
        <v>82</v>
      </c>
      <c r="I24" s="4" t="s">
        <v>17</v>
      </c>
      <c r="J24" s="4" t="s">
        <v>17</v>
      </c>
      <c r="L24" s="4" t="s">
        <v>117</v>
      </c>
      <c r="M24" s="32" t="str">
        <f t="shared" si="1"/>
        <v>yrEnd</v>
      </c>
      <c r="N24" s="33"/>
      <c r="O24" s="31"/>
      <c r="R24" t="s">
        <v>40</v>
      </c>
    </row>
    <row r="25" spans="1:18" ht="15.75" x14ac:dyDescent="0.25">
      <c r="A25" s="55">
        <v>37994</v>
      </c>
      <c r="B25" s="56" t="str">
        <f t="shared" si="0"/>
        <v>yrEnd</v>
      </c>
      <c r="C25" s="56"/>
      <c r="D25" s="4"/>
      <c r="F25" s="30">
        <v>37984</v>
      </c>
      <c r="G25" s="30">
        <v>38011</v>
      </c>
      <c r="H25" s="4" t="s">
        <v>82</v>
      </c>
      <c r="I25" s="4" t="s">
        <v>17</v>
      </c>
      <c r="J25" s="4" t="s">
        <v>17</v>
      </c>
      <c r="L25" s="4" t="s">
        <v>117</v>
      </c>
      <c r="M25" s="32" t="str">
        <f t="shared" si="1"/>
        <v>yrEnd</v>
      </c>
      <c r="N25" s="33"/>
      <c r="O25" s="31"/>
    </row>
    <row r="26" spans="1:18" ht="15.75" x14ac:dyDescent="0.25">
      <c r="A26" s="55">
        <v>37995</v>
      </c>
      <c r="B26" s="56" t="str">
        <f t="shared" si="0"/>
        <v>yrEnd</v>
      </c>
      <c r="C26" s="56"/>
      <c r="D26" s="4"/>
      <c r="F26" s="30">
        <v>37984</v>
      </c>
      <c r="G26" s="30">
        <v>38011</v>
      </c>
      <c r="H26" s="4" t="s">
        <v>82</v>
      </c>
      <c r="I26" s="4" t="s">
        <v>17</v>
      </c>
      <c r="J26" s="4" t="s">
        <v>17</v>
      </c>
      <c r="L26" s="4" t="s">
        <v>117</v>
      </c>
      <c r="M26" s="32" t="str">
        <f t="shared" si="1"/>
        <v>yrEnd</v>
      </c>
      <c r="N26" s="33"/>
      <c r="O26" s="31"/>
      <c r="R26" t="s">
        <v>247</v>
      </c>
    </row>
    <row r="27" spans="1:18" ht="15.75" x14ac:dyDescent="0.25">
      <c r="A27" s="55">
        <v>37996</v>
      </c>
      <c r="B27" s="56" t="str">
        <f t="shared" si="0"/>
        <v>yrEnd</v>
      </c>
      <c r="C27" s="56"/>
      <c r="D27" s="4"/>
      <c r="F27" s="30">
        <v>37984</v>
      </c>
      <c r="G27" s="30">
        <v>38011</v>
      </c>
      <c r="H27" s="4" t="s">
        <v>82</v>
      </c>
      <c r="I27" s="4" t="s">
        <v>17</v>
      </c>
      <c r="J27" s="4" t="s">
        <v>17</v>
      </c>
      <c r="L27" s="4" t="s">
        <v>117</v>
      </c>
      <c r="M27" s="32" t="str">
        <f t="shared" si="1"/>
        <v>yrEnd</v>
      </c>
      <c r="N27" s="33"/>
      <c r="O27" s="31"/>
      <c r="R27" t="s">
        <v>242</v>
      </c>
    </row>
    <row r="28" spans="1:18" ht="15.75" x14ac:dyDescent="0.25">
      <c r="A28" s="55">
        <v>40534</v>
      </c>
      <c r="B28" s="56" t="str">
        <f t="shared" si="0"/>
        <v>yrEnd</v>
      </c>
      <c r="C28" s="56"/>
      <c r="D28" s="4"/>
      <c r="F28" s="30">
        <v>40511</v>
      </c>
      <c r="G28" s="30">
        <v>40538</v>
      </c>
      <c r="H28" s="4" t="s">
        <v>90</v>
      </c>
      <c r="I28" s="4" t="s">
        <v>14</v>
      </c>
      <c r="J28" s="4" t="s">
        <v>12</v>
      </c>
      <c r="L28" s="4" t="s">
        <v>123</v>
      </c>
      <c r="M28" s="32" t="str">
        <f t="shared" si="1"/>
        <v>yrEnd</v>
      </c>
      <c r="N28" s="33"/>
      <c r="O28" s="31"/>
      <c r="R28" t="s">
        <v>243</v>
      </c>
    </row>
    <row r="29" spans="1:18" ht="15.75" x14ac:dyDescent="0.25">
      <c r="A29" s="55">
        <v>40535</v>
      </c>
      <c r="B29" s="56" t="str">
        <f t="shared" si="0"/>
        <v>yrEnd</v>
      </c>
      <c r="C29" s="56"/>
      <c r="D29" s="4"/>
      <c r="F29" s="30">
        <v>40511</v>
      </c>
      <c r="G29" s="30">
        <v>40538</v>
      </c>
      <c r="H29" s="4" t="s">
        <v>90</v>
      </c>
      <c r="I29" s="4" t="s">
        <v>14</v>
      </c>
      <c r="J29" s="4" t="s">
        <v>12</v>
      </c>
      <c r="L29" s="4" t="s">
        <v>123</v>
      </c>
      <c r="M29" s="32" t="str">
        <f t="shared" si="1"/>
        <v>yrEnd</v>
      </c>
      <c r="N29" s="33"/>
      <c r="O29" s="31"/>
      <c r="R29" t="s">
        <v>244</v>
      </c>
    </row>
    <row r="30" spans="1:18" ht="15.75" x14ac:dyDescent="0.25">
      <c r="A30" s="55">
        <v>40536</v>
      </c>
      <c r="B30" s="56" t="str">
        <f t="shared" si="0"/>
        <v>yrEnd</v>
      </c>
      <c r="C30" s="56"/>
      <c r="D30" s="4"/>
      <c r="F30" s="30">
        <v>40511</v>
      </c>
      <c r="G30" s="30">
        <v>40538</v>
      </c>
      <c r="H30" s="4" t="s">
        <v>90</v>
      </c>
      <c r="I30" s="4" t="s">
        <v>14</v>
      </c>
      <c r="J30" s="4" t="s">
        <v>12</v>
      </c>
      <c r="L30" s="4" t="s">
        <v>123</v>
      </c>
      <c r="M30" s="32" t="str">
        <f t="shared" si="1"/>
        <v>yrEnd</v>
      </c>
      <c r="N30" s="33"/>
      <c r="O30" s="31"/>
      <c r="R30" t="s">
        <v>245</v>
      </c>
    </row>
    <row r="31" spans="1:18" ht="15.75" x14ac:dyDescent="0.25">
      <c r="A31" s="55">
        <v>40537</v>
      </c>
      <c r="B31" s="56" t="str">
        <f t="shared" si="0"/>
        <v>yrEnd</v>
      </c>
      <c r="C31" s="56"/>
      <c r="D31" s="4"/>
      <c r="F31" s="30">
        <v>40511</v>
      </c>
      <c r="G31" s="30">
        <v>40538</v>
      </c>
      <c r="H31" s="4" t="s">
        <v>90</v>
      </c>
      <c r="I31" s="4" t="s">
        <v>14</v>
      </c>
      <c r="J31" s="4" t="s">
        <v>12</v>
      </c>
      <c r="L31" s="4" t="s">
        <v>123</v>
      </c>
      <c r="M31" s="32" t="str">
        <f t="shared" si="1"/>
        <v>yrEnd</v>
      </c>
      <c r="N31" s="33"/>
      <c r="O31" s="31"/>
      <c r="R31" t="s">
        <v>246</v>
      </c>
    </row>
    <row r="32" spans="1:18" ht="15.75" x14ac:dyDescent="0.25">
      <c r="A32" s="87">
        <v>40538</v>
      </c>
      <c r="B32" s="88" t="str">
        <f t="shared" si="0"/>
        <v>yrEnd</v>
      </c>
      <c r="C32" s="88"/>
      <c r="D32" s="5"/>
      <c r="E32" s="5"/>
      <c r="F32" s="50">
        <v>40511</v>
      </c>
      <c r="G32" s="50">
        <v>40538</v>
      </c>
      <c r="H32" s="5" t="s">
        <v>90</v>
      </c>
      <c r="I32" s="5" t="s">
        <v>14</v>
      </c>
      <c r="J32" s="5" t="s">
        <v>12</v>
      </c>
      <c r="K32" s="5"/>
      <c r="L32" s="5" t="s">
        <v>123</v>
      </c>
      <c r="M32" s="89" t="str">
        <f t="shared" si="1"/>
        <v>yrEnd</v>
      </c>
      <c r="N32" s="90" t="s">
        <v>52</v>
      </c>
      <c r="O32" s="53"/>
      <c r="P32" s="5"/>
    </row>
    <row r="33" spans="1:18" ht="15.75" x14ac:dyDescent="0.25">
      <c r="A33" s="55">
        <v>40539</v>
      </c>
      <c r="B33" s="56" t="str">
        <f t="shared" si="0"/>
        <v>yrEnd</v>
      </c>
      <c r="C33" s="56"/>
      <c r="D33" s="4"/>
      <c r="F33" s="30">
        <v>40539</v>
      </c>
      <c r="G33" s="30">
        <v>40566</v>
      </c>
      <c r="H33" s="4" t="s">
        <v>91</v>
      </c>
      <c r="I33" s="4" t="s">
        <v>17</v>
      </c>
      <c r="J33" s="4" t="s">
        <v>17</v>
      </c>
      <c r="L33" s="4" t="s">
        <v>124</v>
      </c>
      <c r="M33" s="32" t="str">
        <f t="shared" si="1"/>
        <v>yrEnd</v>
      </c>
      <c r="N33" s="33"/>
      <c r="O33" s="31"/>
    </row>
    <row r="34" spans="1:18" ht="15.75" x14ac:dyDescent="0.25">
      <c r="A34" s="55">
        <v>40540</v>
      </c>
      <c r="B34" s="56" t="str">
        <f t="shared" si="0"/>
        <v>yrEnd</v>
      </c>
      <c r="C34" s="56"/>
      <c r="D34" s="4"/>
      <c r="F34" s="30">
        <v>40539</v>
      </c>
      <c r="G34" s="30">
        <v>40566</v>
      </c>
      <c r="H34" s="4" t="s">
        <v>91</v>
      </c>
      <c r="I34" s="4" t="s">
        <v>17</v>
      </c>
      <c r="J34" s="4" t="s">
        <v>17</v>
      </c>
      <c r="L34" s="4" t="s">
        <v>124</v>
      </c>
      <c r="M34" s="32" t="str">
        <f t="shared" si="1"/>
        <v>yrEnd</v>
      </c>
      <c r="N34" s="33"/>
      <c r="O34" s="31"/>
    </row>
    <row r="35" spans="1:18" ht="15.75" x14ac:dyDescent="0.25">
      <c r="A35" s="55">
        <v>40541</v>
      </c>
      <c r="B35" s="56" t="str">
        <f t="shared" si="0"/>
        <v>yrEnd</v>
      </c>
      <c r="C35" s="56"/>
      <c r="D35" s="4"/>
      <c r="F35" s="30">
        <v>40539</v>
      </c>
      <c r="G35" s="30">
        <v>40566</v>
      </c>
      <c r="H35" s="4" t="s">
        <v>91</v>
      </c>
      <c r="I35" s="4" t="s">
        <v>17</v>
      </c>
      <c r="J35" s="4" t="s">
        <v>17</v>
      </c>
      <c r="L35" s="4" t="s">
        <v>124</v>
      </c>
      <c r="M35" s="32" t="str">
        <f t="shared" si="1"/>
        <v>yrEnd</v>
      </c>
      <c r="N35" s="33"/>
      <c r="O35" s="31"/>
    </row>
    <row r="36" spans="1:18" ht="15.75" x14ac:dyDescent="0.25">
      <c r="A36" s="55">
        <v>40542</v>
      </c>
      <c r="B36" s="56" t="str">
        <f t="shared" si="0"/>
        <v>yrEnd</v>
      </c>
      <c r="C36" s="56"/>
      <c r="D36" s="4"/>
      <c r="F36" s="30">
        <v>40539</v>
      </c>
      <c r="G36" s="30">
        <v>40566</v>
      </c>
      <c r="H36" s="4" t="s">
        <v>91</v>
      </c>
      <c r="I36" s="4" t="s">
        <v>17</v>
      </c>
      <c r="J36" s="4" t="s">
        <v>17</v>
      </c>
      <c r="L36" s="4" t="s">
        <v>124</v>
      </c>
      <c r="M36" s="32" t="str">
        <f t="shared" si="1"/>
        <v>yrEnd</v>
      </c>
      <c r="N36" s="33"/>
      <c r="O36" s="31"/>
    </row>
    <row r="37" spans="1:18" ht="15.75" x14ac:dyDescent="0.25">
      <c r="A37" s="55">
        <v>40543</v>
      </c>
      <c r="B37" s="56" t="str">
        <f t="shared" si="0"/>
        <v>yrEnd</v>
      </c>
      <c r="C37" s="56"/>
      <c r="D37" s="4"/>
      <c r="F37" s="30">
        <v>40539</v>
      </c>
      <c r="G37" s="30">
        <v>40566</v>
      </c>
      <c r="H37" s="4" t="s">
        <v>91</v>
      </c>
      <c r="I37" s="4" t="s">
        <v>17</v>
      </c>
      <c r="J37" s="4" t="s">
        <v>17</v>
      </c>
      <c r="L37" s="4" t="s">
        <v>124</v>
      </c>
      <c r="M37" s="32" t="str">
        <f t="shared" si="1"/>
        <v>yrEnd</v>
      </c>
      <c r="N37" s="33"/>
      <c r="O37" s="31"/>
    </row>
    <row r="38" spans="1:18" ht="15.75" x14ac:dyDescent="0.25">
      <c r="A38" s="55">
        <v>40544</v>
      </c>
      <c r="B38" s="56" t="str">
        <f t="shared" si="0"/>
        <v>yrEnd</v>
      </c>
      <c r="C38" s="56"/>
      <c r="D38" s="4"/>
      <c r="F38" s="30">
        <v>40539</v>
      </c>
      <c r="G38" s="30">
        <v>40566</v>
      </c>
      <c r="H38" s="4" t="s">
        <v>91</v>
      </c>
      <c r="I38" s="4" t="s">
        <v>17</v>
      </c>
      <c r="J38" s="4" t="s">
        <v>17</v>
      </c>
      <c r="L38" s="4" t="s">
        <v>124</v>
      </c>
      <c r="M38" s="32" t="str">
        <f t="shared" si="1"/>
        <v>yrEnd</v>
      </c>
      <c r="N38" s="33"/>
      <c r="O38" s="31"/>
    </row>
    <row r="39" spans="1:18" ht="15.75" x14ac:dyDescent="0.25">
      <c r="A39" s="55">
        <v>40545</v>
      </c>
      <c r="B39" s="56" t="str">
        <f t="shared" si="0"/>
        <v>yrEnd</v>
      </c>
      <c r="C39" s="56"/>
      <c r="D39" s="4"/>
      <c r="F39" s="30">
        <v>40539</v>
      </c>
      <c r="G39" s="30">
        <v>40566</v>
      </c>
      <c r="H39" s="4" t="s">
        <v>91</v>
      </c>
      <c r="I39" s="4" t="s">
        <v>17</v>
      </c>
      <c r="J39" s="4" t="s">
        <v>17</v>
      </c>
      <c r="L39" s="4" t="s">
        <v>124</v>
      </c>
      <c r="M39" s="32" t="str">
        <f t="shared" si="1"/>
        <v>yrEnd</v>
      </c>
      <c r="N39" s="33"/>
      <c r="O39" s="31"/>
    </row>
    <row r="40" spans="1:18" ht="15.75" x14ac:dyDescent="0.25">
      <c r="A40" s="55">
        <v>40546</v>
      </c>
      <c r="B40" s="56" t="str">
        <f t="shared" si="0"/>
        <v>yrEnd</v>
      </c>
      <c r="C40" s="56"/>
      <c r="D40" s="4"/>
      <c r="F40" s="30">
        <v>40539</v>
      </c>
      <c r="G40" s="30">
        <v>40566</v>
      </c>
      <c r="H40" s="4" t="s">
        <v>91</v>
      </c>
      <c r="I40" s="4" t="s">
        <v>17</v>
      </c>
      <c r="J40" s="4" t="s">
        <v>17</v>
      </c>
      <c r="L40" s="4" t="s">
        <v>124</v>
      </c>
      <c r="M40" s="32" t="str">
        <f t="shared" si="1"/>
        <v>yrEnd</v>
      </c>
      <c r="N40" s="33"/>
      <c r="O40" s="31"/>
    </row>
    <row r="41" spans="1:18" ht="15.75" x14ac:dyDescent="0.25">
      <c r="A41" s="55">
        <v>40547</v>
      </c>
      <c r="B41" s="56" t="str">
        <f t="shared" si="0"/>
        <v>yrEnd</v>
      </c>
      <c r="C41" s="56"/>
      <c r="D41" s="4"/>
      <c r="F41" s="30">
        <v>40539</v>
      </c>
      <c r="G41" s="30">
        <v>40566</v>
      </c>
      <c r="H41" s="4" t="s">
        <v>91</v>
      </c>
      <c r="I41" s="4" t="s">
        <v>17</v>
      </c>
      <c r="J41" s="4" t="s">
        <v>17</v>
      </c>
      <c r="L41" s="4" t="s">
        <v>124</v>
      </c>
      <c r="M41" s="32" t="str">
        <f t="shared" si="1"/>
        <v>yrEnd</v>
      </c>
      <c r="N41" s="33"/>
      <c r="O41" s="31"/>
    </row>
    <row r="42" spans="1:18" ht="15.75" x14ac:dyDescent="0.25">
      <c r="A42" s="55">
        <v>40548</v>
      </c>
      <c r="B42" s="56" t="str">
        <f t="shared" si="0"/>
        <v>yrEnd</v>
      </c>
      <c r="C42" s="56"/>
      <c r="D42" s="4"/>
      <c r="F42" s="30">
        <v>40539</v>
      </c>
      <c r="G42" s="30">
        <v>40566</v>
      </c>
      <c r="H42" s="4" t="s">
        <v>91</v>
      </c>
      <c r="I42" s="4" t="s">
        <v>17</v>
      </c>
      <c r="J42" s="4" t="s">
        <v>17</v>
      </c>
      <c r="L42" s="4" t="s">
        <v>124</v>
      </c>
      <c r="M42" s="32" t="str">
        <f t="shared" si="1"/>
        <v>yrEnd</v>
      </c>
      <c r="N42" s="33"/>
      <c r="O42" s="31"/>
    </row>
    <row r="43" spans="1:18" ht="15.75" x14ac:dyDescent="0.25">
      <c r="A43" s="55">
        <v>40549</v>
      </c>
      <c r="B43" s="56" t="str">
        <f t="shared" si="0"/>
        <v>yrEnd</v>
      </c>
      <c r="C43" s="56"/>
      <c r="D43" s="4"/>
      <c r="F43" s="30">
        <v>40539</v>
      </c>
      <c r="G43" s="30">
        <v>40566</v>
      </c>
      <c r="H43" s="4" t="s">
        <v>91</v>
      </c>
      <c r="I43" s="4" t="s">
        <v>17</v>
      </c>
      <c r="J43" s="4" t="s">
        <v>17</v>
      </c>
      <c r="L43" s="4" t="s">
        <v>124</v>
      </c>
      <c r="M43" s="32" t="str">
        <f t="shared" si="1"/>
        <v>yrEnd</v>
      </c>
      <c r="N43" s="33"/>
      <c r="O43" s="31"/>
    </row>
    <row r="44" spans="1:18" ht="15.75" x14ac:dyDescent="0.25">
      <c r="A44" s="55">
        <v>40550</v>
      </c>
      <c r="B44" s="56" t="str">
        <f t="shared" si="0"/>
        <v>yrEnd</v>
      </c>
      <c r="C44" s="56"/>
      <c r="D44" s="4"/>
      <c r="F44" s="30">
        <v>40539</v>
      </c>
      <c r="G44" s="30">
        <v>40566</v>
      </c>
      <c r="H44" s="4" t="s">
        <v>91</v>
      </c>
      <c r="I44" s="4" t="s">
        <v>17</v>
      </c>
      <c r="J44" s="4" t="s">
        <v>17</v>
      </c>
      <c r="L44" s="4" t="s">
        <v>124</v>
      </c>
      <c r="M44" s="32" t="str">
        <f t="shared" si="1"/>
        <v>yrEnd</v>
      </c>
      <c r="N44" s="33"/>
      <c r="O44" s="31"/>
      <c r="R44" t="s">
        <v>221</v>
      </c>
    </row>
    <row r="45" spans="1:18" ht="15.75" x14ac:dyDescent="0.25">
      <c r="A45" s="55">
        <v>40551</v>
      </c>
      <c r="B45" s="56" t="str">
        <f t="shared" si="0"/>
        <v>yrEnd</v>
      </c>
      <c r="C45" s="56"/>
      <c r="D45" s="4"/>
      <c r="F45" s="30">
        <v>40539</v>
      </c>
      <c r="G45" s="30">
        <v>40566</v>
      </c>
      <c r="H45" s="4" t="s">
        <v>91</v>
      </c>
      <c r="I45" s="4" t="s">
        <v>17</v>
      </c>
      <c r="J45" s="4" t="s">
        <v>17</v>
      </c>
      <c r="L45" s="4" t="s">
        <v>124</v>
      </c>
      <c r="M45" s="32" t="str">
        <f t="shared" si="1"/>
        <v>yrEnd</v>
      </c>
      <c r="N45" s="33"/>
      <c r="O45" s="31"/>
      <c r="R45" s="55">
        <v>37983</v>
      </c>
    </row>
    <row r="46" spans="1:18" ht="15.75" x14ac:dyDescent="0.25">
      <c r="A46" s="55">
        <v>40552</v>
      </c>
      <c r="B46" s="56" t="str">
        <f t="shared" si="0"/>
        <v>yrEnd</v>
      </c>
      <c r="C46" s="56"/>
      <c r="D46" s="4"/>
      <c r="F46" s="30">
        <v>40539</v>
      </c>
      <c r="G46" s="30">
        <v>40566</v>
      </c>
      <c r="H46" s="4" t="s">
        <v>91</v>
      </c>
      <c r="I46" s="4" t="s">
        <v>17</v>
      </c>
      <c r="J46" s="4" t="s">
        <v>17</v>
      </c>
      <c r="L46" s="4" t="s">
        <v>124</v>
      </c>
      <c r="M46" s="32" t="str">
        <f t="shared" si="1"/>
        <v>yrEnd</v>
      </c>
      <c r="N46" s="33"/>
      <c r="O46" s="31"/>
      <c r="R46" s="55">
        <v>40538</v>
      </c>
    </row>
    <row r="47" spans="1:18" ht="15.75" x14ac:dyDescent="0.25">
      <c r="A47" s="55">
        <v>40553</v>
      </c>
      <c r="B47" s="56" t="str">
        <f t="shared" si="0"/>
        <v>yrEnd</v>
      </c>
      <c r="C47" s="56"/>
      <c r="D47" s="4"/>
      <c r="F47" s="30">
        <v>40539</v>
      </c>
      <c r="G47" s="30">
        <v>40566</v>
      </c>
      <c r="H47" s="4" t="s">
        <v>91</v>
      </c>
      <c r="I47" s="4" t="s">
        <v>17</v>
      </c>
      <c r="J47" s="4" t="s">
        <v>17</v>
      </c>
      <c r="L47" s="4" t="s">
        <v>124</v>
      </c>
      <c r="M47" s="32" t="str">
        <f t="shared" si="1"/>
        <v>yrEnd</v>
      </c>
      <c r="N47" s="33"/>
      <c r="O47" s="31"/>
      <c r="R47" s="55">
        <v>42001</v>
      </c>
    </row>
    <row r="48" spans="1:18" ht="15.75" x14ac:dyDescent="0.25">
      <c r="A48" s="55">
        <v>41995</v>
      </c>
      <c r="B48" s="56" t="str">
        <f t="shared" si="0"/>
        <v>yrEnd</v>
      </c>
      <c r="C48" s="56"/>
      <c r="D48" s="4"/>
      <c r="F48" s="30">
        <v>41974</v>
      </c>
      <c r="G48" s="30">
        <v>42001</v>
      </c>
      <c r="H48" s="4" t="s">
        <v>92</v>
      </c>
      <c r="I48" s="4" t="s">
        <v>14</v>
      </c>
      <c r="J48" s="4" t="s">
        <v>12</v>
      </c>
      <c r="L48" s="4" t="s">
        <v>127</v>
      </c>
      <c r="M48" s="32" t="str">
        <f t="shared" si="1"/>
        <v>yrEnd</v>
      </c>
      <c r="N48" s="33"/>
      <c r="O48" s="31"/>
      <c r="R48" s="55">
        <v>47118</v>
      </c>
    </row>
    <row r="49" spans="1:18" ht="15.75" x14ac:dyDescent="0.25">
      <c r="A49" s="55">
        <v>41996</v>
      </c>
      <c r="B49" s="56" t="str">
        <f t="shared" si="0"/>
        <v>yrEnd</v>
      </c>
      <c r="C49" s="56"/>
      <c r="D49" s="4"/>
      <c r="F49" s="30">
        <v>41974</v>
      </c>
      <c r="G49" s="30">
        <v>42001</v>
      </c>
      <c r="H49" s="4" t="s">
        <v>92</v>
      </c>
      <c r="I49" s="4" t="s">
        <v>14</v>
      </c>
      <c r="J49" s="4" t="s">
        <v>12</v>
      </c>
      <c r="L49" s="4" t="s">
        <v>127</v>
      </c>
      <c r="M49" s="32" t="str">
        <f t="shared" si="1"/>
        <v>yrEnd</v>
      </c>
      <c r="N49" s="33"/>
      <c r="O49" s="31"/>
    </row>
    <row r="50" spans="1:18" ht="15.75" x14ac:dyDescent="0.25">
      <c r="A50" s="55">
        <v>41997</v>
      </c>
      <c r="B50" s="56" t="str">
        <f t="shared" si="0"/>
        <v>yrEnd</v>
      </c>
      <c r="C50" s="56"/>
      <c r="D50" s="4"/>
      <c r="F50" s="30">
        <v>41974</v>
      </c>
      <c r="G50" s="30">
        <v>42001</v>
      </c>
      <c r="H50" s="4" t="s">
        <v>92</v>
      </c>
      <c r="I50" s="4" t="s">
        <v>14</v>
      </c>
      <c r="J50" s="4" t="s">
        <v>12</v>
      </c>
      <c r="L50" s="4" t="s">
        <v>127</v>
      </c>
      <c r="M50" s="32" t="str">
        <f t="shared" si="1"/>
        <v>yrEnd</v>
      </c>
      <c r="N50" s="33"/>
      <c r="O50" s="31"/>
    </row>
    <row r="51" spans="1:18" ht="15.75" x14ac:dyDescent="0.25">
      <c r="A51" s="55">
        <v>41998</v>
      </c>
      <c r="B51" s="56" t="str">
        <f t="shared" si="0"/>
        <v>yrEnd</v>
      </c>
      <c r="C51" s="56"/>
      <c r="D51" s="4"/>
      <c r="F51" s="30">
        <v>41974</v>
      </c>
      <c r="G51" s="30">
        <v>42001</v>
      </c>
      <c r="H51" s="4" t="s">
        <v>92</v>
      </c>
      <c r="I51" s="4" t="s">
        <v>14</v>
      </c>
      <c r="J51" s="4" t="s">
        <v>12</v>
      </c>
      <c r="L51" s="4" t="s">
        <v>127</v>
      </c>
      <c r="M51" s="32" t="str">
        <f t="shared" si="1"/>
        <v>yrEnd</v>
      </c>
      <c r="N51" s="33"/>
      <c r="O51" s="31"/>
      <c r="R51" t="s">
        <v>222</v>
      </c>
    </row>
    <row r="52" spans="1:18" ht="15.75" x14ac:dyDescent="0.25">
      <c r="A52" s="55">
        <v>41999</v>
      </c>
      <c r="B52" s="56" t="str">
        <f t="shared" si="0"/>
        <v>yrEnd</v>
      </c>
      <c r="C52" s="56"/>
      <c r="D52" s="4"/>
      <c r="F52" s="30">
        <v>41974</v>
      </c>
      <c r="G52" s="30">
        <v>42001</v>
      </c>
      <c r="H52" s="4" t="s">
        <v>92</v>
      </c>
      <c r="I52" s="4" t="s">
        <v>14</v>
      </c>
      <c r="J52" s="4" t="s">
        <v>12</v>
      </c>
      <c r="L52" s="4" t="s">
        <v>127</v>
      </c>
      <c r="M52" s="32" t="str">
        <f t="shared" si="1"/>
        <v>yrEnd</v>
      </c>
      <c r="N52" s="33"/>
      <c r="O52" s="31"/>
      <c r="R52" s="55">
        <v>37984</v>
      </c>
    </row>
    <row r="53" spans="1:18" ht="15.75" x14ac:dyDescent="0.25">
      <c r="A53" s="55">
        <v>42000</v>
      </c>
      <c r="B53" s="56" t="str">
        <f t="shared" si="0"/>
        <v>yrEnd</v>
      </c>
      <c r="C53" s="56"/>
      <c r="D53" s="4"/>
      <c r="F53" s="30">
        <v>41974</v>
      </c>
      <c r="G53" s="30">
        <v>42001</v>
      </c>
      <c r="H53" s="4" t="s">
        <v>92</v>
      </c>
      <c r="I53" s="4" t="s">
        <v>14</v>
      </c>
      <c r="J53" s="4" t="s">
        <v>12</v>
      </c>
      <c r="L53" s="4" t="s">
        <v>127</v>
      </c>
      <c r="M53" s="32" t="str">
        <f t="shared" si="1"/>
        <v>yrEnd</v>
      </c>
      <c r="N53" s="33"/>
      <c r="O53" s="31"/>
      <c r="R53" s="55">
        <v>40539</v>
      </c>
    </row>
    <row r="54" spans="1:18" ht="15.75" x14ac:dyDescent="0.25">
      <c r="A54" s="87">
        <v>42001</v>
      </c>
      <c r="B54" s="88" t="str">
        <f t="shared" si="0"/>
        <v>yrEnd</v>
      </c>
      <c r="C54" s="88"/>
      <c r="D54" s="5"/>
      <c r="E54" s="5"/>
      <c r="F54" s="50">
        <v>41974</v>
      </c>
      <c r="G54" s="50">
        <v>42001</v>
      </c>
      <c r="H54" s="5" t="s">
        <v>92</v>
      </c>
      <c r="I54" s="5" t="s">
        <v>14</v>
      </c>
      <c r="J54" s="5" t="s">
        <v>12</v>
      </c>
      <c r="K54" s="5"/>
      <c r="L54" s="5" t="s">
        <v>127</v>
      </c>
      <c r="M54" s="89" t="str">
        <f t="shared" si="1"/>
        <v>yrEnd</v>
      </c>
      <c r="N54" s="90" t="s">
        <v>52</v>
      </c>
      <c r="O54" s="53"/>
      <c r="P54" s="5"/>
      <c r="R54" s="55">
        <v>42002</v>
      </c>
    </row>
    <row r="55" spans="1:18" ht="15.75" x14ac:dyDescent="0.25">
      <c r="A55" s="55">
        <v>42002</v>
      </c>
      <c r="B55" s="56" t="str">
        <f t="shared" si="0"/>
        <v>yrEnd</v>
      </c>
      <c r="C55" s="56"/>
      <c r="D55" s="4"/>
      <c r="F55" s="30">
        <v>42002</v>
      </c>
      <c r="G55" s="30">
        <v>42029</v>
      </c>
      <c r="H55" s="4" t="s">
        <v>93</v>
      </c>
      <c r="I55" s="4" t="s">
        <v>17</v>
      </c>
      <c r="J55" s="4" t="s">
        <v>17</v>
      </c>
      <c r="L55" s="4" t="s">
        <v>128</v>
      </c>
      <c r="M55" s="32" t="str">
        <f t="shared" si="1"/>
        <v>yrEnd</v>
      </c>
      <c r="N55" s="33"/>
      <c r="O55" s="31"/>
      <c r="R55" s="55">
        <v>47119</v>
      </c>
    </row>
    <row r="56" spans="1:18" ht="15.75" x14ac:dyDescent="0.25">
      <c r="A56" s="55">
        <v>42003</v>
      </c>
      <c r="B56" s="56" t="str">
        <f t="shared" si="0"/>
        <v>yrEnd</v>
      </c>
      <c r="C56" s="56"/>
      <c r="D56" s="4"/>
      <c r="F56" s="30">
        <v>42002</v>
      </c>
      <c r="G56" s="30">
        <v>42029</v>
      </c>
      <c r="H56" s="4" t="s">
        <v>93</v>
      </c>
      <c r="I56" s="4" t="s">
        <v>17</v>
      </c>
      <c r="J56" s="4" t="s">
        <v>17</v>
      </c>
      <c r="L56" s="4" t="s">
        <v>128</v>
      </c>
      <c r="M56" s="32" t="str">
        <f t="shared" si="1"/>
        <v>yrEnd</v>
      </c>
      <c r="N56" s="33"/>
      <c r="O56" s="31"/>
    </row>
    <row r="57" spans="1:18" ht="15.75" x14ac:dyDescent="0.25">
      <c r="A57" s="55">
        <v>42004</v>
      </c>
      <c r="B57" s="56" t="str">
        <f t="shared" si="0"/>
        <v>yrEnd</v>
      </c>
      <c r="C57" s="56"/>
      <c r="D57" s="4"/>
      <c r="F57" s="30">
        <v>42002</v>
      </c>
      <c r="G57" s="30">
        <v>42029</v>
      </c>
      <c r="H57" s="4" t="s">
        <v>93</v>
      </c>
      <c r="I57" s="4" t="s">
        <v>17</v>
      </c>
      <c r="J57" s="4" t="s">
        <v>17</v>
      </c>
      <c r="L57" s="4" t="s">
        <v>128</v>
      </c>
      <c r="M57" s="32" t="str">
        <f t="shared" si="1"/>
        <v>yrEnd</v>
      </c>
      <c r="N57" s="33"/>
      <c r="O57" s="31"/>
    </row>
    <row r="58" spans="1:18" ht="15.75" x14ac:dyDescent="0.25">
      <c r="A58" s="55">
        <v>42005</v>
      </c>
      <c r="B58" s="56" t="str">
        <f t="shared" si="0"/>
        <v>yrEnd</v>
      </c>
      <c r="C58" s="56"/>
      <c r="D58" s="4"/>
      <c r="F58" s="30">
        <v>42002</v>
      </c>
      <c r="G58" s="30">
        <v>42029</v>
      </c>
      <c r="H58" s="4" t="s">
        <v>93</v>
      </c>
      <c r="I58" s="4" t="s">
        <v>17</v>
      </c>
      <c r="J58" s="4" t="s">
        <v>17</v>
      </c>
      <c r="L58" s="4" t="s">
        <v>128</v>
      </c>
      <c r="M58" s="32" t="str">
        <f t="shared" si="1"/>
        <v>yrEnd</v>
      </c>
      <c r="N58" s="33"/>
      <c r="O58" s="31"/>
    </row>
    <row r="59" spans="1:18" ht="15.75" x14ac:dyDescent="0.25">
      <c r="A59" s="55">
        <v>42006</v>
      </c>
      <c r="B59" s="56" t="str">
        <f t="shared" si="0"/>
        <v>yrEnd</v>
      </c>
      <c r="C59" s="56"/>
      <c r="D59" s="4"/>
      <c r="F59" s="30">
        <v>42002</v>
      </c>
      <c r="G59" s="30">
        <v>42029</v>
      </c>
      <c r="H59" s="4" t="s">
        <v>93</v>
      </c>
      <c r="I59" s="4" t="s">
        <v>17</v>
      </c>
      <c r="J59" s="4" t="s">
        <v>17</v>
      </c>
      <c r="L59" s="4" t="s">
        <v>128</v>
      </c>
      <c r="M59" s="32" t="str">
        <f t="shared" si="1"/>
        <v>yrEnd</v>
      </c>
      <c r="N59" s="33"/>
      <c r="O59" s="31"/>
    </row>
    <row r="60" spans="1:18" ht="15.75" x14ac:dyDescent="0.25">
      <c r="A60" s="55">
        <v>42007</v>
      </c>
      <c r="B60" s="56" t="str">
        <f t="shared" si="0"/>
        <v>yrEnd</v>
      </c>
      <c r="C60" s="56"/>
      <c r="D60" s="4"/>
      <c r="F60" s="30">
        <v>42002</v>
      </c>
      <c r="G60" s="30">
        <v>42029</v>
      </c>
      <c r="H60" s="4" t="s">
        <v>93</v>
      </c>
      <c r="I60" s="4" t="s">
        <v>17</v>
      </c>
      <c r="J60" s="4" t="s">
        <v>17</v>
      </c>
      <c r="L60" s="4" t="s">
        <v>128</v>
      </c>
      <c r="M60" s="32" t="str">
        <f t="shared" si="1"/>
        <v>yrEnd</v>
      </c>
      <c r="N60" s="33"/>
      <c r="O60" s="31"/>
    </row>
    <row r="61" spans="1:18" ht="15.75" x14ac:dyDescent="0.25">
      <c r="A61" s="55">
        <v>42008</v>
      </c>
      <c r="B61" s="56" t="str">
        <f t="shared" si="0"/>
        <v>yrEnd</v>
      </c>
      <c r="C61" s="56"/>
      <c r="D61" s="4"/>
      <c r="F61" s="30">
        <v>42002</v>
      </c>
      <c r="G61" s="30">
        <v>42029</v>
      </c>
      <c r="H61" s="4" t="s">
        <v>93</v>
      </c>
      <c r="I61" s="4" t="s">
        <v>17</v>
      </c>
      <c r="J61" s="4" t="s">
        <v>17</v>
      </c>
      <c r="L61" s="4" t="s">
        <v>128</v>
      </c>
      <c r="M61" s="32" t="str">
        <f t="shared" si="1"/>
        <v>yrEnd</v>
      </c>
      <c r="N61" s="33"/>
      <c r="O61" s="31"/>
    </row>
    <row r="62" spans="1:18" ht="15.75" x14ac:dyDescent="0.25">
      <c r="A62" s="55">
        <v>42009</v>
      </c>
      <c r="B62" s="56" t="str">
        <f t="shared" si="0"/>
        <v>yrEnd</v>
      </c>
      <c r="C62" s="56"/>
      <c r="D62" s="4"/>
      <c r="F62" s="30">
        <v>42002</v>
      </c>
      <c r="G62" s="30">
        <v>42029</v>
      </c>
      <c r="H62" s="4" t="s">
        <v>93</v>
      </c>
      <c r="I62" s="4" t="s">
        <v>17</v>
      </c>
      <c r="J62" s="4" t="s">
        <v>17</v>
      </c>
      <c r="L62" s="4" t="s">
        <v>128</v>
      </c>
      <c r="M62" s="32" t="str">
        <f t="shared" si="1"/>
        <v>yrEnd</v>
      </c>
      <c r="N62" s="33"/>
      <c r="O62" s="31"/>
    </row>
    <row r="63" spans="1:18" ht="15.75" x14ac:dyDescent="0.25">
      <c r="A63" s="55">
        <v>42010</v>
      </c>
      <c r="B63" s="56" t="str">
        <f t="shared" si="0"/>
        <v>yrEnd</v>
      </c>
      <c r="C63" s="56"/>
      <c r="D63" s="4"/>
      <c r="F63" s="30">
        <v>42002</v>
      </c>
      <c r="G63" s="30">
        <v>42029</v>
      </c>
      <c r="H63" s="4" t="s">
        <v>93</v>
      </c>
      <c r="I63" s="4" t="s">
        <v>17</v>
      </c>
      <c r="J63" s="4" t="s">
        <v>17</v>
      </c>
      <c r="L63" s="4" t="s">
        <v>128</v>
      </c>
      <c r="M63" s="32" t="str">
        <f t="shared" si="1"/>
        <v>yrEnd</v>
      </c>
      <c r="N63" s="33"/>
      <c r="O63" s="31"/>
    </row>
    <row r="64" spans="1:18" ht="15.75" x14ac:dyDescent="0.25">
      <c r="A64" s="55">
        <v>42011</v>
      </c>
      <c r="B64" s="56" t="str">
        <f t="shared" si="0"/>
        <v>yrEnd</v>
      </c>
      <c r="C64" s="56"/>
      <c r="D64" s="4"/>
      <c r="F64" s="30">
        <v>42002</v>
      </c>
      <c r="G64" s="30">
        <v>42029</v>
      </c>
      <c r="H64" s="4" t="s">
        <v>93</v>
      </c>
      <c r="I64" s="4" t="s">
        <v>17</v>
      </c>
      <c r="J64" s="4" t="s">
        <v>17</v>
      </c>
      <c r="L64" s="4" t="s">
        <v>128</v>
      </c>
      <c r="M64" s="32" t="str">
        <f t="shared" si="1"/>
        <v>yrEnd</v>
      </c>
      <c r="N64" s="33"/>
      <c r="O64" s="31"/>
    </row>
    <row r="65" spans="1:16" ht="15.75" x14ac:dyDescent="0.25">
      <c r="A65" s="55">
        <v>42012</v>
      </c>
      <c r="B65" s="56" t="str">
        <f t="shared" si="0"/>
        <v>yrEnd</v>
      </c>
      <c r="C65" s="56"/>
      <c r="D65" s="4"/>
      <c r="F65" s="30">
        <v>42002</v>
      </c>
      <c r="G65" s="30">
        <v>42029</v>
      </c>
      <c r="H65" s="4" t="s">
        <v>93</v>
      </c>
      <c r="I65" s="4" t="s">
        <v>17</v>
      </c>
      <c r="J65" s="4" t="s">
        <v>17</v>
      </c>
      <c r="L65" s="4" t="s">
        <v>128</v>
      </c>
      <c r="M65" s="32" t="str">
        <f t="shared" si="1"/>
        <v>yrEnd</v>
      </c>
      <c r="N65" s="33"/>
      <c r="O65" s="31"/>
    </row>
    <row r="66" spans="1:16" ht="15.75" x14ac:dyDescent="0.25">
      <c r="A66" s="55">
        <v>42013</v>
      </c>
      <c r="B66" s="56" t="str">
        <f t="shared" si="0"/>
        <v>yrEnd</v>
      </c>
      <c r="C66" s="56"/>
      <c r="D66" s="4"/>
      <c r="F66" s="30">
        <v>42002</v>
      </c>
      <c r="G66" s="30">
        <v>42029</v>
      </c>
      <c r="H66" s="4" t="s">
        <v>93</v>
      </c>
      <c r="I66" s="4" t="s">
        <v>17</v>
      </c>
      <c r="J66" s="4" t="s">
        <v>17</v>
      </c>
      <c r="L66" s="4" t="s">
        <v>128</v>
      </c>
      <c r="M66" s="32" t="str">
        <f t="shared" si="1"/>
        <v>yrEnd</v>
      </c>
      <c r="N66" s="33"/>
      <c r="O66" s="31"/>
    </row>
    <row r="67" spans="1:16" ht="15.75" x14ac:dyDescent="0.25">
      <c r="A67" s="55">
        <v>42014</v>
      </c>
      <c r="B67" s="56" t="str">
        <f t="shared" si="0"/>
        <v>yrEnd</v>
      </c>
      <c r="C67" s="56"/>
      <c r="D67" s="4"/>
      <c r="F67" s="30">
        <v>42002</v>
      </c>
      <c r="G67" s="30">
        <v>42029</v>
      </c>
      <c r="H67" s="4" t="s">
        <v>93</v>
      </c>
      <c r="I67" s="4" t="s">
        <v>17</v>
      </c>
      <c r="J67" s="4" t="s">
        <v>17</v>
      </c>
      <c r="L67" s="4" t="s">
        <v>128</v>
      </c>
      <c r="M67" s="32" t="str">
        <f t="shared" si="1"/>
        <v>yrEnd</v>
      </c>
      <c r="N67" s="33"/>
      <c r="O67" s="31"/>
    </row>
    <row r="68" spans="1:16" ht="15.75" x14ac:dyDescent="0.25">
      <c r="A68" s="55">
        <v>47109</v>
      </c>
      <c r="B68" s="56" t="str">
        <f t="shared" si="0"/>
        <v>yrEnd</v>
      </c>
      <c r="C68" s="56"/>
      <c r="D68" s="4"/>
      <c r="F68" s="30">
        <v>47084</v>
      </c>
      <c r="G68" s="30">
        <v>47118</v>
      </c>
      <c r="H68" s="4" t="s">
        <v>103</v>
      </c>
      <c r="I68" s="4" t="s">
        <v>14</v>
      </c>
      <c r="J68" s="4" t="s">
        <v>12</v>
      </c>
      <c r="L68" s="4" t="s">
        <v>132</v>
      </c>
      <c r="M68" s="32" t="str">
        <f t="shared" si="1"/>
        <v>yrEnd</v>
      </c>
      <c r="N68" s="33"/>
      <c r="O68" s="31"/>
    </row>
    <row r="69" spans="1:16" ht="15.75" x14ac:dyDescent="0.25">
      <c r="A69" s="55">
        <v>47110</v>
      </c>
      <c r="B69" s="56" t="str">
        <f t="shared" si="0"/>
        <v>yrEnd</v>
      </c>
      <c r="C69" s="57"/>
      <c r="D69" s="4"/>
      <c r="F69" s="30">
        <v>47084</v>
      </c>
      <c r="G69" s="30">
        <v>47118</v>
      </c>
      <c r="H69" s="4" t="s">
        <v>103</v>
      </c>
      <c r="I69" s="4" t="s">
        <v>14</v>
      </c>
      <c r="J69" s="4" t="s">
        <v>12</v>
      </c>
      <c r="L69" s="4" t="s">
        <v>132</v>
      </c>
      <c r="M69" s="32" t="str">
        <f t="shared" si="1"/>
        <v>yrEnd</v>
      </c>
      <c r="N69" s="33"/>
      <c r="O69" s="31"/>
    </row>
    <row r="70" spans="1:16" ht="15.75" x14ac:dyDescent="0.25">
      <c r="A70" s="55">
        <v>47111</v>
      </c>
      <c r="B70" s="56" t="str">
        <f t="shared" si="0"/>
        <v>yrEnd</v>
      </c>
      <c r="C70" s="57"/>
      <c r="D70" s="4"/>
      <c r="F70" s="30">
        <v>47084</v>
      </c>
      <c r="G70" s="30">
        <v>47118</v>
      </c>
      <c r="H70" s="4" t="s">
        <v>103</v>
      </c>
      <c r="I70" s="4" t="s">
        <v>14</v>
      </c>
      <c r="J70" s="4" t="s">
        <v>12</v>
      </c>
      <c r="L70" s="4" t="s">
        <v>132</v>
      </c>
      <c r="M70" s="32" t="str">
        <f t="shared" si="1"/>
        <v>yrEnd</v>
      </c>
      <c r="N70" s="33"/>
      <c r="O70" s="31"/>
    </row>
    <row r="71" spans="1:16" ht="15.75" x14ac:dyDescent="0.25">
      <c r="A71" s="55">
        <v>47112</v>
      </c>
      <c r="B71" s="56" t="str">
        <f t="shared" si="0"/>
        <v>yrEnd</v>
      </c>
      <c r="C71" s="57"/>
      <c r="D71" s="4"/>
      <c r="F71" s="30">
        <v>47084</v>
      </c>
      <c r="G71" s="30">
        <v>47118</v>
      </c>
      <c r="H71" s="4" t="s">
        <v>103</v>
      </c>
      <c r="I71" s="4" t="s">
        <v>14</v>
      </c>
      <c r="J71" s="4" t="s">
        <v>12</v>
      </c>
      <c r="L71" s="4" t="s">
        <v>132</v>
      </c>
      <c r="M71" s="32" t="str">
        <f t="shared" si="1"/>
        <v>yrEnd</v>
      </c>
      <c r="N71" s="33"/>
      <c r="O71" s="31"/>
    </row>
    <row r="72" spans="1:16" ht="15.75" x14ac:dyDescent="0.25">
      <c r="A72" s="55">
        <v>47113</v>
      </c>
      <c r="B72" s="56" t="str">
        <f t="shared" si="0"/>
        <v>yrEnd</v>
      </c>
      <c r="C72" s="57"/>
      <c r="D72" s="4"/>
      <c r="F72" s="30">
        <v>47084</v>
      </c>
      <c r="G72" s="30">
        <v>47118</v>
      </c>
      <c r="H72" s="4" t="s">
        <v>103</v>
      </c>
      <c r="I72" s="4" t="s">
        <v>14</v>
      </c>
      <c r="J72" s="4" t="s">
        <v>12</v>
      </c>
      <c r="L72" s="4" t="s">
        <v>132</v>
      </c>
      <c r="M72" s="32" t="str">
        <f t="shared" si="1"/>
        <v>yrEnd</v>
      </c>
      <c r="N72" s="33"/>
      <c r="O72" s="31"/>
    </row>
    <row r="73" spans="1:16" ht="15.75" x14ac:dyDescent="0.25">
      <c r="A73" s="55">
        <v>47114</v>
      </c>
      <c r="B73" s="56" t="str">
        <f t="shared" ref="B73:B87" si="2">$M$1</f>
        <v>yrEnd</v>
      </c>
      <c r="C73" s="57"/>
      <c r="D73" s="4"/>
      <c r="F73" s="30">
        <v>47084</v>
      </c>
      <c r="G73" s="30">
        <v>47118</v>
      </c>
      <c r="H73" s="4" t="s">
        <v>103</v>
      </c>
      <c r="I73" s="4" t="s">
        <v>14</v>
      </c>
      <c r="J73" s="4" t="s">
        <v>12</v>
      </c>
      <c r="L73" s="4" t="s">
        <v>132</v>
      </c>
      <c r="M73" s="32" t="str">
        <f t="shared" ref="M73:M87" si="3">B73</f>
        <v>yrEnd</v>
      </c>
      <c r="N73" s="33"/>
      <c r="O73" s="31"/>
    </row>
    <row r="74" spans="1:16" ht="15.75" x14ac:dyDescent="0.25">
      <c r="A74" s="55">
        <v>47115</v>
      </c>
      <c r="B74" s="56" t="str">
        <f t="shared" si="2"/>
        <v>yrEnd</v>
      </c>
      <c r="C74" s="57"/>
      <c r="D74" s="4"/>
      <c r="F74" s="30">
        <v>47084</v>
      </c>
      <c r="G74" s="30">
        <v>47118</v>
      </c>
      <c r="H74" s="4" t="s">
        <v>103</v>
      </c>
      <c r="I74" s="4" t="s">
        <v>14</v>
      </c>
      <c r="J74" s="4" t="s">
        <v>12</v>
      </c>
      <c r="L74" s="4" t="s">
        <v>132</v>
      </c>
      <c r="M74" s="32" t="str">
        <f t="shared" si="3"/>
        <v>yrEnd</v>
      </c>
      <c r="N74" s="33"/>
      <c r="O74" s="31"/>
    </row>
    <row r="75" spans="1:16" ht="15.75" x14ac:dyDescent="0.25">
      <c r="A75" s="55">
        <v>47116</v>
      </c>
      <c r="B75" s="56" t="str">
        <f t="shared" si="2"/>
        <v>yrEnd</v>
      </c>
      <c r="C75" s="57"/>
      <c r="D75" s="4"/>
      <c r="F75" s="30">
        <v>47084</v>
      </c>
      <c r="G75" s="30">
        <v>47118</v>
      </c>
      <c r="H75" s="4" t="s">
        <v>103</v>
      </c>
      <c r="I75" s="4" t="s">
        <v>14</v>
      </c>
      <c r="J75" s="4" t="s">
        <v>12</v>
      </c>
      <c r="L75" s="4" t="s">
        <v>132</v>
      </c>
      <c r="M75" s="32" t="str">
        <f t="shared" si="3"/>
        <v>yrEnd</v>
      </c>
      <c r="N75" s="33"/>
      <c r="O75" s="31"/>
    </row>
    <row r="76" spans="1:16" ht="15.75" x14ac:dyDescent="0.25">
      <c r="A76" s="55">
        <v>47117</v>
      </c>
      <c r="B76" s="56" t="str">
        <f t="shared" si="2"/>
        <v>yrEnd</v>
      </c>
      <c r="C76" s="57"/>
      <c r="D76" s="4"/>
      <c r="F76" s="30">
        <v>47084</v>
      </c>
      <c r="G76" s="30">
        <v>47118</v>
      </c>
      <c r="H76" s="4" t="s">
        <v>103</v>
      </c>
      <c r="I76" s="4" t="s">
        <v>14</v>
      </c>
      <c r="J76" s="4" t="s">
        <v>12</v>
      </c>
      <c r="L76" s="4" t="s">
        <v>132</v>
      </c>
      <c r="M76" s="32" t="str">
        <f t="shared" si="3"/>
        <v>yrEnd</v>
      </c>
      <c r="N76" s="33"/>
      <c r="O76" s="31"/>
    </row>
    <row r="77" spans="1:16" ht="15.75" x14ac:dyDescent="0.25">
      <c r="A77" s="87">
        <v>47118</v>
      </c>
      <c r="B77" s="88" t="str">
        <f t="shared" si="2"/>
        <v>yrEnd</v>
      </c>
      <c r="C77" s="58"/>
      <c r="D77" s="5"/>
      <c r="E77" s="5"/>
      <c r="F77" s="50">
        <v>47084</v>
      </c>
      <c r="G77" s="50">
        <v>47118</v>
      </c>
      <c r="H77" s="5" t="s">
        <v>103</v>
      </c>
      <c r="I77" s="5" t="s">
        <v>14</v>
      </c>
      <c r="J77" s="5" t="s">
        <v>12</v>
      </c>
      <c r="K77" s="5"/>
      <c r="L77" s="5" t="s">
        <v>132</v>
      </c>
      <c r="M77" s="89" t="str">
        <f t="shared" si="3"/>
        <v>yrEnd</v>
      </c>
      <c r="N77" s="90" t="s">
        <v>52</v>
      </c>
      <c r="O77" s="53"/>
      <c r="P77" s="5"/>
    </row>
    <row r="78" spans="1:16" ht="15.75" x14ac:dyDescent="0.25">
      <c r="A78" s="55">
        <v>47119</v>
      </c>
      <c r="B78" s="56" t="str">
        <f t="shared" si="2"/>
        <v>yrEnd</v>
      </c>
      <c r="C78" s="57"/>
      <c r="D78" s="4"/>
      <c r="F78" s="30">
        <v>47119</v>
      </c>
      <c r="G78" s="30">
        <v>47146</v>
      </c>
      <c r="H78" s="4" t="s">
        <v>105</v>
      </c>
      <c r="I78" s="4" t="s">
        <v>17</v>
      </c>
      <c r="J78" s="4" t="s">
        <v>17</v>
      </c>
      <c r="L78" s="4" t="s">
        <v>217</v>
      </c>
      <c r="M78" s="32" t="str">
        <f t="shared" si="3"/>
        <v>yrEnd</v>
      </c>
      <c r="N78" s="33"/>
      <c r="O78" s="31"/>
    </row>
    <row r="79" spans="1:16" ht="15.75" x14ac:dyDescent="0.25">
      <c r="A79" s="55">
        <v>47120</v>
      </c>
      <c r="B79" s="56" t="str">
        <f t="shared" si="2"/>
        <v>yrEnd</v>
      </c>
      <c r="C79" s="57"/>
      <c r="D79" s="4"/>
      <c r="F79" s="30">
        <v>47119</v>
      </c>
      <c r="G79" s="30">
        <v>47146</v>
      </c>
      <c r="H79" s="4" t="s">
        <v>105</v>
      </c>
      <c r="I79" s="4" t="s">
        <v>17</v>
      </c>
      <c r="J79" s="4" t="s">
        <v>17</v>
      </c>
      <c r="L79" s="4" t="s">
        <v>217</v>
      </c>
      <c r="M79" s="32" t="str">
        <f t="shared" si="3"/>
        <v>yrEnd</v>
      </c>
      <c r="N79" s="33"/>
      <c r="O79" s="31"/>
    </row>
    <row r="80" spans="1:16" ht="15.75" x14ac:dyDescent="0.25">
      <c r="A80" s="55">
        <v>47121</v>
      </c>
      <c r="B80" s="56" t="str">
        <f t="shared" si="2"/>
        <v>yrEnd</v>
      </c>
      <c r="C80" s="57"/>
      <c r="D80" s="4"/>
      <c r="F80" s="30">
        <v>47119</v>
      </c>
      <c r="G80" s="30">
        <v>47146</v>
      </c>
      <c r="H80" s="4" t="s">
        <v>105</v>
      </c>
      <c r="I80" s="4" t="s">
        <v>17</v>
      </c>
      <c r="J80" s="4" t="s">
        <v>17</v>
      </c>
      <c r="L80" s="4" t="s">
        <v>217</v>
      </c>
      <c r="M80" s="32" t="str">
        <f t="shared" si="3"/>
        <v>yrEnd</v>
      </c>
      <c r="N80" s="33"/>
      <c r="O80" s="31"/>
    </row>
    <row r="81" spans="1:15" ht="15.75" x14ac:dyDescent="0.25">
      <c r="A81" s="55">
        <v>47122</v>
      </c>
      <c r="B81" s="56" t="str">
        <f t="shared" si="2"/>
        <v>yrEnd</v>
      </c>
      <c r="C81" s="57"/>
      <c r="D81" s="4"/>
      <c r="F81" s="30">
        <v>47119</v>
      </c>
      <c r="G81" s="30">
        <v>47146</v>
      </c>
      <c r="H81" s="4" t="s">
        <v>105</v>
      </c>
      <c r="I81" s="4" t="s">
        <v>17</v>
      </c>
      <c r="J81" s="4" t="s">
        <v>17</v>
      </c>
      <c r="L81" s="4" t="s">
        <v>217</v>
      </c>
      <c r="M81" s="32" t="str">
        <f t="shared" si="3"/>
        <v>yrEnd</v>
      </c>
      <c r="N81" s="33"/>
      <c r="O81" s="31"/>
    </row>
    <row r="82" spans="1:15" ht="15.75" x14ac:dyDescent="0.25">
      <c r="A82" s="55">
        <v>47123</v>
      </c>
      <c r="B82" s="56" t="str">
        <f t="shared" si="2"/>
        <v>yrEnd</v>
      </c>
      <c r="C82" s="57"/>
      <c r="D82" s="4"/>
      <c r="F82" s="30">
        <v>47119</v>
      </c>
      <c r="G82" s="30">
        <v>47146</v>
      </c>
      <c r="H82" s="4" t="s">
        <v>105</v>
      </c>
      <c r="I82" s="4" t="s">
        <v>17</v>
      </c>
      <c r="J82" s="4" t="s">
        <v>17</v>
      </c>
      <c r="L82" s="4" t="s">
        <v>217</v>
      </c>
      <c r="M82" s="32" t="str">
        <f t="shared" si="3"/>
        <v>yrEnd</v>
      </c>
      <c r="N82" s="33"/>
      <c r="O82" s="31"/>
    </row>
    <row r="83" spans="1:15" ht="15.75" x14ac:dyDescent="0.25">
      <c r="A83" s="55">
        <v>47124</v>
      </c>
      <c r="B83" s="56" t="str">
        <f t="shared" si="2"/>
        <v>yrEnd</v>
      </c>
      <c r="C83" s="57"/>
      <c r="D83" s="4"/>
      <c r="F83" s="30">
        <v>47119</v>
      </c>
      <c r="G83" s="30">
        <v>47146</v>
      </c>
      <c r="H83" s="4" t="s">
        <v>105</v>
      </c>
      <c r="I83" s="4" t="s">
        <v>17</v>
      </c>
      <c r="J83" s="4" t="s">
        <v>17</v>
      </c>
      <c r="L83" s="4" t="s">
        <v>217</v>
      </c>
      <c r="M83" s="32" t="str">
        <f t="shared" si="3"/>
        <v>yrEnd</v>
      </c>
      <c r="N83" s="33"/>
      <c r="O83" s="31"/>
    </row>
    <row r="84" spans="1:15" ht="15.75" x14ac:dyDescent="0.25">
      <c r="A84" s="55">
        <v>47125</v>
      </c>
      <c r="B84" s="56" t="str">
        <f t="shared" si="2"/>
        <v>yrEnd</v>
      </c>
      <c r="C84" s="57"/>
      <c r="D84" s="4"/>
      <c r="F84" s="30">
        <v>47119</v>
      </c>
      <c r="G84" s="30">
        <v>47146</v>
      </c>
      <c r="H84" s="4" t="s">
        <v>105</v>
      </c>
      <c r="I84" s="4" t="s">
        <v>17</v>
      </c>
      <c r="J84" s="4" t="s">
        <v>17</v>
      </c>
      <c r="L84" s="4" t="s">
        <v>217</v>
      </c>
      <c r="M84" s="32" t="str">
        <f t="shared" si="3"/>
        <v>yrEnd</v>
      </c>
      <c r="N84" s="33"/>
      <c r="O84" s="31"/>
    </row>
    <row r="85" spans="1:15" ht="15.75" x14ac:dyDescent="0.25">
      <c r="A85" s="55">
        <v>47126</v>
      </c>
      <c r="B85" s="56" t="str">
        <f t="shared" si="2"/>
        <v>yrEnd</v>
      </c>
      <c r="C85" s="57"/>
      <c r="D85" s="4"/>
      <c r="F85" s="30">
        <v>47119</v>
      </c>
      <c r="G85" s="30">
        <v>47146</v>
      </c>
      <c r="H85" s="4" t="s">
        <v>105</v>
      </c>
      <c r="I85" s="4" t="s">
        <v>17</v>
      </c>
      <c r="J85" s="4" t="s">
        <v>17</v>
      </c>
      <c r="L85" s="4" t="s">
        <v>217</v>
      </c>
      <c r="M85" s="32" t="str">
        <f t="shared" si="3"/>
        <v>yrEnd</v>
      </c>
      <c r="N85" s="33"/>
      <c r="O85" s="31"/>
    </row>
    <row r="86" spans="1:15" ht="15.75" x14ac:dyDescent="0.25">
      <c r="A86" s="55">
        <v>47127</v>
      </c>
      <c r="B86" s="56" t="str">
        <f t="shared" si="2"/>
        <v>yrEnd</v>
      </c>
      <c r="C86" s="57"/>
      <c r="D86" s="4"/>
      <c r="F86" s="30">
        <v>47119</v>
      </c>
      <c r="G86" s="30">
        <v>47146</v>
      </c>
      <c r="H86" s="4" t="s">
        <v>105</v>
      </c>
      <c r="I86" s="4" t="s">
        <v>17</v>
      </c>
      <c r="J86" s="4" t="s">
        <v>17</v>
      </c>
      <c r="L86" s="4" t="s">
        <v>217</v>
      </c>
      <c r="M86" s="32" t="str">
        <f t="shared" si="3"/>
        <v>yrEnd</v>
      </c>
      <c r="N86" s="33"/>
      <c r="O86" s="31"/>
    </row>
    <row r="87" spans="1:15" ht="15.75" x14ac:dyDescent="0.25">
      <c r="A87" s="55">
        <v>47128</v>
      </c>
      <c r="B87" s="56" t="str">
        <f t="shared" si="2"/>
        <v>yrEnd</v>
      </c>
      <c r="C87" s="57"/>
      <c r="D87" s="4"/>
      <c r="F87" s="30">
        <v>47119</v>
      </c>
      <c r="G87" s="30">
        <v>47146</v>
      </c>
      <c r="H87" s="4" t="s">
        <v>105</v>
      </c>
      <c r="I87" s="4" t="s">
        <v>17</v>
      </c>
      <c r="J87" s="4" t="s">
        <v>17</v>
      </c>
      <c r="L87" s="4" t="s">
        <v>217</v>
      </c>
      <c r="M87" s="32" t="str">
        <f t="shared" si="3"/>
        <v>yrEnd</v>
      </c>
      <c r="N87" s="33"/>
      <c r="O87" s="31"/>
    </row>
    <row r="88" spans="1:15" x14ac:dyDescent="0.25">
      <c r="A88" s="30"/>
      <c r="B88" s="31"/>
      <c r="C88" s="4"/>
      <c r="D88" s="4"/>
      <c r="F88" s="30"/>
      <c r="G88" s="30"/>
      <c r="H88" s="4"/>
      <c r="I88" s="4"/>
      <c r="J88" s="4"/>
      <c r="L88" s="4"/>
      <c r="M88" s="4"/>
      <c r="N88" s="4"/>
      <c r="O88" s="4"/>
    </row>
    <row r="89" spans="1:15" x14ac:dyDescent="0.25">
      <c r="A89" s="1"/>
      <c r="B89" s="3"/>
      <c r="F89" s="1"/>
      <c r="G89" s="1"/>
    </row>
    <row r="90" spans="1:15" x14ac:dyDescent="0.25">
      <c r="A90" s="1"/>
      <c r="B90" s="3"/>
      <c r="F90" s="1"/>
      <c r="G90" s="1"/>
    </row>
    <row r="91" spans="1:15" x14ac:dyDescent="0.25">
      <c r="A91" s="1"/>
      <c r="B91" s="3"/>
      <c r="F91" s="1"/>
      <c r="G91" s="1"/>
    </row>
    <row r="92" spans="1:15" x14ac:dyDescent="0.25">
      <c r="A92" s="1"/>
      <c r="B92" s="3"/>
      <c r="F92" s="1"/>
      <c r="G92" s="1"/>
    </row>
    <row r="93" spans="1:15" x14ac:dyDescent="0.25">
      <c r="A93" s="1"/>
      <c r="B93" s="3"/>
      <c r="F93" s="1"/>
      <c r="G93" s="1"/>
    </row>
    <row r="94" spans="1:15" x14ac:dyDescent="0.25">
      <c r="A94" s="1"/>
      <c r="B94" s="3"/>
      <c r="F94" s="1"/>
      <c r="G94" s="1"/>
    </row>
    <row r="95" spans="1:15" x14ac:dyDescent="0.25">
      <c r="A95" s="1"/>
      <c r="B95" s="3"/>
      <c r="F95" s="1"/>
      <c r="G95" s="1"/>
    </row>
    <row r="96" spans="1:15" x14ac:dyDescent="0.25">
      <c r="A96" s="1"/>
      <c r="B96" s="3"/>
      <c r="F96" s="1"/>
      <c r="G96" s="1"/>
    </row>
    <row r="97" spans="1:13" x14ac:dyDescent="0.25">
      <c r="A97" s="1"/>
      <c r="B97" s="3"/>
      <c r="F97" s="1"/>
      <c r="G97" s="1"/>
    </row>
    <row r="98" spans="1:13" x14ac:dyDescent="0.25">
      <c r="A98" s="1"/>
      <c r="B98" s="3"/>
      <c r="F98" s="1"/>
      <c r="G98" s="1"/>
    </row>
    <row r="99" spans="1:13" x14ac:dyDescent="0.25">
      <c r="A99" s="1"/>
      <c r="B99" s="3"/>
      <c r="F99" s="1"/>
      <c r="G99" s="1"/>
    </row>
    <row r="100" spans="1:13" x14ac:dyDescent="0.25">
      <c r="A100" s="1"/>
      <c r="B100" s="3"/>
      <c r="F100" s="1"/>
      <c r="G100" s="1"/>
    </row>
    <row r="101" spans="1:13" x14ac:dyDescent="0.25">
      <c r="A101" s="1"/>
      <c r="B101" s="3"/>
      <c r="F101" s="1"/>
      <c r="G101" s="1"/>
    </row>
    <row r="102" spans="1:13" x14ac:dyDescent="0.25">
      <c r="A102" s="1"/>
      <c r="B102" s="3"/>
      <c r="F102" s="1"/>
      <c r="G102" s="1"/>
    </row>
    <row r="103" spans="1:13" x14ac:dyDescent="0.25">
      <c r="A103" s="1"/>
      <c r="B103" s="3"/>
      <c r="F103" s="1"/>
      <c r="G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3"/>
      <c r="F111" s="1"/>
      <c r="G111" s="1"/>
      <c r="M111" s="1"/>
    </row>
    <row r="112" spans="1:13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87">
    <cfRule type="cellIs" dxfId="8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2225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2225" r:id="rId4" name="ExecuteQueries"/>
      </mc:Fallback>
    </mc:AlternateContent>
    <mc:AlternateContent xmlns:mc="http://schemas.openxmlformats.org/markup-compatibility/2006">
      <mc:Choice Requires="x14">
        <control shapeId="52226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52226" r:id="rId6" name="ClearBt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92D050"/>
  </sheetPr>
  <dimension ref="A1:R418"/>
  <sheetViews>
    <sheetView workbookViewId="0">
      <selection activeCell="S23" sqref="S23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9.8554687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10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1">
        <v>36892</v>
      </c>
      <c r="B8" s="56" t="s">
        <v>218</v>
      </c>
      <c r="C8" s="56" t="s">
        <v>227</v>
      </c>
      <c r="F8" s="1">
        <v>36892</v>
      </c>
      <c r="G8" s="1">
        <v>36919</v>
      </c>
      <c r="H8" t="s">
        <v>77</v>
      </c>
      <c r="I8" t="s">
        <v>17</v>
      </c>
      <c r="J8" t="s">
        <v>17</v>
      </c>
      <c r="L8" t="s">
        <v>15</v>
      </c>
      <c r="M8" s="17" t="str">
        <f>B8</f>
        <v>DaysInToYr</v>
      </c>
      <c r="N8" s="18" t="s">
        <v>225</v>
      </c>
      <c r="O8" s="3"/>
      <c r="R8" t="s">
        <v>24</v>
      </c>
    </row>
    <row r="9" spans="1:18" ht="15.75" x14ac:dyDescent="0.25">
      <c r="A9" s="55">
        <v>37255</v>
      </c>
      <c r="B9" s="56" t="s">
        <v>218</v>
      </c>
      <c r="C9" s="56" t="s">
        <v>226</v>
      </c>
      <c r="F9" s="1">
        <v>37228</v>
      </c>
      <c r="G9" s="1">
        <v>37255</v>
      </c>
      <c r="H9" t="s">
        <v>77</v>
      </c>
      <c r="I9" t="s">
        <v>14</v>
      </c>
      <c r="J9" t="s">
        <v>12</v>
      </c>
      <c r="L9" t="s">
        <v>219</v>
      </c>
      <c r="M9" s="17" t="str">
        <f t="shared" ref="M9:M17" si="0">B9</f>
        <v>DaysInToYr</v>
      </c>
      <c r="N9" s="19" t="str">
        <f t="shared" ref="N9:N17" si="1">IF(VALUE(L9)=VALUE(O9), "P","F")</f>
        <v>P</v>
      </c>
      <c r="O9" s="3">
        <f>A9-A8 + 1</f>
        <v>364</v>
      </c>
      <c r="R9" t="s">
        <v>25</v>
      </c>
    </row>
    <row r="10" spans="1:18" ht="15.75" x14ac:dyDescent="0.25">
      <c r="A10" s="55">
        <v>42366</v>
      </c>
      <c r="B10" s="56" t="s">
        <v>218</v>
      </c>
      <c r="C10" s="56" t="s">
        <v>223</v>
      </c>
      <c r="F10" s="1">
        <v>42366</v>
      </c>
      <c r="G10" s="1">
        <v>42393</v>
      </c>
      <c r="H10" t="s">
        <v>16</v>
      </c>
      <c r="I10" t="s">
        <v>17</v>
      </c>
      <c r="J10" t="s">
        <v>17</v>
      </c>
      <c r="L10" t="s">
        <v>15</v>
      </c>
      <c r="M10" s="17" t="str">
        <f t="shared" si="0"/>
        <v>DaysInToYr</v>
      </c>
      <c r="N10" s="18" t="s">
        <v>225</v>
      </c>
      <c r="O10" s="3"/>
      <c r="R10" t="s">
        <v>26</v>
      </c>
    </row>
    <row r="11" spans="1:18" ht="16.5" customHeight="1" x14ac:dyDescent="0.25">
      <c r="A11" s="55">
        <v>42729</v>
      </c>
      <c r="B11" s="56" t="s">
        <v>218</v>
      </c>
      <c r="C11" s="56" t="s">
        <v>224</v>
      </c>
      <c r="F11" s="1">
        <v>42702</v>
      </c>
      <c r="G11" s="1">
        <v>42729</v>
      </c>
      <c r="H11" t="s">
        <v>16</v>
      </c>
      <c r="I11" t="s">
        <v>14</v>
      </c>
      <c r="J11" t="s">
        <v>12</v>
      </c>
      <c r="L11" t="s">
        <v>219</v>
      </c>
      <c r="M11" s="17" t="str">
        <f t="shared" si="0"/>
        <v>DaysInToYr</v>
      </c>
      <c r="N11" s="19" t="str">
        <f t="shared" si="1"/>
        <v>P</v>
      </c>
      <c r="O11" s="3">
        <f>A11-A10 +1</f>
        <v>364</v>
      </c>
      <c r="R11" t="s">
        <v>27</v>
      </c>
    </row>
    <row r="12" spans="1:18" ht="16.5" customHeight="1" x14ac:dyDescent="0.25">
      <c r="A12" s="55">
        <v>42730</v>
      </c>
      <c r="B12" s="56" t="s">
        <v>218</v>
      </c>
      <c r="C12" s="56" t="s">
        <v>229</v>
      </c>
      <c r="F12" s="1">
        <v>42730</v>
      </c>
      <c r="G12" s="1">
        <v>42757</v>
      </c>
      <c r="H12" t="s">
        <v>70</v>
      </c>
      <c r="I12" t="s">
        <v>17</v>
      </c>
      <c r="J12" t="s">
        <v>17</v>
      </c>
      <c r="L12" t="s">
        <v>15</v>
      </c>
      <c r="M12" s="17" t="str">
        <f t="shared" si="0"/>
        <v>DaysInToYr</v>
      </c>
      <c r="N12" s="18" t="s">
        <v>225</v>
      </c>
      <c r="O12" s="3"/>
    </row>
    <row r="13" spans="1:18" ht="16.5" customHeight="1" x14ac:dyDescent="0.25">
      <c r="A13" s="55">
        <v>43100</v>
      </c>
      <c r="B13" s="56" t="s">
        <v>218</v>
      </c>
      <c r="C13" s="56" t="s">
        <v>228</v>
      </c>
      <c r="F13" s="1">
        <v>43066</v>
      </c>
      <c r="G13" s="1">
        <v>43100</v>
      </c>
      <c r="H13" t="s">
        <v>70</v>
      </c>
      <c r="I13" t="s">
        <v>14</v>
      </c>
      <c r="J13" t="s">
        <v>12</v>
      </c>
      <c r="L13" t="s">
        <v>220</v>
      </c>
      <c r="M13" s="17" t="str">
        <f t="shared" si="0"/>
        <v>DaysInToYr</v>
      </c>
      <c r="N13" s="19" t="str">
        <f t="shared" si="1"/>
        <v>P</v>
      </c>
      <c r="O13" s="3">
        <f>A13-A12 +1</f>
        <v>371</v>
      </c>
    </row>
    <row r="14" spans="1:18" ht="15.75" x14ac:dyDescent="0.25">
      <c r="A14" s="55">
        <v>43465</v>
      </c>
      <c r="B14" s="56" t="s">
        <v>218</v>
      </c>
      <c r="C14" s="56" t="s">
        <v>229</v>
      </c>
      <c r="F14" s="1">
        <v>43465</v>
      </c>
      <c r="G14" s="1">
        <v>43492</v>
      </c>
      <c r="H14" t="s">
        <v>73</v>
      </c>
      <c r="I14" t="s">
        <v>17</v>
      </c>
      <c r="J14" t="s">
        <v>17</v>
      </c>
      <c r="L14" t="s">
        <v>15</v>
      </c>
      <c r="M14" s="17" t="str">
        <f t="shared" si="0"/>
        <v>DaysInToYr</v>
      </c>
      <c r="N14" s="18" t="s">
        <v>225</v>
      </c>
      <c r="O14" s="3"/>
      <c r="R14" t="s">
        <v>28</v>
      </c>
    </row>
    <row r="15" spans="1:18" ht="15.75" x14ac:dyDescent="0.25">
      <c r="A15" s="55">
        <v>43828</v>
      </c>
      <c r="B15" s="56" t="s">
        <v>218</v>
      </c>
      <c r="C15" s="56" t="s">
        <v>228</v>
      </c>
      <c r="F15" s="1">
        <v>43801</v>
      </c>
      <c r="G15" s="1">
        <v>43828</v>
      </c>
      <c r="H15" t="s">
        <v>73</v>
      </c>
      <c r="I15" t="s">
        <v>14</v>
      </c>
      <c r="J15" t="s">
        <v>12</v>
      </c>
      <c r="L15" t="s">
        <v>219</v>
      </c>
      <c r="M15" s="17" t="str">
        <f t="shared" si="0"/>
        <v>DaysInToYr</v>
      </c>
      <c r="N15" s="19" t="str">
        <f t="shared" si="1"/>
        <v>P</v>
      </c>
      <c r="O15" s="3">
        <f>A15-A14 +1</f>
        <v>364</v>
      </c>
      <c r="R15" t="s">
        <v>29</v>
      </c>
    </row>
    <row r="16" spans="1:18" ht="15.75" x14ac:dyDescent="0.25">
      <c r="A16" s="55">
        <v>44557</v>
      </c>
      <c r="B16" s="56" t="s">
        <v>218</v>
      </c>
      <c r="C16" s="56" t="s">
        <v>229</v>
      </c>
      <c r="F16" s="1">
        <v>44557</v>
      </c>
      <c r="G16" s="1">
        <v>44584</v>
      </c>
      <c r="H16" t="s">
        <v>95</v>
      </c>
      <c r="I16" t="s">
        <v>17</v>
      </c>
      <c r="J16" t="s">
        <v>17</v>
      </c>
      <c r="L16" t="s">
        <v>15</v>
      </c>
      <c r="M16" s="17" t="str">
        <f t="shared" si="0"/>
        <v>DaysInToYr</v>
      </c>
      <c r="N16" s="18" t="s">
        <v>225</v>
      </c>
      <c r="O16" s="3"/>
      <c r="R16" t="s">
        <v>30</v>
      </c>
    </row>
    <row r="17" spans="1:18" ht="15.75" x14ac:dyDescent="0.25">
      <c r="A17" s="55">
        <v>44920</v>
      </c>
      <c r="B17" s="56" t="s">
        <v>218</v>
      </c>
      <c r="C17" s="56" t="s">
        <v>228</v>
      </c>
      <c r="F17" s="1">
        <v>44893</v>
      </c>
      <c r="G17" s="1">
        <v>44920</v>
      </c>
      <c r="H17" t="s">
        <v>95</v>
      </c>
      <c r="I17" t="s">
        <v>14</v>
      </c>
      <c r="J17" t="s">
        <v>12</v>
      </c>
      <c r="L17" t="s">
        <v>219</v>
      </c>
      <c r="M17" s="17" t="str">
        <f t="shared" si="0"/>
        <v>DaysInToYr</v>
      </c>
      <c r="N17" s="19" t="str">
        <f t="shared" si="1"/>
        <v>P</v>
      </c>
      <c r="O17" s="3">
        <f>A17-A16 +1</f>
        <v>364</v>
      </c>
      <c r="R17" t="s">
        <v>31</v>
      </c>
    </row>
    <row r="18" spans="1:18" ht="15.75" x14ac:dyDescent="0.25">
      <c r="A18" s="55"/>
      <c r="B18" s="56"/>
      <c r="C18" s="56"/>
      <c r="F18" s="1"/>
      <c r="G18" s="1"/>
      <c r="M18" s="17"/>
      <c r="N18" s="19"/>
      <c r="O18" s="3"/>
      <c r="R18" t="s">
        <v>32</v>
      </c>
    </row>
    <row r="19" spans="1:18" ht="15.75" x14ac:dyDescent="0.25">
      <c r="A19" s="55"/>
      <c r="B19" s="56"/>
      <c r="C19" s="56"/>
      <c r="F19" s="1"/>
      <c r="G19" s="1"/>
      <c r="M19" s="17"/>
      <c r="N19" s="19"/>
      <c r="O19" s="3"/>
      <c r="R19" t="s">
        <v>33</v>
      </c>
    </row>
    <row r="20" spans="1:18" ht="15.75" x14ac:dyDescent="0.25">
      <c r="A20" s="55"/>
      <c r="B20" s="56"/>
      <c r="C20" s="56"/>
      <c r="F20" s="1"/>
      <c r="G20" s="1"/>
      <c r="M20" s="17"/>
      <c r="N20" s="19"/>
      <c r="O20" s="3"/>
      <c r="R20" t="s">
        <v>34</v>
      </c>
    </row>
    <row r="21" spans="1:18" ht="15.75" x14ac:dyDescent="0.25">
      <c r="A21" s="55"/>
      <c r="B21" s="56"/>
      <c r="C21" s="56"/>
      <c r="F21" s="1"/>
      <c r="G21" s="1"/>
      <c r="M21" s="17"/>
      <c r="N21" s="19"/>
      <c r="O21" s="3"/>
      <c r="R21" t="s">
        <v>35</v>
      </c>
    </row>
    <row r="22" spans="1:18" ht="15.75" x14ac:dyDescent="0.25">
      <c r="A22" s="55"/>
      <c r="B22" s="56"/>
      <c r="C22" s="56"/>
      <c r="F22" s="1"/>
      <c r="G22" s="1"/>
      <c r="M22" s="17"/>
      <c r="N22" s="19"/>
      <c r="O22" s="3"/>
      <c r="R22" t="s">
        <v>36</v>
      </c>
    </row>
    <row r="23" spans="1:18" ht="15.75" x14ac:dyDescent="0.25">
      <c r="A23" s="55"/>
      <c r="B23" s="56"/>
      <c r="C23" s="56"/>
      <c r="F23" s="1"/>
      <c r="G23" s="1"/>
      <c r="M23" s="17"/>
      <c r="N23" s="19"/>
      <c r="O23" s="3"/>
      <c r="R23" t="s">
        <v>37</v>
      </c>
    </row>
    <row r="24" spans="1:18" ht="15.75" x14ac:dyDescent="0.25">
      <c r="A24" s="55"/>
      <c r="B24" s="56"/>
      <c r="C24" s="56"/>
      <c r="F24" s="1"/>
      <c r="G24" s="1"/>
      <c r="M24" s="17"/>
      <c r="N24" s="19"/>
      <c r="O24" s="3"/>
      <c r="R24" t="s">
        <v>38</v>
      </c>
    </row>
    <row r="25" spans="1:18" ht="15.75" x14ac:dyDescent="0.25">
      <c r="A25" s="55"/>
      <c r="B25" s="56"/>
      <c r="C25" s="56"/>
      <c r="F25" s="1"/>
      <c r="G25" s="1"/>
      <c r="M25" s="17"/>
      <c r="N25" s="19"/>
      <c r="O25" s="3"/>
      <c r="R25" t="s">
        <v>39</v>
      </c>
    </row>
    <row r="26" spans="1:18" ht="15.75" x14ac:dyDescent="0.25">
      <c r="A26" s="55"/>
      <c r="B26" s="56"/>
      <c r="C26" s="56"/>
      <c r="F26" s="1"/>
      <c r="G26" s="1"/>
      <c r="M26" s="17"/>
      <c r="N26" s="19"/>
      <c r="O26" s="3"/>
      <c r="R26" t="s">
        <v>40</v>
      </c>
    </row>
    <row r="27" spans="1:18" ht="15.75" x14ac:dyDescent="0.25">
      <c r="A27" s="55"/>
      <c r="B27" s="56"/>
      <c r="C27" s="56"/>
      <c r="F27" s="1"/>
      <c r="G27" s="1"/>
      <c r="M27" s="17"/>
      <c r="N27" s="19"/>
      <c r="O27" s="3"/>
    </row>
    <row r="28" spans="1:18" ht="15.75" x14ac:dyDescent="0.25">
      <c r="F28" s="1"/>
      <c r="G28" s="1"/>
      <c r="M28" s="17"/>
      <c r="N28" s="19"/>
      <c r="O28" s="3"/>
    </row>
    <row r="29" spans="1:18" ht="15.75" x14ac:dyDescent="0.25">
      <c r="F29" s="1"/>
      <c r="G29" s="1"/>
      <c r="M29" s="17"/>
      <c r="N29" s="19"/>
      <c r="O29" s="3"/>
      <c r="R29" t="s">
        <v>221</v>
      </c>
    </row>
    <row r="30" spans="1:18" ht="15.75" x14ac:dyDescent="0.25">
      <c r="F30" s="1"/>
      <c r="G30" s="1"/>
      <c r="M30" s="17"/>
      <c r="N30" s="19"/>
      <c r="O30" s="3"/>
      <c r="R30" s="55">
        <v>37983</v>
      </c>
    </row>
    <row r="31" spans="1:18" ht="15.75" x14ac:dyDescent="0.25">
      <c r="F31" s="1"/>
      <c r="G31" s="1"/>
      <c r="M31" s="17"/>
      <c r="N31" s="19"/>
      <c r="O31" s="3"/>
      <c r="R31" s="55"/>
    </row>
    <row r="32" spans="1:18" ht="15.75" x14ac:dyDescent="0.25">
      <c r="F32" s="1"/>
      <c r="G32" s="1"/>
      <c r="M32" s="17"/>
      <c r="N32" s="19"/>
      <c r="O32" s="3"/>
      <c r="R32" s="55"/>
    </row>
    <row r="33" spans="1:18" ht="15.75" x14ac:dyDescent="0.25">
      <c r="F33" s="1"/>
      <c r="G33" s="1"/>
      <c r="M33" s="17"/>
      <c r="N33" s="19"/>
      <c r="O33" s="3"/>
      <c r="R33" s="55"/>
    </row>
    <row r="34" spans="1:18" ht="15.75" x14ac:dyDescent="0.25">
      <c r="F34" s="1"/>
      <c r="G34" s="1"/>
      <c r="M34" s="17"/>
      <c r="N34" s="19"/>
      <c r="O34" s="3"/>
      <c r="R34" s="55"/>
    </row>
    <row r="35" spans="1:18" ht="15.75" x14ac:dyDescent="0.25">
      <c r="F35" s="1"/>
      <c r="G35" s="1"/>
      <c r="M35" s="17"/>
      <c r="N35" s="19"/>
      <c r="O35" s="3"/>
      <c r="R35" s="55">
        <v>40538</v>
      </c>
    </row>
    <row r="36" spans="1:18" ht="15.75" x14ac:dyDescent="0.25">
      <c r="F36" s="1"/>
      <c r="G36" s="1"/>
      <c r="M36" s="17"/>
      <c r="N36" s="19"/>
      <c r="O36" s="3"/>
      <c r="R36" s="55">
        <v>42001</v>
      </c>
    </row>
    <row r="37" spans="1:18" ht="15.75" x14ac:dyDescent="0.25">
      <c r="F37" s="1"/>
      <c r="G37" s="1"/>
      <c r="M37" s="17"/>
      <c r="N37" s="19"/>
      <c r="O37" s="3"/>
      <c r="R37" s="55">
        <v>47118</v>
      </c>
    </row>
    <row r="38" spans="1:18" ht="15.75" x14ac:dyDescent="0.25">
      <c r="F38" s="1"/>
      <c r="G38" s="1"/>
      <c r="M38" s="17"/>
      <c r="N38" s="19"/>
      <c r="O38" s="3"/>
    </row>
    <row r="39" spans="1:18" ht="15.75" x14ac:dyDescent="0.25">
      <c r="F39" s="1"/>
      <c r="G39" s="1"/>
      <c r="M39" s="17"/>
      <c r="N39" s="19"/>
      <c r="O39" s="3"/>
    </row>
    <row r="40" spans="1:18" ht="15.75" x14ac:dyDescent="0.25">
      <c r="F40" s="1"/>
      <c r="G40" s="1"/>
      <c r="M40" s="17"/>
      <c r="N40" s="19"/>
      <c r="O40" s="3"/>
      <c r="R40" t="s">
        <v>222</v>
      </c>
    </row>
    <row r="41" spans="1:18" ht="15.75" x14ac:dyDescent="0.25">
      <c r="F41" s="1"/>
      <c r="G41" s="1"/>
      <c r="M41" s="17"/>
      <c r="N41" s="19"/>
      <c r="O41" s="3"/>
      <c r="R41" s="55">
        <v>37984</v>
      </c>
    </row>
    <row r="42" spans="1:18" ht="15.75" x14ac:dyDescent="0.25">
      <c r="F42" s="1"/>
      <c r="G42" s="1"/>
      <c r="M42" s="17"/>
      <c r="N42" s="19"/>
      <c r="O42" s="3"/>
      <c r="R42" s="55">
        <v>40539</v>
      </c>
    </row>
    <row r="43" spans="1:18" ht="15.75" x14ac:dyDescent="0.25">
      <c r="F43" s="1"/>
      <c r="G43" s="1"/>
      <c r="M43" s="17"/>
      <c r="N43" s="19"/>
      <c r="O43" s="3"/>
      <c r="R43" s="55">
        <v>42002</v>
      </c>
    </row>
    <row r="44" spans="1:18" ht="15.75" x14ac:dyDescent="0.25">
      <c r="F44" s="1"/>
      <c r="G44" s="1"/>
      <c r="M44" s="17"/>
      <c r="N44" s="19"/>
      <c r="O44" s="3"/>
      <c r="R44" s="55">
        <v>47119</v>
      </c>
    </row>
    <row r="45" spans="1:18" ht="15.75" x14ac:dyDescent="0.25">
      <c r="A45" s="55"/>
      <c r="B45" s="56"/>
      <c r="C45" s="56"/>
      <c r="F45" s="1"/>
      <c r="G45" s="1"/>
      <c r="M45" s="17"/>
      <c r="N45" s="19"/>
      <c r="O45" s="3"/>
    </row>
    <row r="46" spans="1:18" ht="15.75" x14ac:dyDescent="0.25">
      <c r="A46" s="55"/>
      <c r="B46" s="56"/>
      <c r="C46" s="56"/>
      <c r="F46" s="1"/>
      <c r="G46" s="1"/>
      <c r="M46" s="17"/>
      <c r="N46" s="19"/>
      <c r="O46" s="3"/>
    </row>
    <row r="47" spans="1:18" ht="15.75" x14ac:dyDescent="0.25">
      <c r="A47" s="55"/>
      <c r="B47" s="56"/>
      <c r="C47" s="56"/>
      <c r="F47" s="1"/>
      <c r="G47" s="1"/>
      <c r="M47" s="17"/>
      <c r="N47" s="19"/>
      <c r="O47" s="3"/>
    </row>
    <row r="48" spans="1:18" ht="15.75" x14ac:dyDescent="0.25">
      <c r="A48" s="55"/>
      <c r="B48" s="56"/>
      <c r="C48" s="56"/>
      <c r="E48" s="2" t="s">
        <v>71</v>
      </c>
      <c r="F48" s="1"/>
      <c r="G48" s="1"/>
      <c r="M48" s="17"/>
      <c r="N48" s="19"/>
      <c r="O48" s="3"/>
    </row>
    <row r="49" spans="1:15" ht="15.75" x14ac:dyDescent="0.25">
      <c r="A49" s="55"/>
      <c r="B49" s="56"/>
      <c r="C49" s="56"/>
      <c r="F49" s="1"/>
      <c r="G49" s="1"/>
      <c r="M49" s="17"/>
      <c r="N49" s="19"/>
      <c r="O49" s="3"/>
    </row>
    <row r="50" spans="1:15" ht="15.75" x14ac:dyDescent="0.25">
      <c r="A50" s="55"/>
      <c r="B50" s="56"/>
      <c r="C50" s="56"/>
      <c r="F50" s="1"/>
      <c r="G50" s="1"/>
      <c r="M50" s="17"/>
      <c r="N50" s="19"/>
      <c r="O50" s="3"/>
    </row>
    <row r="51" spans="1:15" ht="15.75" x14ac:dyDescent="0.25">
      <c r="A51" s="55"/>
      <c r="B51" s="56"/>
      <c r="C51" s="56"/>
      <c r="F51" s="1"/>
      <c r="G51" s="1"/>
      <c r="M51" s="17"/>
      <c r="N51" s="19"/>
      <c r="O51" s="3"/>
    </row>
    <row r="52" spans="1:15" ht="15.75" x14ac:dyDescent="0.25">
      <c r="A52" s="55"/>
      <c r="B52" s="56"/>
      <c r="C52" s="56"/>
      <c r="F52" s="1"/>
      <c r="G52" s="1"/>
      <c r="M52" s="17"/>
      <c r="N52" s="19"/>
      <c r="O52" s="3"/>
    </row>
    <row r="53" spans="1:15" ht="15.75" x14ac:dyDescent="0.25">
      <c r="A53" s="55"/>
      <c r="B53" s="56"/>
      <c r="C53" s="56"/>
      <c r="F53" s="1"/>
      <c r="G53" s="1"/>
      <c r="M53" s="17"/>
      <c r="N53" s="19"/>
      <c r="O53" s="3"/>
    </row>
    <row r="54" spans="1:15" ht="15.75" x14ac:dyDescent="0.25">
      <c r="A54" s="55"/>
      <c r="B54" s="56"/>
      <c r="C54" s="56"/>
      <c r="F54" s="1"/>
      <c r="G54" s="1"/>
      <c r="M54" s="17"/>
      <c r="N54" s="19"/>
      <c r="O54" s="3"/>
    </row>
    <row r="55" spans="1:15" ht="15.75" x14ac:dyDescent="0.25">
      <c r="A55" s="55"/>
      <c r="B55" s="56"/>
      <c r="C55" s="56"/>
      <c r="F55" s="1"/>
      <c r="G55" s="1"/>
      <c r="M55" s="17"/>
      <c r="N55" s="19"/>
      <c r="O55" s="3"/>
    </row>
    <row r="56" spans="1:15" ht="15.75" x14ac:dyDescent="0.25">
      <c r="A56" s="55"/>
      <c r="B56" s="56"/>
      <c r="C56" s="56"/>
      <c r="F56" s="1"/>
      <c r="G56" s="1"/>
      <c r="M56" s="17"/>
      <c r="N56" s="19"/>
      <c r="O56" s="3"/>
    </row>
    <row r="57" spans="1:15" ht="15.75" x14ac:dyDescent="0.25">
      <c r="A57" s="55"/>
      <c r="B57" s="56"/>
      <c r="C57" s="56"/>
      <c r="F57" s="1"/>
      <c r="G57" s="1"/>
      <c r="M57" s="17"/>
      <c r="N57" s="19"/>
      <c r="O57" s="3"/>
    </row>
    <row r="58" spans="1:15" ht="15.75" x14ac:dyDescent="0.25">
      <c r="A58" s="55"/>
      <c r="B58" s="56"/>
      <c r="C58" s="56"/>
      <c r="F58" s="1"/>
      <c r="G58" s="1"/>
      <c r="M58" s="17"/>
      <c r="N58" s="19"/>
      <c r="O58" s="3"/>
    </row>
    <row r="59" spans="1:15" ht="15.75" x14ac:dyDescent="0.25">
      <c r="F59" s="1"/>
      <c r="G59" s="1"/>
      <c r="M59" s="17"/>
      <c r="N59" s="19"/>
      <c r="O59" s="3"/>
    </row>
    <row r="60" spans="1:15" ht="15.75" x14ac:dyDescent="0.25">
      <c r="A60" s="55"/>
      <c r="B60" s="56"/>
      <c r="C60" s="56"/>
      <c r="F60" s="1"/>
      <c r="G60" s="1"/>
      <c r="M60" s="17"/>
      <c r="N60" s="19"/>
      <c r="O60" s="3"/>
    </row>
    <row r="61" spans="1:15" ht="15.75" x14ac:dyDescent="0.25">
      <c r="A61" s="55"/>
      <c r="B61" s="56"/>
      <c r="C61" s="56"/>
      <c r="F61" s="1"/>
      <c r="G61" s="1"/>
      <c r="M61" s="17"/>
      <c r="N61" s="19"/>
      <c r="O61" s="3"/>
    </row>
    <row r="62" spans="1:15" ht="15.75" x14ac:dyDescent="0.25">
      <c r="A62" s="55"/>
      <c r="B62" s="56"/>
      <c r="C62" s="56"/>
      <c r="F62" s="1"/>
      <c r="G62" s="1"/>
      <c r="M62" s="17"/>
      <c r="N62" s="19"/>
      <c r="O62" s="3"/>
    </row>
    <row r="63" spans="1:15" ht="15.75" x14ac:dyDescent="0.25">
      <c r="A63" s="55"/>
      <c r="B63" s="56"/>
      <c r="C63" s="56"/>
      <c r="F63" s="1"/>
      <c r="G63" s="1"/>
      <c r="M63" s="17"/>
      <c r="N63" s="19"/>
      <c r="O63" s="3"/>
    </row>
    <row r="64" spans="1:15" ht="15.75" x14ac:dyDescent="0.25">
      <c r="A64" s="55"/>
      <c r="B64" s="56"/>
      <c r="C64" s="56"/>
      <c r="F64" s="1"/>
      <c r="G64" s="1"/>
      <c r="M64" s="17"/>
      <c r="N64" s="19"/>
      <c r="O64" s="3"/>
    </row>
    <row r="65" spans="1:15" ht="15.75" x14ac:dyDescent="0.25">
      <c r="A65" s="55"/>
      <c r="B65" s="56"/>
      <c r="C65" s="56"/>
      <c r="F65" s="1"/>
      <c r="G65" s="1"/>
      <c r="M65" s="17"/>
      <c r="N65" s="19"/>
      <c r="O65" s="3"/>
    </row>
    <row r="66" spans="1:15" ht="15.75" x14ac:dyDescent="0.25">
      <c r="A66" s="55"/>
      <c r="B66" s="56"/>
      <c r="C66" s="56"/>
      <c r="F66" s="1"/>
      <c r="G66" s="1"/>
      <c r="M66" s="17"/>
      <c r="N66" s="19"/>
      <c r="O66" s="3"/>
    </row>
    <row r="67" spans="1:15" ht="15.75" x14ac:dyDescent="0.25">
      <c r="A67" s="55"/>
      <c r="B67" s="56"/>
      <c r="C67" s="56"/>
      <c r="F67" s="1"/>
      <c r="G67" s="1"/>
      <c r="M67" s="17"/>
      <c r="N67" s="19"/>
      <c r="O67" s="3"/>
    </row>
    <row r="68" spans="1:15" ht="15.75" x14ac:dyDescent="0.25">
      <c r="F68" s="1"/>
      <c r="G68" s="1"/>
      <c r="M68" s="17"/>
      <c r="N68" s="19"/>
      <c r="O68" s="3"/>
    </row>
    <row r="69" spans="1:15" ht="15.75" x14ac:dyDescent="0.25">
      <c r="A69" s="55"/>
      <c r="B69" s="56"/>
      <c r="C69" s="56"/>
      <c r="F69" s="1"/>
      <c r="G69" s="1"/>
      <c r="M69" s="17"/>
      <c r="N69" s="19"/>
      <c r="O69" s="3"/>
    </row>
    <row r="70" spans="1:15" ht="15.75" x14ac:dyDescent="0.25">
      <c r="A70" s="55"/>
      <c r="B70" s="56"/>
      <c r="C70" s="56"/>
      <c r="F70" s="1"/>
      <c r="G70" s="1"/>
      <c r="M70" s="17"/>
      <c r="N70" s="19"/>
      <c r="O70" s="3"/>
    </row>
    <row r="71" spans="1:15" ht="15.75" x14ac:dyDescent="0.25">
      <c r="F71" s="1"/>
      <c r="G71" s="1"/>
      <c r="M71" s="17"/>
      <c r="N71" s="19"/>
      <c r="O71" s="3"/>
    </row>
    <row r="72" spans="1:15" ht="15.75" x14ac:dyDescent="0.25">
      <c r="A72" s="55"/>
      <c r="B72" s="56"/>
      <c r="C72" s="56"/>
      <c r="F72" s="1"/>
      <c r="G72" s="1"/>
      <c r="M72" s="17"/>
      <c r="N72" s="19"/>
      <c r="O72" s="3"/>
    </row>
    <row r="73" spans="1:15" ht="15.75" x14ac:dyDescent="0.25">
      <c r="A73" s="55"/>
      <c r="B73" s="56"/>
      <c r="C73" s="56"/>
      <c r="F73" s="1"/>
      <c r="G73" s="1"/>
      <c r="M73" s="17"/>
      <c r="N73" s="19"/>
      <c r="O73" s="3"/>
    </row>
    <row r="74" spans="1:15" ht="15.75" x14ac:dyDescent="0.25">
      <c r="F74" s="1"/>
      <c r="G74" s="1"/>
      <c r="M74" s="17"/>
      <c r="N74" s="19"/>
      <c r="O74" s="3"/>
    </row>
    <row r="75" spans="1:15" ht="15.75" x14ac:dyDescent="0.25">
      <c r="A75" s="1"/>
      <c r="B75" s="56"/>
      <c r="C75" s="57"/>
      <c r="F75" s="1"/>
      <c r="G75" s="1"/>
      <c r="M75" s="17"/>
      <c r="N75" s="19"/>
      <c r="O75" s="3"/>
    </row>
    <row r="76" spans="1:15" ht="15.75" x14ac:dyDescent="0.25">
      <c r="A76" s="1"/>
      <c r="B76" s="56"/>
      <c r="C76" s="57"/>
      <c r="F76" s="1"/>
      <c r="G76" s="1"/>
      <c r="M76" s="17"/>
      <c r="N76" s="19"/>
      <c r="O76" s="3"/>
    </row>
    <row r="77" spans="1:15" ht="15.75" x14ac:dyDescent="0.25">
      <c r="A77" s="1"/>
      <c r="B77" s="56"/>
      <c r="C77" s="57"/>
      <c r="F77" s="1"/>
      <c r="G77" s="1"/>
      <c r="M77" s="17"/>
      <c r="N77" s="19"/>
      <c r="O77" s="3"/>
    </row>
    <row r="78" spans="1:15" ht="15.75" x14ac:dyDescent="0.25">
      <c r="A78" s="1"/>
      <c r="B78" s="56"/>
      <c r="C78" s="57"/>
      <c r="F78" s="1"/>
      <c r="G78" s="1"/>
      <c r="M78" s="17"/>
      <c r="N78" s="19"/>
      <c r="O78" s="3"/>
    </row>
    <row r="79" spans="1:15" ht="15.75" x14ac:dyDescent="0.25">
      <c r="A79" s="1"/>
      <c r="B79" s="56"/>
      <c r="C79" s="57"/>
      <c r="F79" s="1"/>
      <c r="G79" s="1"/>
      <c r="M79" s="17"/>
      <c r="N79" s="19"/>
      <c r="O79" s="3"/>
    </row>
    <row r="80" spans="1:15" ht="15.75" x14ac:dyDescent="0.25">
      <c r="A80" s="1"/>
      <c r="B80" s="56"/>
      <c r="C80" s="57"/>
      <c r="F80" s="1"/>
      <c r="G80" s="1"/>
      <c r="M80" s="17"/>
      <c r="N80" s="19"/>
      <c r="O80" s="3"/>
    </row>
    <row r="81" spans="1:15" ht="15.75" x14ac:dyDescent="0.25">
      <c r="A81" s="1"/>
      <c r="B81" s="56"/>
      <c r="C81" s="57"/>
      <c r="F81" s="1"/>
      <c r="G81" s="1"/>
      <c r="M81" s="17"/>
      <c r="N81" s="19"/>
      <c r="O81" s="3"/>
    </row>
    <row r="82" spans="1:15" ht="15.75" x14ac:dyDescent="0.25">
      <c r="A82" s="1"/>
      <c r="B82" s="56"/>
      <c r="C82" s="57"/>
      <c r="F82" s="1"/>
      <c r="G82" s="1"/>
      <c r="M82" s="17"/>
      <c r="N82" s="19"/>
      <c r="O82" s="3"/>
    </row>
    <row r="83" spans="1:15" ht="15.75" x14ac:dyDescent="0.25">
      <c r="A83" s="1"/>
      <c r="B83" s="56"/>
      <c r="C83" s="57"/>
      <c r="F83" s="1"/>
      <c r="G83" s="1"/>
      <c r="M83" s="17"/>
      <c r="N83" s="19"/>
      <c r="O83" s="3"/>
    </row>
    <row r="84" spans="1:15" ht="15.75" x14ac:dyDescent="0.25">
      <c r="A84" s="1"/>
      <c r="B84" s="56"/>
      <c r="C84" s="57"/>
      <c r="F84" s="1"/>
      <c r="G84" s="1"/>
      <c r="M84" s="17"/>
      <c r="N84" s="19"/>
      <c r="O84" s="3"/>
    </row>
    <row r="85" spans="1:15" ht="15.75" x14ac:dyDescent="0.25">
      <c r="A85" s="1"/>
      <c r="B85" s="56"/>
      <c r="C85" s="57"/>
      <c r="F85" s="1"/>
      <c r="G85" s="1"/>
      <c r="M85" s="17"/>
      <c r="N85" s="19"/>
      <c r="O85" s="3"/>
    </row>
    <row r="86" spans="1:15" ht="15.75" x14ac:dyDescent="0.25">
      <c r="A86" s="1"/>
      <c r="B86" s="56"/>
      <c r="C86" s="57"/>
      <c r="F86" s="1"/>
      <c r="G86" s="1"/>
      <c r="M86" s="17"/>
      <c r="N86" s="19"/>
      <c r="O86" s="3"/>
    </row>
    <row r="87" spans="1:15" ht="15.75" x14ac:dyDescent="0.25">
      <c r="A87" s="1"/>
      <c r="B87" s="56"/>
      <c r="C87" s="57"/>
      <c r="F87" s="1"/>
      <c r="G87" s="1"/>
      <c r="M87" s="17"/>
      <c r="N87" s="19"/>
      <c r="O87" s="3"/>
    </row>
    <row r="88" spans="1:15" ht="15.75" x14ac:dyDescent="0.25">
      <c r="A88" s="1"/>
      <c r="B88" s="56"/>
      <c r="C88" s="57"/>
      <c r="F88" s="1"/>
      <c r="G88" s="1"/>
      <c r="M88" s="17"/>
      <c r="N88" s="19"/>
      <c r="O88" s="3"/>
    </row>
    <row r="89" spans="1:15" ht="15.75" x14ac:dyDescent="0.25">
      <c r="A89" s="1"/>
      <c r="B89" s="56"/>
      <c r="C89" s="57"/>
      <c r="F89" s="1"/>
      <c r="G89" s="1"/>
      <c r="M89" s="17"/>
      <c r="N89" s="19"/>
      <c r="O89" s="3"/>
    </row>
    <row r="90" spans="1:15" ht="15.75" x14ac:dyDescent="0.25">
      <c r="A90" s="1"/>
      <c r="B90" s="56"/>
      <c r="C90" s="57"/>
      <c r="F90" s="1"/>
      <c r="G90" s="1"/>
      <c r="M90" s="17"/>
      <c r="N90" s="19"/>
      <c r="O90" s="3"/>
    </row>
    <row r="91" spans="1:15" ht="15.75" x14ac:dyDescent="0.25">
      <c r="A91" s="1"/>
      <c r="B91" s="56"/>
      <c r="C91" s="57"/>
      <c r="F91" s="1"/>
      <c r="G91" s="1"/>
      <c r="M91" s="17"/>
      <c r="N91" s="19"/>
      <c r="O91" s="3"/>
    </row>
    <row r="92" spans="1:15" ht="15.75" x14ac:dyDescent="0.25">
      <c r="A92" s="1"/>
      <c r="B92" s="56"/>
      <c r="C92" s="57"/>
      <c r="F92" s="1"/>
      <c r="G92" s="1"/>
      <c r="M92" s="17"/>
      <c r="N92" s="19"/>
      <c r="O92" s="3"/>
    </row>
    <row r="93" spans="1:15" ht="15.75" x14ac:dyDescent="0.25">
      <c r="A93" s="1"/>
      <c r="B93" s="56"/>
      <c r="C93" s="57"/>
      <c r="F93" s="1"/>
      <c r="G93" s="1"/>
      <c r="M93" s="17"/>
      <c r="N93" s="19"/>
      <c r="O93" s="3"/>
    </row>
    <row r="94" spans="1:15" ht="15.75" x14ac:dyDescent="0.25">
      <c r="A94" s="1"/>
      <c r="B94" s="56"/>
      <c r="C94" s="57"/>
      <c r="F94" s="1"/>
      <c r="G94" s="1"/>
      <c r="M94" s="17"/>
      <c r="N94" s="19"/>
      <c r="O94" s="3"/>
    </row>
    <row r="95" spans="1:15" ht="15.75" x14ac:dyDescent="0.25">
      <c r="A95" s="1"/>
      <c r="B95" s="56"/>
      <c r="C95" s="57"/>
      <c r="F95" s="1"/>
      <c r="G95" s="1"/>
      <c r="M95" s="17"/>
      <c r="N95" s="19"/>
      <c r="O95" s="3"/>
    </row>
    <row r="96" spans="1:15" ht="15.75" x14ac:dyDescent="0.25">
      <c r="A96" s="1"/>
      <c r="B96" s="56"/>
      <c r="C96" s="57"/>
      <c r="F96" s="1"/>
      <c r="G96" s="1"/>
      <c r="M96" s="17"/>
      <c r="N96" s="19"/>
      <c r="O96" s="3"/>
    </row>
    <row r="97" spans="1:15" ht="15.75" x14ac:dyDescent="0.25">
      <c r="A97" s="1"/>
      <c r="B97" s="56"/>
      <c r="C97" s="57"/>
      <c r="F97" s="1"/>
      <c r="G97" s="1"/>
      <c r="M97" s="17"/>
      <c r="N97" s="19"/>
      <c r="O97" s="3"/>
    </row>
    <row r="98" spans="1:15" ht="15.75" x14ac:dyDescent="0.25">
      <c r="A98" s="1"/>
      <c r="B98" s="56"/>
      <c r="C98" s="57"/>
      <c r="F98" s="1"/>
      <c r="G98" s="1"/>
      <c r="M98" s="17"/>
      <c r="N98" s="19"/>
      <c r="O98" s="3"/>
    </row>
    <row r="99" spans="1:15" ht="15.75" x14ac:dyDescent="0.25">
      <c r="A99" s="1"/>
      <c r="B99" s="56"/>
      <c r="C99" s="57"/>
      <c r="F99" s="1"/>
      <c r="G99" s="1"/>
      <c r="M99" s="17"/>
      <c r="N99" s="19"/>
      <c r="O99" s="3"/>
    </row>
    <row r="100" spans="1:15" ht="15.75" x14ac:dyDescent="0.25">
      <c r="A100" s="1"/>
      <c r="B100" s="56"/>
      <c r="C100" s="57"/>
      <c r="F100" s="1"/>
      <c r="G100" s="1"/>
      <c r="M100" s="17"/>
      <c r="N100" s="19"/>
      <c r="O100" s="3"/>
    </row>
    <row r="101" spans="1:15" ht="15.75" x14ac:dyDescent="0.25">
      <c r="A101" s="1"/>
      <c r="B101" s="56"/>
      <c r="C101" s="57"/>
      <c r="F101" s="1"/>
      <c r="G101" s="1"/>
      <c r="M101" s="17"/>
      <c r="N101" s="19"/>
      <c r="O101" s="3"/>
    </row>
    <row r="102" spans="1:15" ht="15.75" x14ac:dyDescent="0.25">
      <c r="A102" s="1"/>
      <c r="B102" s="56"/>
      <c r="C102" s="57"/>
      <c r="F102" s="1"/>
      <c r="G102" s="1"/>
      <c r="M102" s="17"/>
      <c r="N102" s="19"/>
      <c r="O102" s="3"/>
    </row>
    <row r="103" spans="1:15" ht="15.75" x14ac:dyDescent="0.25">
      <c r="A103" s="1"/>
      <c r="B103" s="56"/>
      <c r="C103" s="57"/>
      <c r="F103" s="1"/>
      <c r="G103" s="1"/>
      <c r="M103" s="17"/>
      <c r="N103" s="19"/>
      <c r="O103" s="3"/>
    </row>
    <row r="104" spans="1:15" ht="15.75" x14ac:dyDescent="0.25">
      <c r="A104" s="1"/>
      <c r="B104" s="56"/>
      <c r="C104" s="57"/>
      <c r="F104" s="1"/>
      <c r="G104" s="1"/>
      <c r="M104" s="17"/>
      <c r="N104" s="19"/>
      <c r="O104" s="3"/>
    </row>
    <row r="105" spans="1:15" ht="15.75" x14ac:dyDescent="0.25">
      <c r="A105" s="1"/>
      <c r="B105" s="56"/>
      <c r="C105" s="57"/>
      <c r="F105" s="1"/>
      <c r="G105" s="1"/>
      <c r="M105" s="17"/>
      <c r="N105" s="19"/>
      <c r="O105" s="3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  <c r="M115" s="1"/>
    </row>
    <row r="116" spans="1:13" x14ac:dyDescent="0.25">
      <c r="A116" s="1"/>
      <c r="B116" s="3"/>
      <c r="F116" s="1"/>
      <c r="G116" s="1"/>
      <c r="M116" s="1"/>
    </row>
    <row r="117" spans="1:13" x14ac:dyDescent="0.25">
      <c r="A117" s="1"/>
      <c r="B117" s="3"/>
      <c r="F117" s="1"/>
      <c r="G117" s="1"/>
      <c r="M117" s="1"/>
    </row>
    <row r="118" spans="1:13" x14ac:dyDescent="0.25">
      <c r="A118" s="1"/>
      <c r="B118" s="3"/>
      <c r="F118" s="1"/>
      <c r="G118" s="1"/>
      <c r="M118" s="1"/>
    </row>
    <row r="119" spans="1:13" x14ac:dyDescent="0.25">
      <c r="A119" s="1"/>
      <c r="B119" s="3"/>
      <c r="F119" s="1"/>
      <c r="G119" s="1"/>
      <c r="M119" s="1"/>
    </row>
    <row r="120" spans="1:13" x14ac:dyDescent="0.25">
      <c r="A120" s="1"/>
      <c r="B120" s="3"/>
      <c r="F120" s="1"/>
      <c r="G120" s="1"/>
      <c r="M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3"/>
      <c r="F123" s="1"/>
      <c r="G123" s="1"/>
    </row>
    <row r="124" spans="1:13" x14ac:dyDescent="0.25">
      <c r="A124" s="1"/>
      <c r="B124" s="3"/>
      <c r="F124" s="1"/>
      <c r="G124" s="1"/>
    </row>
    <row r="125" spans="1:13" x14ac:dyDescent="0.25">
      <c r="A125" s="1"/>
      <c r="B125" s="3"/>
      <c r="F125" s="1"/>
      <c r="G125" s="1"/>
    </row>
    <row r="126" spans="1:13" x14ac:dyDescent="0.25">
      <c r="A126" s="1"/>
      <c r="B126" s="3"/>
      <c r="F126" s="1"/>
      <c r="G126" s="1"/>
    </row>
    <row r="127" spans="1:13" x14ac:dyDescent="0.25">
      <c r="A127" s="1"/>
      <c r="B127" s="3"/>
      <c r="F127" s="1"/>
      <c r="G127" s="1"/>
    </row>
    <row r="128" spans="1:13" x14ac:dyDescent="0.25">
      <c r="A128" s="1"/>
      <c r="B128" s="3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F410" s="1"/>
      <c r="G410" s="1"/>
    </row>
    <row r="411" spans="1:7" x14ac:dyDescent="0.25">
      <c r="A411" s="1"/>
      <c r="B411" s="1"/>
      <c r="F411" s="1"/>
      <c r="G411" s="1"/>
    </row>
    <row r="412" spans="1:7" x14ac:dyDescent="0.25">
      <c r="A412" s="1"/>
      <c r="B412" s="1"/>
      <c r="F412" s="1"/>
      <c r="G412" s="1"/>
    </row>
    <row r="413" spans="1:7" x14ac:dyDescent="0.25">
      <c r="A413" s="1"/>
      <c r="B413" s="1"/>
      <c r="F413" s="1"/>
      <c r="G413" s="1"/>
    </row>
    <row r="414" spans="1:7" x14ac:dyDescent="0.25">
      <c r="A414" s="1"/>
      <c r="B414" s="1"/>
      <c r="F414" s="1"/>
      <c r="G414" s="1"/>
    </row>
    <row r="415" spans="1:7" x14ac:dyDescent="0.25">
      <c r="A415" s="1"/>
      <c r="B415" s="1"/>
      <c r="F415" s="1"/>
      <c r="G415" s="1"/>
    </row>
    <row r="416" spans="1:7" x14ac:dyDescent="0.25">
      <c r="A416" s="1"/>
      <c r="B416" s="1"/>
      <c r="G416" s="1"/>
    </row>
    <row r="417" spans="1:7" x14ac:dyDescent="0.25">
      <c r="A417" s="1"/>
      <c r="B417" s="1"/>
      <c r="G417" s="1"/>
    </row>
    <row r="418" spans="1:7" x14ac:dyDescent="0.25">
      <c r="A418" s="1"/>
      <c r="B418" s="1"/>
      <c r="G418" s="1"/>
    </row>
  </sheetData>
  <mergeCells count="3">
    <mergeCell ref="A5:D5"/>
    <mergeCell ref="F5:J5"/>
    <mergeCell ref="L5:P5"/>
  </mergeCells>
  <conditionalFormatting sqref="N8:N105">
    <cfRule type="cellIs" dxfId="7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1201" r:id="rId4" name="ExecuteQueries"/>
      </mc:Fallback>
    </mc:AlternateContent>
    <mc:AlternateContent xmlns:mc="http://schemas.openxmlformats.org/markup-compatibility/2006">
      <mc:Choice Requires="x14">
        <control shapeId="51202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400050</xdr:colOff>
                <xdr:row>2</xdr:row>
                <xdr:rowOff>104775</xdr:rowOff>
              </to>
            </anchor>
          </controlPr>
        </control>
      </mc:Choice>
      <mc:Fallback>
        <control shapeId="51202" r:id="rId6" name="ClearBt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rgb="FFFFC000"/>
  </sheetPr>
  <dimension ref="A1:R412"/>
  <sheetViews>
    <sheetView workbookViewId="0">
      <selection activeCell="R26" sqref="R26:R31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10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1">
        <v>36892</v>
      </c>
      <c r="B8" s="56" t="s">
        <v>230</v>
      </c>
      <c r="C8" s="56" t="s">
        <v>227</v>
      </c>
      <c r="F8" s="1">
        <v>36892</v>
      </c>
      <c r="G8" s="1">
        <v>36919</v>
      </c>
      <c r="H8" t="s">
        <v>77</v>
      </c>
      <c r="I8" t="s">
        <v>17</v>
      </c>
      <c r="J8" t="s">
        <v>17</v>
      </c>
      <c r="L8" t="s">
        <v>15</v>
      </c>
      <c r="M8" s="17" t="str">
        <f>B8</f>
        <v>WkInYr</v>
      </c>
      <c r="N8" s="18" t="s">
        <v>225</v>
      </c>
      <c r="O8" s="3"/>
      <c r="R8" t="s">
        <v>24</v>
      </c>
    </row>
    <row r="9" spans="1:18" ht="15.75" x14ac:dyDescent="0.25">
      <c r="A9" s="55">
        <v>37255</v>
      </c>
      <c r="B9" s="56" t="s">
        <v>230</v>
      </c>
      <c r="C9" s="56" t="s">
        <v>226</v>
      </c>
      <c r="F9" s="1">
        <v>37228</v>
      </c>
      <c r="G9" s="1">
        <v>37255</v>
      </c>
      <c r="H9" t="s">
        <v>77</v>
      </c>
      <c r="I9" t="s">
        <v>14</v>
      </c>
      <c r="J9" t="s">
        <v>12</v>
      </c>
      <c r="L9" t="s">
        <v>231</v>
      </c>
      <c r="M9" s="17" t="str">
        <f t="shared" ref="M9:M17" si="0">B9</f>
        <v>WkInYr</v>
      </c>
      <c r="N9" s="19" t="str">
        <f t="shared" ref="N9:N17" si="1">IF(VALUE(L9)=VALUE(O9), "P","F")</f>
        <v>P</v>
      </c>
      <c r="O9" s="3">
        <f>(A9-A8 + 1 ) / 7</f>
        <v>52</v>
      </c>
      <c r="R9" t="s">
        <v>25</v>
      </c>
    </row>
    <row r="10" spans="1:18" ht="15.75" x14ac:dyDescent="0.25">
      <c r="A10" s="55">
        <v>42366</v>
      </c>
      <c r="B10" s="56" t="s">
        <v>230</v>
      </c>
      <c r="C10" s="56" t="s">
        <v>223</v>
      </c>
      <c r="F10" s="1">
        <v>42366</v>
      </c>
      <c r="G10" s="1">
        <v>42393</v>
      </c>
      <c r="H10" t="s">
        <v>16</v>
      </c>
      <c r="I10" t="s">
        <v>17</v>
      </c>
      <c r="J10" t="s">
        <v>17</v>
      </c>
      <c r="L10" t="s">
        <v>15</v>
      </c>
      <c r="M10" s="17" t="str">
        <f t="shared" si="0"/>
        <v>WkInYr</v>
      </c>
      <c r="N10" s="18" t="s">
        <v>225</v>
      </c>
      <c r="O10" s="3"/>
      <c r="R10" t="s">
        <v>26</v>
      </c>
    </row>
    <row r="11" spans="1:18" ht="15.75" x14ac:dyDescent="0.25">
      <c r="A11" s="55">
        <v>42729</v>
      </c>
      <c r="B11" s="56" t="s">
        <v>230</v>
      </c>
      <c r="C11" s="56" t="s">
        <v>224</v>
      </c>
      <c r="F11" s="1">
        <v>42702</v>
      </c>
      <c r="G11" s="1">
        <v>42729</v>
      </c>
      <c r="H11" t="s">
        <v>16</v>
      </c>
      <c r="I11" t="s">
        <v>14</v>
      </c>
      <c r="J11" t="s">
        <v>12</v>
      </c>
      <c r="L11" t="s">
        <v>231</v>
      </c>
      <c r="M11" s="17" t="str">
        <f t="shared" si="0"/>
        <v>WkInYr</v>
      </c>
      <c r="N11" s="19" t="str">
        <f t="shared" si="1"/>
        <v>P</v>
      </c>
      <c r="O11" s="3">
        <f>(A11-A10 + 1) / 7</f>
        <v>52</v>
      </c>
      <c r="R11" t="s">
        <v>27</v>
      </c>
    </row>
    <row r="12" spans="1:18" ht="15.75" x14ac:dyDescent="0.25">
      <c r="A12" s="55">
        <v>42730</v>
      </c>
      <c r="B12" s="56" t="s">
        <v>230</v>
      </c>
      <c r="C12" s="56" t="s">
        <v>229</v>
      </c>
      <c r="F12" s="1">
        <v>42730</v>
      </c>
      <c r="G12" s="1">
        <v>42757</v>
      </c>
      <c r="H12" t="s">
        <v>70</v>
      </c>
      <c r="I12" t="s">
        <v>17</v>
      </c>
      <c r="J12" t="s">
        <v>17</v>
      </c>
      <c r="L12" t="s">
        <v>15</v>
      </c>
      <c r="M12" s="17" t="str">
        <f t="shared" si="0"/>
        <v>WkInYr</v>
      </c>
      <c r="N12" s="18" t="s">
        <v>225</v>
      </c>
      <c r="O12" s="3"/>
      <c r="R12" t="s">
        <v>28</v>
      </c>
    </row>
    <row r="13" spans="1:18" ht="15.75" x14ac:dyDescent="0.25">
      <c r="A13" s="55">
        <v>43100</v>
      </c>
      <c r="B13" s="56" t="s">
        <v>230</v>
      </c>
      <c r="C13" s="56" t="s">
        <v>228</v>
      </c>
      <c r="F13" s="1">
        <v>43066</v>
      </c>
      <c r="G13" s="1">
        <v>43100</v>
      </c>
      <c r="H13" t="s">
        <v>70</v>
      </c>
      <c r="I13" t="s">
        <v>14</v>
      </c>
      <c r="J13" t="s">
        <v>12</v>
      </c>
      <c r="L13" t="s">
        <v>232</v>
      </c>
      <c r="M13" s="17" t="str">
        <f t="shared" si="0"/>
        <v>WkInYr</v>
      </c>
      <c r="N13" s="19" t="str">
        <f t="shared" si="1"/>
        <v>P</v>
      </c>
      <c r="O13" s="3">
        <f>(A13-A12 + 1) / 7</f>
        <v>53</v>
      </c>
      <c r="R13" t="s">
        <v>29</v>
      </c>
    </row>
    <row r="14" spans="1:18" ht="15.75" x14ac:dyDescent="0.25">
      <c r="A14" s="55">
        <v>43465</v>
      </c>
      <c r="B14" s="56" t="s">
        <v>230</v>
      </c>
      <c r="C14" s="56" t="s">
        <v>229</v>
      </c>
      <c r="F14" s="1">
        <v>43465</v>
      </c>
      <c r="G14" s="1">
        <v>43492</v>
      </c>
      <c r="H14" t="s">
        <v>73</v>
      </c>
      <c r="I14" t="s">
        <v>17</v>
      </c>
      <c r="J14" t="s">
        <v>17</v>
      </c>
      <c r="L14" t="s">
        <v>15</v>
      </c>
      <c r="M14" s="17" t="str">
        <f t="shared" si="0"/>
        <v>WkInYr</v>
      </c>
      <c r="N14" s="18" t="s">
        <v>225</v>
      </c>
      <c r="O14" s="3"/>
      <c r="R14" t="s">
        <v>30</v>
      </c>
    </row>
    <row r="15" spans="1:18" ht="15.75" x14ac:dyDescent="0.25">
      <c r="A15" s="55">
        <v>43828</v>
      </c>
      <c r="B15" s="56" t="s">
        <v>230</v>
      </c>
      <c r="C15" s="56" t="s">
        <v>228</v>
      </c>
      <c r="F15" s="1">
        <v>43801</v>
      </c>
      <c r="G15" s="1">
        <v>43828</v>
      </c>
      <c r="H15" t="s">
        <v>73</v>
      </c>
      <c r="I15" t="s">
        <v>14</v>
      </c>
      <c r="J15" t="s">
        <v>12</v>
      </c>
      <c r="L15" t="s">
        <v>231</v>
      </c>
      <c r="M15" s="17" t="str">
        <f t="shared" si="0"/>
        <v>WkInYr</v>
      </c>
      <c r="N15" s="19" t="str">
        <f t="shared" si="1"/>
        <v>P</v>
      </c>
      <c r="O15" s="3">
        <f>(A15-A14 + 1) / 7</f>
        <v>52</v>
      </c>
      <c r="R15" t="s">
        <v>31</v>
      </c>
    </row>
    <row r="16" spans="1:18" ht="15.75" x14ac:dyDescent="0.25">
      <c r="A16" s="55">
        <v>44557</v>
      </c>
      <c r="B16" s="56" t="s">
        <v>230</v>
      </c>
      <c r="C16" s="56" t="s">
        <v>229</v>
      </c>
      <c r="F16" s="1">
        <v>44557</v>
      </c>
      <c r="G16" s="1">
        <v>44584</v>
      </c>
      <c r="H16" t="s">
        <v>95</v>
      </c>
      <c r="I16" t="s">
        <v>17</v>
      </c>
      <c r="J16" t="s">
        <v>17</v>
      </c>
      <c r="L16" t="s">
        <v>15</v>
      </c>
      <c r="M16" s="17" t="str">
        <f t="shared" si="0"/>
        <v>WkInYr</v>
      </c>
      <c r="N16" s="18" t="s">
        <v>225</v>
      </c>
      <c r="O16" s="3"/>
      <c r="R16" t="s">
        <v>32</v>
      </c>
    </row>
    <row r="17" spans="1:18" ht="15.75" x14ac:dyDescent="0.25">
      <c r="A17" s="55">
        <v>44920</v>
      </c>
      <c r="B17" s="56" t="s">
        <v>230</v>
      </c>
      <c r="C17" s="56" t="s">
        <v>228</v>
      </c>
      <c r="F17" s="1">
        <v>44893</v>
      </c>
      <c r="G17" s="1">
        <v>44920</v>
      </c>
      <c r="H17" t="s">
        <v>95</v>
      </c>
      <c r="I17" t="s">
        <v>14</v>
      </c>
      <c r="J17" t="s">
        <v>12</v>
      </c>
      <c r="L17" t="s">
        <v>231</v>
      </c>
      <c r="M17" s="17" t="str">
        <f t="shared" si="0"/>
        <v>WkInYr</v>
      </c>
      <c r="N17" s="19" t="str">
        <f t="shared" si="1"/>
        <v>P</v>
      </c>
      <c r="O17" s="3">
        <f>(A17-A16 + 1) / 7</f>
        <v>52</v>
      </c>
      <c r="R17" t="s">
        <v>33</v>
      </c>
    </row>
    <row r="18" spans="1:18" ht="15.75" x14ac:dyDescent="0.25">
      <c r="A18" s="55"/>
      <c r="B18" s="56"/>
      <c r="C18" s="56"/>
      <c r="F18" s="1"/>
      <c r="G18" s="1"/>
      <c r="M18" s="17"/>
      <c r="N18" s="19"/>
      <c r="O18" s="3"/>
      <c r="R18" t="s">
        <v>34</v>
      </c>
    </row>
    <row r="19" spans="1:18" ht="15.75" x14ac:dyDescent="0.25">
      <c r="A19" s="55"/>
      <c r="B19" s="56"/>
      <c r="C19" s="56"/>
      <c r="F19" s="1"/>
      <c r="G19" s="1"/>
      <c r="M19" s="17"/>
      <c r="N19" s="19"/>
      <c r="O19" s="3"/>
      <c r="R19" t="s">
        <v>35</v>
      </c>
    </row>
    <row r="20" spans="1:18" ht="15.75" x14ac:dyDescent="0.25">
      <c r="A20" s="1"/>
      <c r="B20" s="3"/>
      <c r="F20" s="1"/>
      <c r="G20" s="1"/>
      <c r="M20" s="17"/>
      <c r="N20" s="19"/>
      <c r="O20" s="3"/>
      <c r="R20" t="s">
        <v>36</v>
      </c>
    </row>
    <row r="21" spans="1:18" ht="15.75" x14ac:dyDescent="0.25">
      <c r="A21" s="1"/>
      <c r="B21" s="3"/>
      <c r="F21" s="1"/>
      <c r="G21" s="1"/>
      <c r="M21" s="17"/>
      <c r="N21" s="19"/>
      <c r="O21" s="3"/>
      <c r="R21" t="s">
        <v>37</v>
      </c>
    </row>
    <row r="22" spans="1:18" ht="15.75" x14ac:dyDescent="0.25">
      <c r="A22" s="1"/>
      <c r="B22" s="3"/>
      <c r="F22" s="1"/>
      <c r="G22" s="1"/>
      <c r="M22" s="17"/>
      <c r="N22" s="19"/>
      <c r="O22" s="3"/>
      <c r="R22" t="s">
        <v>38</v>
      </c>
    </row>
    <row r="23" spans="1:18" ht="15.75" x14ac:dyDescent="0.25">
      <c r="A23" s="1"/>
      <c r="B23" s="3"/>
      <c r="F23" s="1"/>
      <c r="G23" s="1"/>
      <c r="M23" s="17"/>
      <c r="N23" s="19"/>
      <c r="O23" s="3"/>
      <c r="R23" t="s">
        <v>39</v>
      </c>
    </row>
    <row r="24" spans="1:18" ht="15.75" x14ac:dyDescent="0.25">
      <c r="A24" s="1"/>
      <c r="B24" s="3"/>
      <c r="F24" s="1"/>
      <c r="G24" s="1"/>
      <c r="M24" s="17"/>
      <c r="N24" s="19"/>
      <c r="O24" s="3"/>
      <c r="R24" t="s">
        <v>40</v>
      </c>
    </row>
    <row r="25" spans="1:18" ht="15.75" x14ac:dyDescent="0.25">
      <c r="A25" s="1"/>
      <c r="B25" s="3"/>
      <c r="F25" s="1"/>
      <c r="G25" s="1"/>
      <c r="M25" s="17"/>
      <c r="N25" s="19"/>
      <c r="O25" s="3"/>
    </row>
    <row r="26" spans="1:18" ht="15.75" x14ac:dyDescent="0.25">
      <c r="A26" s="1"/>
      <c r="B26" s="3"/>
      <c r="F26" s="1"/>
      <c r="G26" s="1"/>
      <c r="M26" s="17"/>
      <c r="N26" s="19"/>
      <c r="O26" s="3"/>
      <c r="R26" t="s">
        <v>247</v>
      </c>
    </row>
    <row r="27" spans="1:18" ht="15.75" x14ac:dyDescent="0.25">
      <c r="A27" s="1"/>
      <c r="B27" s="3"/>
      <c r="F27" s="1"/>
      <c r="G27" s="1"/>
      <c r="M27" s="17"/>
      <c r="N27" s="19"/>
      <c r="O27" s="3"/>
      <c r="R27" t="s">
        <v>242</v>
      </c>
    </row>
    <row r="28" spans="1:18" ht="15.75" x14ac:dyDescent="0.25">
      <c r="A28" s="1"/>
      <c r="B28" s="3"/>
      <c r="F28" s="1"/>
      <c r="G28" s="1"/>
      <c r="M28" s="17"/>
      <c r="N28" s="19"/>
      <c r="O28" s="3"/>
      <c r="R28" t="s">
        <v>243</v>
      </c>
    </row>
    <row r="29" spans="1:18" ht="15.75" x14ac:dyDescent="0.25">
      <c r="A29" s="1"/>
      <c r="B29" s="3"/>
      <c r="F29" s="1"/>
      <c r="G29" s="1"/>
      <c r="M29" s="17"/>
      <c r="N29" s="19"/>
      <c r="O29" s="3"/>
      <c r="R29" t="s">
        <v>244</v>
      </c>
    </row>
    <row r="30" spans="1:18" ht="15.75" x14ac:dyDescent="0.25">
      <c r="A30" s="1"/>
      <c r="B30" s="3"/>
      <c r="F30" s="1"/>
      <c r="G30" s="1"/>
      <c r="M30" s="17"/>
      <c r="N30" s="19"/>
      <c r="O30" s="3"/>
      <c r="R30" t="s">
        <v>245</v>
      </c>
    </row>
    <row r="31" spans="1:18" ht="15.75" x14ac:dyDescent="0.25">
      <c r="A31" s="1"/>
      <c r="B31" s="3"/>
      <c r="F31" s="1"/>
      <c r="G31" s="1"/>
      <c r="M31" s="17"/>
      <c r="N31" s="19"/>
      <c r="O31" s="3"/>
      <c r="R31" t="s">
        <v>246</v>
      </c>
    </row>
    <row r="32" spans="1:18" ht="15.75" x14ac:dyDescent="0.25">
      <c r="A32" s="1"/>
      <c r="B32" s="3"/>
      <c r="F32" s="1"/>
      <c r="G32" s="1"/>
      <c r="M32" s="17"/>
      <c r="N32" s="19"/>
      <c r="O32" s="3"/>
    </row>
    <row r="33" spans="1:15" ht="15.75" x14ac:dyDescent="0.25">
      <c r="A33" s="1"/>
      <c r="B33" s="3"/>
      <c r="F33" s="1"/>
      <c r="G33" s="1"/>
      <c r="M33" s="17"/>
      <c r="N33" s="19"/>
      <c r="O33" s="3"/>
    </row>
    <row r="34" spans="1:15" ht="15.75" x14ac:dyDescent="0.25">
      <c r="A34" s="1"/>
      <c r="B34" s="3"/>
      <c r="F34" s="1"/>
      <c r="G34" s="1"/>
      <c r="M34" s="17"/>
      <c r="N34" s="19"/>
      <c r="O34" s="3"/>
    </row>
    <row r="35" spans="1:15" ht="15.75" x14ac:dyDescent="0.25">
      <c r="A35" s="1"/>
      <c r="B35" s="3"/>
      <c r="F35" s="1"/>
      <c r="G35" s="1"/>
      <c r="M35" s="17"/>
      <c r="N35" s="19"/>
      <c r="O35" s="3"/>
    </row>
    <row r="36" spans="1:15" ht="15.75" x14ac:dyDescent="0.25">
      <c r="A36" s="1"/>
      <c r="B36" s="3"/>
      <c r="F36" s="1"/>
      <c r="G36" s="1"/>
      <c r="M36" s="17"/>
      <c r="N36" s="19"/>
      <c r="O36" s="3"/>
    </row>
    <row r="37" spans="1:15" ht="15.75" x14ac:dyDescent="0.25">
      <c r="A37" s="1"/>
      <c r="B37" s="3"/>
      <c r="F37" s="1"/>
      <c r="G37" s="1"/>
      <c r="M37" s="17"/>
      <c r="N37" s="19"/>
      <c r="O37" s="3"/>
    </row>
    <row r="38" spans="1:15" ht="15.75" x14ac:dyDescent="0.25">
      <c r="A38" s="1"/>
      <c r="B38" s="3"/>
      <c r="F38" s="1"/>
      <c r="G38" s="1"/>
      <c r="M38" s="17"/>
      <c r="N38" s="19"/>
      <c r="O38" s="3"/>
    </row>
    <row r="39" spans="1:15" ht="15.75" x14ac:dyDescent="0.25">
      <c r="A39" s="1"/>
      <c r="B39" s="3"/>
      <c r="F39" s="1"/>
      <c r="G39" s="1"/>
      <c r="M39" s="17"/>
      <c r="N39" s="19"/>
      <c r="O39" s="3"/>
    </row>
    <row r="40" spans="1:15" ht="15.75" x14ac:dyDescent="0.25">
      <c r="A40" s="1"/>
      <c r="B40" s="3"/>
      <c r="F40" s="1"/>
      <c r="G40" s="1"/>
      <c r="M40" s="17"/>
      <c r="N40" s="19"/>
      <c r="O40" s="3"/>
    </row>
    <row r="41" spans="1:15" ht="15.75" x14ac:dyDescent="0.25">
      <c r="A41" s="1"/>
      <c r="B41" s="3"/>
      <c r="F41" s="1"/>
      <c r="G41" s="1"/>
      <c r="M41" s="17"/>
      <c r="N41" s="19"/>
      <c r="O41" s="3"/>
    </row>
    <row r="42" spans="1:15" ht="15.75" x14ac:dyDescent="0.25">
      <c r="A42" s="1"/>
      <c r="B42" s="3"/>
      <c r="E42" s="2" t="s">
        <v>71</v>
      </c>
      <c r="F42" s="1"/>
      <c r="G42" s="1"/>
      <c r="M42" s="17"/>
      <c r="N42" s="19"/>
      <c r="O42" s="3"/>
    </row>
    <row r="43" spans="1:15" ht="15.75" x14ac:dyDescent="0.25">
      <c r="A43" s="1"/>
      <c r="B43" s="3"/>
      <c r="F43" s="1"/>
      <c r="G43" s="1"/>
      <c r="M43" s="17"/>
      <c r="N43" s="19"/>
      <c r="O43" s="3"/>
    </row>
    <row r="44" spans="1:15" ht="15.75" x14ac:dyDescent="0.25">
      <c r="A44" s="1"/>
      <c r="B44" s="3"/>
      <c r="F44" s="1"/>
      <c r="G44" s="1"/>
      <c r="M44" s="17"/>
      <c r="N44" s="19"/>
      <c r="O44" s="3"/>
    </row>
    <row r="45" spans="1:15" ht="15.75" x14ac:dyDescent="0.25">
      <c r="A45" s="1"/>
      <c r="B45" s="3"/>
      <c r="F45" s="1"/>
      <c r="G45" s="1"/>
      <c r="M45" s="17"/>
      <c r="N45" s="19"/>
      <c r="O45" s="3"/>
    </row>
    <row r="46" spans="1:15" ht="15.75" x14ac:dyDescent="0.25">
      <c r="A46" s="1"/>
      <c r="B46" s="3"/>
      <c r="F46" s="1"/>
      <c r="G46" s="1"/>
      <c r="M46" s="17"/>
      <c r="N46" s="19"/>
      <c r="O46" s="3"/>
    </row>
    <row r="47" spans="1:15" ht="15.75" x14ac:dyDescent="0.25">
      <c r="A47" s="1"/>
      <c r="B47" s="3"/>
      <c r="F47" s="1"/>
      <c r="G47" s="1"/>
      <c r="M47" s="17"/>
      <c r="N47" s="19"/>
      <c r="O47" s="3"/>
    </row>
    <row r="48" spans="1:15" ht="15.75" x14ac:dyDescent="0.25">
      <c r="A48" s="1"/>
      <c r="B48" s="3"/>
      <c r="F48" s="1"/>
      <c r="G48" s="1"/>
      <c r="M48" s="17"/>
      <c r="N48" s="19"/>
      <c r="O48" s="3"/>
    </row>
    <row r="49" spans="1:15" ht="15.75" x14ac:dyDescent="0.25">
      <c r="A49" s="1"/>
      <c r="B49" s="3"/>
      <c r="F49" s="1"/>
      <c r="G49" s="1"/>
      <c r="M49" s="17"/>
      <c r="N49" s="19"/>
      <c r="O49" s="3"/>
    </row>
    <row r="50" spans="1:15" ht="15.75" x14ac:dyDescent="0.25">
      <c r="A50" s="1"/>
      <c r="B50" s="3"/>
      <c r="F50" s="1"/>
      <c r="G50" s="1"/>
      <c r="M50" s="17"/>
      <c r="N50" s="19"/>
      <c r="O50" s="3"/>
    </row>
    <row r="51" spans="1:15" ht="15.75" x14ac:dyDescent="0.25">
      <c r="A51" s="1"/>
      <c r="B51" s="3"/>
      <c r="F51" s="1"/>
      <c r="G51" s="1"/>
      <c r="M51" s="17"/>
      <c r="N51" s="19"/>
      <c r="O51" s="3"/>
    </row>
    <row r="52" spans="1:15" ht="15.75" x14ac:dyDescent="0.25">
      <c r="A52" s="1"/>
      <c r="B52" s="3"/>
      <c r="F52" s="1"/>
      <c r="G52" s="1"/>
      <c r="M52" s="17"/>
      <c r="N52" s="19"/>
      <c r="O52" s="3"/>
    </row>
    <row r="53" spans="1:15" ht="15.75" x14ac:dyDescent="0.25">
      <c r="A53" s="1"/>
      <c r="B53" s="3"/>
      <c r="F53" s="1"/>
      <c r="G53" s="1"/>
      <c r="M53" s="17"/>
      <c r="N53" s="19"/>
      <c r="O53" s="3"/>
    </row>
    <row r="54" spans="1:15" ht="15.75" x14ac:dyDescent="0.25">
      <c r="A54" s="1"/>
      <c r="B54" s="3"/>
      <c r="F54" s="1"/>
      <c r="G54" s="1"/>
      <c r="M54" s="17"/>
      <c r="N54" s="19"/>
      <c r="O54" s="3"/>
    </row>
    <row r="55" spans="1:15" ht="15.75" x14ac:dyDescent="0.25">
      <c r="A55" s="1"/>
      <c r="B55" s="3"/>
      <c r="F55" s="1"/>
      <c r="G55" s="1"/>
      <c r="M55" s="17"/>
      <c r="N55" s="19"/>
      <c r="O55" s="3"/>
    </row>
    <row r="56" spans="1:15" ht="15.75" x14ac:dyDescent="0.25">
      <c r="A56" s="1"/>
      <c r="B56" s="3"/>
      <c r="F56" s="1"/>
      <c r="G56" s="1"/>
      <c r="M56" s="17"/>
      <c r="N56" s="19"/>
      <c r="O56" s="3"/>
    </row>
    <row r="57" spans="1:15" ht="15.75" x14ac:dyDescent="0.25">
      <c r="A57" s="1"/>
      <c r="B57" s="3"/>
      <c r="F57" s="1"/>
      <c r="G57" s="1"/>
      <c r="M57" s="17"/>
      <c r="N57" s="19"/>
      <c r="O57" s="3"/>
    </row>
    <row r="58" spans="1:15" ht="15.75" x14ac:dyDescent="0.25">
      <c r="A58" s="1"/>
      <c r="B58" s="3"/>
      <c r="F58" s="1"/>
      <c r="G58" s="1"/>
      <c r="M58" s="17"/>
      <c r="N58" s="19"/>
      <c r="O58" s="3"/>
    </row>
    <row r="59" spans="1:15" ht="15.75" x14ac:dyDescent="0.25">
      <c r="A59" s="1"/>
      <c r="B59" s="3"/>
      <c r="F59" s="1"/>
      <c r="G59" s="1"/>
      <c r="M59" s="17"/>
      <c r="N59" s="19"/>
      <c r="O59" s="3"/>
    </row>
    <row r="60" spans="1:15" ht="15.75" x14ac:dyDescent="0.25">
      <c r="A60" s="1"/>
      <c r="B60" s="3"/>
      <c r="F60" s="1"/>
      <c r="G60" s="1"/>
      <c r="M60" s="17"/>
      <c r="N60" s="19"/>
      <c r="O60" s="3"/>
    </row>
    <row r="61" spans="1:15" ht="15.75" x14ac:dyDescent="0.25">
      <c r="A61" s="1"/>
      <c r="B61" s="3"/>
      <c r="F61" s="1"/>
      <c r="G61" s="1"/>
      <c r="M61" s="17"/>
      <c r="N61" s="19"/>
      <c r="O61" s="3"/>
    </row>
    <row r="62" spans="1:15" ht="15.75" x14ac:dyDescent="0.25">
      <c r="A62" s="1"/>
      <c r="B62" s="3"/>
      <c r="F62" s="1"/>
      <c r="G62" s="1"/>
      <c r="M62" s="17"/>
      <c r="N62" s="19"/>
      <c r="O62" s="3"/>
    </row>
    <row r="63" spans="1:15" ht="15.75" x14ac:dyDescent="0.25">
      <c r="A63" s="1"/>
      <c r="B63" s="3"/>
      <c r="F63" s="1"/>
      <c r="G63" s="1"/>
      <c r="M63" s="17"/>
      <c r="N63" s="19"/>
      <c r="O63" s="3"/>
    </row>
    <row r="64" spans="1:15" ht="15.75" x14ac:dyDescent="0.25">
      <c r="A64" s="1"/>
      <c r="B64" s="3"/>
      <c r="F64" s="1"/>
      <c r="G64" s="1"/>
      <c r="M64" s="17"/>
      <c r="N64" s="19"/>
      <c r="O64" s="3"/>
    </row>
    <row r="65" spans="1:15" ht="15.75" x14ac:dyDescent="0.25">
      <c r="A65" s="1"/>
      <c r="B65" s="3"/>
      <c r="F65" s="1"/>
      <c r="G65" s="1"/>
      <c r="M65" s="17"/>
      <c r="N65" s="19"/>
      <c r="O65" s="3"/>
    </row>
    <row r="66" spans="1:15" ht="15.75" x14ac:dyDescent="0.25">
      <c r="A66" s="1"/>
      <c r="B66" s="3"/>
      <c r="F66" s="1"/>
      <c r="G66" s="1"/>
      <c r="M66" s="17"/>
      <c r="N66" s="19"/>
      <c r="O66" s="3"/>
    </row>
    <row r="67" spans="1:15" ht="15.75" x14ac:dyDescent="0.25">
      <c r="A67" s="1"/>
      <c r="B67" s="3"/>
      <c r="F67" s="1"/>
      <c r="G67" s="1"/>
      <c r="M67" s="17"/>
      <c r="N67" s="19"/>
      <c r="O67" s="3"/>
    </row>
    <row r="68" spans="1:15" ht="15.75" x14ac:dyDescent="0.25">
      <c r="A68" s="1"/>
      <c r="B68" s="3"/>
      <c r="F68" s="1"/>
      <c r="G68" s="1"/>
      <c r="M68" s="17"/>
      <c r="N68" s="19"/>
      <c r="O68" s="3"/>
    </row>
    <row r="69" spans="1:15" ht="15.75" x14ac:dyDescent="0.25">
      <c r="A69" s="1"/>
      <c r="B69" s="3"/>
      <c r="F69" s="1"/>
      <c r="G69" s="1"/>
      <c r="M69" s="17"/>
      <c r="N69" s="19"/>
      <c r="O69" s="3"/>
    </row>
    <row r="70" spans="1:15" ht="15.75" x14ac:dyDescent="0.25">
      <c r="A70" s="1"/>
      <c r="B70" s="3"/>
      <c r="F70" s="1"/>
      <c r="G70" s="1"/>
      <c r="M70" s="17"/>
      <c r="N70" s="19"/>
      <c r="O70" s="3"/>
    </row>
    <row r="71" spans="1:15" ht="15.75" x14ac:dyDescent="0.25">
      <c r="A71" s="1"/>
      <c r="B71" s="3"/>
      <c r="F71" s="1"/>
      <c r="G71" s="1"/>
      <c r="M71" s="17"/>
      <c r="N71" s="19"/>
      <c r="O71" s="3"/>
    </row>
    <row r="72" spans="1:15" ht="15.75" x14ac:dyDescent="0.25">
      <c r="A72" s="1"/>
      <c r="B72" s="3"/>
      <c r="F72" s="1"/>
      <c r="G72" s="1"/>
      <c r="M72" s="17"/>
      <c r="N72" s="19"/>
      <c r="O72" s="3"/>
    </row>
    <row r="73" spans="1:15" ht="15.75" x14ac:dyDescent="0.25">
      <c r="A73" s="1"/>
      <c r="B73" s="3"/>
      <c r="F73" s="1"/>
      <c r="G73" s="1"/>
      <c r="M73" s="17"/>
      <c r="N73" s="19"/>
      <c r="O73" s="3"/>
    </row>
    <row r="74" spans="1:15" ht="15.75" x14ac:dyDescent="0.25">
      <c r="A74" s="1"/>
      <c r="B74" s="3"/>
      <c r="F74" s="1"/>
      <c r="G74" s="1"/>
      <c r="M74" s="17"/>
      <c r="N74" s="19"/>
      <c r="O74" s="3"/>
    </row>
    <row r="75" spans="1:15" ht="15.75" x14ac:dyDescent="0.25">
      <c r="A75" s="1"/>
      <c r="B75" s="3"/>
      <c r="F75" s="1"/>
      <c r="G75" s="1"/>
      <c r="M75" s="17"/>
      <c r="N75" s="19"/>
      <c r="O75" s="3"/>
    </row>
    <row r="76" spans="1:15" ht="15.75" x14ac:dyDescent="0.25">
      <c r="A76" s="1"/>
      <c r="B76" s="3"/>
      <c r="F76" s="1"/>
      <c r="G76" s="1"/>
      <c r="M76" s="17"/>
      <c r="N76" s="19"/>
      <c r="O76" s="3"/>
    </row>
    <row r="77" spans="1:15" ht="15.75" x14ac:dyDescent="0.25">
      <c r="A77" s="1"/>
      <c r="B77" s="3"/>
      <c r="F77" s="1"/>
      <c r="G77" s="1"/>
      <c r="M77" s="17"/>
      <c r="N77" s="19"/>
      <c r="O77" s="3"/>
    </row>
    <row r="78" spans="1:15" ht="15.75" x14ac:dyDescent="0.25">
      <c r="A78" s="1"/>
      <c r="B78" s="3"/>
      <c r="F78" s="1"/>
      <c r="G78" s="1"/>
      <c r="M78" s="17"/>
      <c r="N78" s="19"/>
      <c r="O78" s="3"/>
    </row>
    <row r="79" spans="1:15" ht="15.75" x14ac:dyDescent="0.25">
      <c r="A79" s="1"/>
      <c r="B79" s="3"/>
      <c r="F79" s="1"/>
      <c r="G79" s="1"/>
      <c r="M79" s="17"/>
      <c r="N79" s="19"/>
      <c r="O79" s="3"/>
    </row>
    <row r="80" spans="1:15" ht="15.75" x14ac:dyDescent="0.25">
      <c r="A80" s="1"/>
      <c r="B80" s="3"/>
      <c r="F80" s="1"/>
      <c r="G80" s="1"/>
      <c r="M80" s="17"/>
      <c r="N80" s="19"/>
      <c r="O80" s="3"/>
    </row>
    <row r="81" spans="1:15" ht="15.75" x14ac:dyDescent="0.25">
      <c r="A81" s="1"/>
      <c r="B81" s="3"/>
      <c r="F81" s="1"/>
      <c r="G81" s="1"/>
      <c r="M81" s="17"/>
      <c r="N81" s="19"/>
      <c r="O81" s="3"/>
    </row>
    <row r="82" spans="1:15" ht="15.75" x14ac:dyDescent="0.25">
      <c r="A82" s="1"/>
      <c r="B82" s="3"/>
      <c r="F82" s="1"/>
      <c r="G82" s="1"/>
      <c r="M82" s="17"/>
      <c r="N82" s="19"/>
      <c r="O82" s="3"/>
    </row>
    <row r="83" spans="1:15" ht="15.75" x14ac:dyDescent="0.25">
      <c r="A83" s="1"/>
      <c r="B83" s="3"/>
      <c r="F83" s="1"/>
      <c r="G83" s="1"/>
      <c r="M83" s="17"/>
      <c r="N83" s="19"/>
      <c r="O83" s="3"/>
    </row>
    <row r="84" spans="1:15" ht="15.75" x14ac:dyDescent="0.25">
      <c r="A84" s="1"/>
      <c r="B84" s="3"/>
      <c r="F84" s="1"/>
      <c r="G84" s="1"/>
      <c r="M84" s="17"/>
      <c r="N84" s="19"/>
      <c r="O84" s="3"/>
    </row>
    <row r="85" spans="1:15" ht="15.75" x14ac:dyDescent="0.25">
      <c r="A85" s="1"/>
      <c r="B85" s="3"/>
      <c r="F85" s="1"/>
      <c r="G85" s="1"/>
      <c r="M85" s="17"/>
      <c r="N85" s="19"/>
      <c r="O85" s="3"/>
    </row>
    <row r="86" spans="1:15" ht="15.75" x14ac:dyDescent="0.25">
      <c r="A86" s="1"/>
      <c r="B86" s="3"/>
      <c r="F86" s="1"/>
      <c r="G86" s="1"/>
      <c r="M86" s="17"/>
      <c r="N86" s="19"/>
      <c r="O86" s="3"/>
    </row>
    <row r="87" spans="1:15" ht="15.75" x14ac:dyDescent="0.25">
      <c r="A87" s="1"/>
      <c r="B87" s="3"/>
      <c r="F87" s="1"/>
      <c r="G87" s="1"/>
      <c r="M87" s="17"/>
      <c r="N87" s="19"/>
      <c r="O87" s="3"/>
    </row>
    <row r="88" spans="1:15" ht="15.75" x14ac:dyDescent="0.25">
      <c r="A88" s="1"/>
      <c r="B88" s="3"/>
      <c r="F88" s="1"/>
      <c r="G88" s="1"/>
      <c r="M88" s="17"/>
      <c r="N88" s="19"/>
      <c r="O88" s="3"/>
    </row>
    <row r="89" spans="1:15" ht="15.75" x14ac:dyDescent="0.25">
      <c r="A89" s="1"/>
      <c r="B89" s="3"/>
      <c r="F89" s="1"/>
      <c r="G89" s="1"/>
      <c r="M89" s="17"/>
      <c r="N89" s="19"/>
      <c r="O89" s="3"/>
    </row>
    <row r="90" spans="1:15" ht="15.75" x14ac:dyDescent="0.25">
      <c r="A90" s="1"/>
      <c r="B90" s="3"/>
      <c r="F90" s="1"/>
      <c r="G90" s="1"/>
      <c r="M90" s="17"/>
      <c r="N90" s="19"/>
      <c r="O90" s="3"/>
    </row>
    <row r="91" spans="1:15" ht="15.75" x14ac:dyDescent="0.25">
      <c r="A91" s="1"/>
      <c r="B91" s="3"/>
      <c r="F91" s="1"/>
      <c r="G91" s="1"/>
      <c r="M91" s="17"/>
      <c r="N91" s="19"/>
      <c r="O91" s="3"/>
    </row>
    <row r="92" spans="1:15" ht="15.75" x14ac:dyDescent="0.25">
      <c r="A92" s="1"/>
      <c r="B92" s="3"/>
      <c r="F92" s="1"/>
      <c r="G92" s="1"/>
      <c r="M92" s="17"/>
      <c r="N92" s="19"/>
      <c r="O92" s="3"/>
    </row>
    <row r="93" spans="1:15" ht="15.75" x14ac:dyDescent="0.25">
      <c r="A93" s="1"/>
      <c r="B93" s="3"/>
      <c r="F93" s="1"/>
      <c r="G93" s="1"/>
      <c r="M93" s="17"/>
      <c r="N93" s="19"/>
      <c r="O93" s="3"/>
    </row>
    <row r="94" spans="1:15" ht="15.75" x14ac:dyDescent="0.25">
      <c r="A94" s="1"/>
      <c r="B94" s="3"/>
      <c r="F94" s="1"/>
      <c r="G94" s="1"/>
      <c r="M94" s="17"/>
      <c r="N94" s="19"/>
      <c r="O94" s="3"/>
    </row>
    <row r="95" spans="1:15" ht="15.75" x14ac:dyDescent="0.25">
      <c r="A95" s="1"/>
      <c r="B95" s="3"/>
      <c r="F95" s="1"/>
      <c r="G95" s="1"/>
      <c r="M95" s="17"/>
      <c r="N95" s="19"/>
      <c r="O95" s="3"/>
    </row>
    <row r="96" spans="1:15" ht="15.75" x14ac:dyDescent="0.25">
      <c r="A96" s="1"/>
      <c r="B96" s="3"/>
      <c r="F96" s="1"/>
      <c r="G96" s="1"/>
      <c r="M96" s="17"/>
      <c r="N96" s="19"/>
      <c r="O96" s="3"/>
    </row>
    <row r="97" spans="1:15" ht="15.75" x14ac:dyDescent="0.25">
      <c r="A97" s="1"/>
      <c r="B97" s="3"/>
      <c r="F97" s="1"/>
      <c r="G97" s="1"/>
      <c r="M97" s="17"/>
      <c r="N97" s="19"/>
      <c r="O97" s="3"/>
    </row>
    <row r="98" spans="1:15" ht="15.75" x14ac:dyDescent="0.25">
      <c r="A98" s="1"/>
      <c r="B98" s="3"/>
      <c r="F98" s="1"/>
      <c r="G98" s="1"/>
      <c r="M98" s="17"/>
      <c r="N98" s="19"/>
      <c r="O98" s="3"/>
    </row>
    <row r="99" spans="1:15" ht="15.75" x14ac:dyDescent="0.25">
      <c r="A99" s="1"/>
      <c r="B99" s="3"/>
      <c r="F99" s="1"/>
      <c r="G99" s="1"/>
      <c r="M99" s="17"/>
      <c r="N99" s="19"/>
      <c r="O99" s="3"/>
    </row>
    <row r="100" spans="1:15" x14ac:dyDescent="0.25">
      <c r="A100" s="1"/>
      <c r="B100" s="3"/>
      <c r="F100" s="1"/>
      <c r="G100" s="1"/>
      <c r="M100" s="1"/>
    </row>
    <row r="101" spans="1:15" x14ac:dyDescent="0.25">
      <c r="A101" s="1"/>
      <c r="B101" s="3"/>
      <c r="F101" s="1"/>
      <c r="G101" s="1"/>
      <c r="M101" s="1"/>
    </row>
    <row r="102" spans="1:15" x14ac:dyDescent="0.25">
      <c r="A102" s="1"/>
      <c r="B102" s="3"/>
      <c r="F102" s="1"/>
      <c r="G102" s="1"/>
      <c r="M102" s="1"/>
    </row>
    <row r="103" spans="1:15" x14ac:dyDescent="0.25">
      <c r="A103" s="1"/>
      <c r="B103" s="3"/>
      <c r="F103" s="1"/>
      <c r="G103" s="1"/>
      <c r="M103" s="1"/>
    </row>
    <row r="104" spans="1:15" x14ac:dyDescent="0.25">
      <c r="A104" s="1"/>
      <c r="B104" s="3"/>
      <c r="F104" s="1"/>
      <c r="G104" s="1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20:N99">
    <cfRule type="cellIs" dxfId="6" priority="2" operator="equal">
      <formula>"F"</formula>
    </cfRule>
  </conditionalFormatting>
  <conditionalFormatting sqref="N8:N19">
    <cfRule type="cellIs" dxfId="5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0177" r:id="rId4" name="ExecuteQueries"/>
      </mc:Fallback>
    </mc:AlternateContent>
    <mc:AlternateContent xmlns:mc="http://schemas.openxmlformats.org/markup-compatibility/2006">
      <mc:Choice Requires="x14">
        <control shapeId="50178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50178" r:id="rId6" name="ClearBtn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92D050"/>
  </sheetPr>
  <dimension ref="A1:R412"/>
  <sheetViews>
    <sheetView workbookViewId="0">
      <selection activeCell="N35" sqref="N35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9.8554687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61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 t="s">
        <v>234</v>
      </c>
    </row>
    <row r="7" spans="1:18" s="2" customFormat="1" x14ac:dyDescent="0.25">
      <c r="F7" s="6"/>
      <c r="G7" s="6"/>
      <c r="M7" s="15"/>
      <c r="N7" s="16"/>
    </row>
    <row r="8" spans="1:18" ht="15.75" x14ac:dyDescent="0.25">
      <c r="A8" s="55">
        <v>37953</v>
      </c>
      <c r="B8" s="56" t="s">
        <v>233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22</v>
      </c>
      <c r="M8" s="17" t="str">
        <f>B8</f>
        <v>WkInPrd</v>
      </c>
      <c r="N8" s="18" t="str">
        <f>IF(VALUE(L8)=VALUE(O8), "P","F")</f>
        <v>P</v>
      </c>
      <c r="O8" s="3">
        <f>IF(P8&lt;1.000001,1,IF(P8&lt;2.000001,2,IF(P8&lt;3.000001,3,IF(P8&lt;4.000001,4,IF(P8&lt;5.000001,5,)))))</f>
        <v>4</v>
      </c>
      <c r="P8">
        <f>(A8-F8) /7</f>
        <v>3.5714285714285716</v>
      </c>
      <c r="R8" t="s">
        <v>24</v>
      </c>
    </row>
    <row r="9" spans="1:18" ht="15.75" x14ac:dyDescent="0.25">
      <c r="A9" s="55">
        <v>37954</v>
      </c>
      <c r="B9" s="56" t="s">
        <v>233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22</v>
      </c>
      <c r="M9" s="17" t="str">
        <f t="shared" ref="M9:M68" si="0">B9</f>
        <v>WkInPrd</v>
      </c>
      <c r="N9" s="19" t="str">
        <f t="shared" ref="N9:N68" si="1">IF(VALUE(L9)=VALUE(O9), "P","F")</f>
        <v>P</v>
      </c>
      <c r="O9" s="3">
        <f t="shared" ref="O9:O68" si="2">IF(P9&lt;1.000001,1,IF(P9&lt;2.000001,2,IF(P9&lt;3.000001,3,IF(P9&lt;4.000001,4,IF(P9&lt;5.000001,5,)))))</f>
        <v>4</v>
      </c>
      <c r="P9">
        <f t="shared" ref="P9:P68" si="3">(A9-F9) /7</f>
        <v>3.7142857142857144</v>
      </c>
      <c r="R9" t="s">
        <v>25</v>
      </c>
    </row>
    <row r="10" spans="1:18" ht="15.75" x14ac:dyDescent="0.25">
      <c r="A10" s="55">
        <v>37955</v>
      </c>
      <c r="B10" s="56" t="s">
        <v>233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22</v>
      </c>
      <c r="M10" s="17" t="str">
        <f t="shared" si="0"/>
        <v>WkInPrd</v>
      </c>
      <c r="N10" s="19" t="str">
        <f t="shared" si="1"/>
        <v>P</v>
      </c>
      <c r="O10" s="3">
        <f t="shared" si="2"/>
        <v>4</v>
      </c>
      <c r="P10">
        <f t="shared" si="3"/>
        <v>3.8571428571428572</v>
      </c>
      <c r="R10" t="s">
        <v>26</v>
      </c>
    </row>
    <row r="11" spans="1:18" ht="15.75" x14ac:dyDescent="0.25">
      <c r="A11" s="55">
        <v>37956</v>
      </c>
      <c r="B11" s="56" t="s">
        <v>233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15</v>
      </c>
      <c r="M11" s="17" t="str">
        <f t="shared" si="0"/>
        <v>WkInPrd</v>
      </c>
      <c r="N11" s="19" t="str">
        <f t="shared" si="1"/>
        <v>P</v>
      </c>
      <c r="O11" s="3">
        <f t="shared" si="2"/>
        <v>1</v>
      </c>
      <c r="P11">
        <f t="shared" si="3"/>
        <v>0</v>
      </c>
      <c r="R11" t="s">
        <v>27</v>
      </c>
    </row>
    <row r="12" spans="1:18" ht="15.75" x14ac:dyDescent="0.25">
      <c r="A12" s="55">
        <v>38320</v>
      </c>
      <c r="B12" s="56" t="s">
        <v>233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15</v>
      </c>
      <c r="M12" s="17" t="str">
        <f t="shared" si="0"/>
        <v>WkInPrd</v>
      </c>
      <c r="N12" s="19" t="str">
        <f t="shared" si="1"/>
        <v>P</v>
      </c>
      <c r="O12" s="3">
        <f t="shared" si="2"/>
        <v>1</v>
      </c>
      <c r="P12">
        <f t="shared" si="3"/>
        <v>0</v>
      </c>
      <c r="R12" t="s">
        <v>28</v>
      </c>
    </row>
    <row r="13" spans="1:18" ht="15.75" x14ac:dyDescent="0.25">
      <c r="A13" s="55">
        <v>38684</v>
      </c>
      <c r="B13" s="56" t="s">
        <v>233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15</v>
      </c>
      <c r="M13" s="17" t="str">
        <f t="shared" si="0"/>
        <v>WkInPrd</v>
      </c>
      <c r="N13" s="19" t="str">
        <f t="shared" si="1"/>
        <v>P</v>
      </c>
      <c r="O13" s="3">
        <f t="shared" si="2"/>
        <v>1</v>
      </c>
      <c r="P13">
        <f t="shared" si="3"/>
        <v>0</v>
      </c>
      <c r="R13" t="s">
        <v>29</v>
      </c>
    </row>
    <row r="14" spans="1:18" ht="15.75" x14ac:dyDescent="0.25">
      <c r="A14" s="55">
        <v>46356</v>
      </c>
      <c r="B14" s="56" t="s">
        <v>233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15</v>
      </c>
      <c r="M14" s="17" t="str">
        <f t="shared" si="0"/>
        <v>WkInPrd</v>
      </c>
      <c r="N14" s="19" t="str">
        <f t="shared" si="1"/>
        <v>P</v>
      </c>
      <c r="O14" s="3">
        <f t="shared" si="2"/>
        <v>1</v>
      </c>
      <c r="P14">
        <f t="shared" si="3"/>
        <v>0</v>
      </c>
      <c r="R14" t="s">
        <v>30</v>
      </c>
    </row>
    <row r="15" spans="1:18" ht="15.75" x14ac:dyDescent="0.25">
      <c r="A15" s="55">
        <v>46720</v>
      </c>
      <c r="B15" s="56" t="s">
        <v>233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15</v>
      </c>
      <c r="M15" s="17" t="str">
        <f t="shared" si="0"/>
        <v>WkInPrd</v>
      </c>
      <c r="N15" s="19" t="str">
        <f t="shared" si="1"/>
        <v>P</v>
      </c>
      <c r="O15" s="3">
        <f t="shared" si="2"/>
        <v>1</v>
      </c>
      <c r="P15">
        <f t="shared" si="3"/>
        <v>0</v>
      </c>
      <c r="R15" t="s">
        <v>31</v>
      </c>
    </row>
    <row r="16" spans="1:18" ht="15.75" x14ac:dyDescent="0.25">
      <c r="A16" s="55">
        <v>47084</v>
      </c>
      <c r="B16" s="56" t="s">
        <v>233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15</v>
      </c>
      <c r="M16" s="17" t="str">
        <f t="shared" si="0"/>
        <v>WkInPrd</v>
      </c>
      <c r="N16" s="19" t="str">
        <f t="shared" si="1"/>
        <v>P</v>
      </c>
      <c r="O16" s="3">
        <f t="shared" si="2"/>
        <v>1</v>
      </c>
      <c r="P16">
        <f t="shared" si="3"/>
        <v>0</v>
      </c>
      <c r="R16" t="s">
        <v>32</v>
      </c>
    </row>
    <row r="17" spans="1:18" ht="15.75" x14ac:dyDescent="0.25">
      <c r="A17" s="55">
        <v>47455</v>
      </c>
      <c r="B17" s="56" t="s">
        <v>233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15</v>
      </c>
      <c r="M17" s="17" t="str">
        <f t="shared" si="0"/>
        <v>WkInPrd</v>
      </c>
      <c r="N17" s="19" t="str">
        <f t="shared" si="1"/>
        <v>P</v>
      </c>
      <c r="O17" s="3">
        <f t="shared" si="2"/>
        <v>1</v>
      </c>
      <c r="P17">
        <f t="shared" si="3"/>
        <v>0</v>
      </c>
      <c r="R17" t="s">
        <v>33</v>
      </c>
    </row>
    <row r="18" spans="1:18" ht="15.75" x14ac:dyDescent="0.25">
      <c r="A18" s="55">
        <v>47819</v>
      </c>
      <c r="B18" s="56" t="s">
        <v>233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15</v>
      </c>
      <c r="M18" s="17" t="str">
        <f t="shared" si="0"/>
        <v>WkInPrd</v>
      </c>
      <c r="N18" s="19" t="str">
        <f t="shared" si="1"/>
        <v>P</v>
      </c>
      <c r="O18" s="3">
        <f t="shared" si="2"/>
        <v>1</v>
      </c>
      <c r="P18">
        <f t="shared" si="3"/>
        <v>0</v>
      </c>
      <c r="R18" t="s">
        <v>34</v>
      </c>
    </row>
    <row r="19" spans="1:18" ht="15.75" x14ac:dyDescent="0.25">
      <c r="A19" s="55">
        <v>37255</v>
      </c>
      <c r="B19" s="56" t="s">
        <v>233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22</v>
      </c>
      <c r="M19" s="17" t="str">
        <f t="shared" si="0"/>
        <v>WkInPrd</v>
      </c>
      <c r="N19" s="19" t="str">
        <f t="shared" si="1"/>
        <v>P</v>
      </c>
      <c r="O19" s="3">
        <f t="shared" si="2"/>
        <v>4</v>
      </c>
      <c r="P19">
        <f t="shared" si="3"/>
        <v>3.8571428571428572</v>
      </c>
      <c r="R19" t="s">
        <v>35</v>
      </c>
    </row>
    <row r="20" spans="1:18" ht="15.75" x14ac:dyDescent="0.25">
      <c r="A20" s="55">
        <v>37619</v>
      </c>
      <c r="B20" s="56" t="s">
        <v>233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22</v>
      </c>
      <c r="M20" s="17" t="str">
        <f t="shared" si="0"/>
        <v>WkInPrd</v>
      </c>
      <c r="N20" s="19" t="str">
        <f t="shared" si="1"/>
        <v>P</v>
      </c>
      <c r="O20" s="3">
        <f t="shared" si="2"/>
        <v>4</v>
      </c>
      <c r="P20">
        <f t="shared" si="3"/>
        <v>3.8571428571428572</v>
      </c>
      <c r="R20" t="s">
        <v>36</v>
      </c>
    </row>
    <row r="21" spans="1:18" ht="15.75" x14ac:dyDescent="0.25">
      <c r="A21" s="55">
        <v>37983</v>
      </c>
      <c r="B21" s="56" t="s">
        <v>233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22</v>
      </c>
      <c r="M21" s="17" t="str">
        <f t="shared" si="0"/>
        <v>WkInPrd</v>
      </c>
      <c r="N21" s="19" t="str">
        <f t="shared" si="1"/>
        <v>P</v>
      </c>
      <c r="O21" s="3">
        <f t="shared" si="2"/>
        <v>4</v>
      </c>
      <c r="P21">
        <f t="shared" si="3"/>
        <v>3.8571428571428572</v>
      </c>
      <c r="R21" t="s">
        <v>37</v>
      </c>
    </row>
    <row r="22" spans="1:18" ht="15.75" x14ac:dyDescent="0.25">
      <c r="A22" s="55">
        <v>38347</v>
      </c>
      <c r="B22" s="56" t="s">
        <v>233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22</v>
      </c>
      <c r="M22" s="17" t="str">
        <f t="shared" si="0"/>
        <v>WkInPrd</v>
      </c>
      <c r="N22" s="19" t="str">
        <f t="shared" si="1"/>
        <v>P</v>
      </c>
      <c r="O22" s="3">
        <f t="shared" si="2"/>
        <v>4</v>
      </c>
      <c r="P22">
        <f t="shared" si="3"/>
        <v>3.8571428571428572</v>
      </c>
      <c r="R22" t="s">
        <v>38</v>
      </c>
    </row>
    <row r="23" spans="1:18" ht="15.75" x14ac:dyDescent="0.25">
      <c r="A23" s="55">
        <v>38711</v>
      </c>
      <c r="B23" s="56" t="s">
        <v>233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22</v>
      </c>
      <c r="M23" s="17" t="str">
        <f t="shared" si="0"/>
        <v>WkInPrd</v>
      </c>
      <c r="N23" s="19" t="str">
        <f t="shared" si="1"/>
        <v>P</v>
      </c>
      <c r="O23" s="3">
        <f t="shared" si="2"/>
        <v>4</v>
      </c>
      <c r="P23">
        <f t="shared" si="3"/>
        <v>3.8571428571428572</v>
      </c>
      <c r="R23" t="s">
        <v>39</v>
      </c>
    </row>
    <row r="24" spans="1:18" ht="15.75" x14ac:dyDescent="0.25">
      <c r="A24" s="55">
        <v>39082</v>
      </c>
      <c r="B24" s="56" t="s">
        <v>233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21</v>
      </c>
      <c r="M24" s="17" t="str">
        <f t="shared" si="0"/>
        <v>WkInPrd</v>
      </c>
      <c r="N24" s="19" t="str">
        <f t="shared" si="1"/>
        <v>P</v>
      </c>
      <c r="O24" s="3">
        <f t="shared" si="2"/>
        <v>5</v>
      </c>
      <c r="P24">
        <f t="shared" si="3"/>
        <v>4.8571428571428568</v>
      </c>
      <c r="R24" t="s">
        <v>40</v>
      </c>
    </row>
    <row r="25" spans="1:18" ht="15.75" x14ac:dyDescent="0.25">
      <c r="A25" s="55">
        <v>39446</v>
      </c>
      <c r="B25" s="56" t="s">
        <v>233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22</v>
      </c>
      <c r="M25" s="17" t="str">
        <f t="shared" si="0"/>
        <v>WkInPrd</v>
      </c>
      <c r="N25" s="19" t="str">
        <f t="shared" si="1"/>
        <v>P</v>
      </c>
      <c r="O25" s="3">
        <f t="shared" si="2"/>
        <v>4</v>
      </c>
      <c r="P25">
        <f t="shared" si="3"/>
        <v>3.8571428571428572</v>
      </c>
    </row>
    <row r="26" spans="1:18" ht="15.75" x14ac:dyDescent="0.25">
      <c r="A26" s="55">
        <v>39810</v>
      </c>
      <c r="B26" s="56" t="s">
        <v>233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22</v>
      </c>
      <c r="M26" s="17" t="str">
        <f t="shared" si="0"/>
        <v>WkInPrd</v>
      </c>
      <c r="N26" s="19" t="str">
        <f t="shared" si="1"/>
        <v>P</v>
      </c>
      <c r="O26" s="3">
        <f t="shared" si="2"/>
        <v>4</v>
      </c>
      <c r="P26">
        <f t="shared" si="3"/>
        <v>3.8571428571428572</v>
      </c>
    </row>
    <row r="27" spans="1:18" ht="15.75" x14ac:dyDescent="0.25">
      <c r="A27" s="55">
        <v>40174</v>
      </c>
      <c r="B27" s="56" t="s">
        <v>233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22</v>
      </c>
      <c r="M27" s="17" t="str">
        <f t="shared" si="0"/>
        <v>WkInPrd</v>
      </c>
      <c r="N27" s="19" t="str">
        <f t="shared" si="1"/>
        <v>P</v>
      </c>
      <c r="O27" s="3">
        <f t="shared" si="2"/>
        <v>4</v>
      </c>
      <c r="P27">
        <f t="shared" si="3"/>
        <v>3.8571428571428572</v>
      </c>
    </row>
    <row r="28" spans="1:18" ht="15.75" x14ac:dyDescent="0.25">
      <c r="A28" s="55">
        <v>40538</v>
      </c>
      <c r="B28" s="56" t="s">
        <v>233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22</v>
      </c>
      <c r="M28" s="17" t="str">
        <f t="shared" si="0"/>
        <v>WkInPrd</v>
      </c>
      <c r="N28" s="19" t="str">
        <f t="shared" si="1"/>
        <v>P</v>
      </c>
      <c r="O28" s="3">
        <f t="shared" si="2"/>
        <v>4</v>
      </c>
      <c r="P28">
        <f t="shared" si="3"/>
        <v>3.8571428571428572</v>
      </c>
    </row>
    <row r="29" spans="1:18" ht="15.75" x14ac:dyDescent="0.25">
      <c r="A29" s="55">
        <v>40902</v>
      </c>
      <c r="B29" s="56" t="s">
        <v>233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22</v>
      </c>
      <c r="M29" s="17" t="str">
        <f t="shared" si="0"/>
        <v>WkInPrd</v>
      </c>
      <c r="N29" s="19" t="str">
        <f t="shared" si="1"/>
        <v>P</v>
      </c>
      <c r="O29" s="53">
        <f t="shared" si="2"/>
        <v>4</v>
      </c>
      <c r="P29">
        <f t="shared" si="3"/>
        <v>3.8571428571428572</v>
      </c>
    </row>
    <row r="30" spans="1:18" ht="15.75" x14ac:dyDescent="0.25">
      <c r="A30" s="55">
        <v>41273</v>
      </c>
      <c r="B30" s="56" t="s">
        <v>233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21</v>
      </c>
      <c r="M30" s="17" t="str">
        <f t="shared" si="0"/>
        <v>WkInPrd</v>
      </c>
      <c r="N30" s="19" t="str">
        <f t="shared" si="1"/>
        <v>P</v>
      </c>
      <c r="O30" s="3">
        <f t="shared" si="2"/>
        <v>5</v>
      </c>
      <c r="P30">
        <f t="shared" si="3"/>
        <v>4.8571428571428568</v>
      </c>
    </row>
    <row r="31" spans="1:18" ht="15.75" x14ac:dyDescent="0.25">
      <c r="A31" s="55">
        <v>41637</v>
      </c>
      <c r="B31" s="56" t="s">
        <v>233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22</v>
      </c>
      <c r="M31" s="17" t="str">
        <f t="shared" si="0"/>
        <v>WkInPrd</v>
      </c>
      <c r="N31" s="19" t="str">
        <f t="shared" si="1"/>
        <v>P</v>
      </c>
      <c r="O31" s="3">
        <f t="shared" si="2"/>
        <v>4</v>
      </c>
      <c r="P31">
        <f t="shared" si="3"/>
        <v>3.8571428571428572</v>
      </c>
    </row>
    <row r="32" spans="1:18" ht="15.75" x14ac:dyDescent="0.25">
      <c r="A32" s="55">
        <v>42001</v>
      </c>
      <c r="B32" s="56" t="s">
        <v>233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22</v>
      </c>
      <c r="M32" s="17" t="str">
        <f t="shared" si="0"/>
        <v>WkInPrd</v>
      </c>
      <c r="N32" s="19" t="str">
        <f t="shared" si="1"/>
        <v>P</v>
      </c>
      <c r="O32" s="3">
        <f t="shared" si="2"/>
        <v>4</v>
      </c>
      <c r="P32">
        <f t="shared" si="3"/>
        <v>3.8571428571428572</v>
      </c>
    </row>
    <row r="33" spans="1:18" ht="15.75" x14ac:dyDescent="0.25">
      <c r="A33" s="55">
        <v>42365</v>
      </c>
      <c r="B33" s="56" t="s">
        <v>233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22</v>
      </c>
      <c r="M33" s="17" t="str">
        <f t="shared" si="0"/>
        <v>WkInPrd</v>
      </c>
      <c r="N33" s="19" t="str">
        <f t="shared" si="1"/>
        <v>P</v>
      </c>
      <c r="O33" s="3">
        <f t="shared" si="2"/>
        <v>4</v>
      </c>
      <c r="P33">
        <f t="shared" si="3"/>
        <v>3.8571428571428572</v>
      </c>
    </row>
    <row r="34" spans="1:18" ht="15.75" x14ac:dyDescent="0.25">
      <c r="A34" s="55">
        <v>42729</v>
      </c>
      <c r="B34" s="56" t="s">
        <v>233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22</v>
      </c>
      <c r="M34" s="17" t="str">
        <f t="shared" si="0"/>
        <v>WkInPrd</v>
      </c>
      <c r="N34" s="19" t="str">
        <f t="shared" si="1"/>
        <v>P</v>
      </c>
      <c r="O34" s="3">
        <f t="shared" si="2"/>
        <v>4</v>
      </c>
      <c r="P34">
        <f t="shared" si="3"/>
        <v>3.8571428571428572</v>
      </c>
    </row>
    <row r="35" spans="1:18" ht="15.75" x14ac:dyDescent="0.25">
      <c r="A35" s="55">
        <v>37255</v>
      </c>
      <c r="B35" s="56" t="s">
        <v>233</v>
      </c>
      <c r="C35" s="56" t="s">
        <v>109</v>
      </c>
      <c r="F35" s="1">
        <v>37228</v>
      </c>
      <c r="G35" s="1">
        <v>37255</v>
      </c>
      <c r="H35" t="s">
        <v>77</v>
      </c>
      <c r="I35" t="s">
        <v>14</v>
      </c>
      <c r="J35" t="s">
        <v>12</v>
      </c>
      <c r="L35" t="s">
        <v>22</v>
      </c>
      <c r="M35" s="17" t="str">
        <f t="shared" si="0"/>
        <v>WkInPrd</v>
      </c>
      <c r="N35" s="19" t="str">
        <f t="shared" si="1"/>
        <v>P</v>
      </c>
      <c r="O35" s="3">
        <f t="shared" si="2"/>
        <v>4</v>
      </c>
      <c r="P35">
        <f t="shared" si="3"/>
        <v>3.8571428571428572</v>
      </c>
      <c r="R35" t="s">
        <v>247</v>
      </c>
    </row>
    <row r="36" spans="1:18" ht="15.75" x14ac:dyDescent="0.25">
      <c r="A36" s="55">
        <v>37619</v>
      </c>
      <c r="B36" s="56" t="s">
        <v>233</v>
      </c>
      <c r="C36" s="56" t="s">
        <v>109</v>
      </c>
      <c r="F36" s="1">
        <v>37592</v>
      </c>
      <c r="G36" s="1">
        <v>37619</v>
      </c>
      <c r="H36" t="s">
        <v>78</v>
      </c>
      <c r="I36" t="s">
        <v>14</v>
      </c>
      <c r="J36" t="s">
        <v>12</v>
      </c>
      <c r="L36" t="s">
        <v>22</v>
      </c>
      <c r="M36" s="17" t="str">
        <f t="shared" si="0"/>
        <v>WkInPrd</v>
      </c>
      <c r="N36" s="19" t="str">
        <f t="shared" si="1"/>
        <v>P</v>
      </c>
      <c r="O36" s="3">
        <f t="shared" si="2"/>
        <v>4</v>
      </c>
      <c r="P36">
        <f t="shared" si="3"/>
        <v>3.8571428571428572</v>
      </c>
      <c r="R36" t="s">
        <v>242</v>
      </c>
    </row>
    <row r="37" spans="1:18" ht="15.75" x14ac:dyDescent="0.25">
      <c r="A37" s="55">
        <v>37983</v>
      </c>
      <c r="B37" s="56" t="s">
        <v>233</v>
      </c>
      <c r="C37" s="56" t="s">
        <v>109</v>
      </c>
      <c r="F37" s="1">
        <v>37956</v>
      </c>
      <c r="G37" s="1">
        <v>37983</v>
      </c>
      <c r="H37" t="s">
        <v>80</v>
      </c>
      <c r="I37" t="s">
        <v>14</v>
      </c>
      <c r="J37" t="s">
        <v>12</v>
      </c>
      <c r="L37" t="s">
        <v>22</v>
      </c>
      <c r="M37" s="17" t="str">
        <f t="shared" si="0"/>
        <v>WkInPrd</v>
      </c>
      <c r="N37" s="19" t="str">
        <f t="shared" si="1"/>
        <v>P</v>
      </c>
      <c r="O37" s="3">
        <f t="shared" si="2"/>
        <v>4</v>
      </c>
      <c r="P37">
        <f t="shared" si="3"/>
        <v>3.8571428571428572</v>
      </c>
      <c r="R37" t="s">
        <v>243</v>
      </c>
    </row>
    <row r="38" spans="1:18" ht="15.75" x14ac:dyDescent="0.25">
      <c r="A38" s="55">
        <v>38347</v>
      </c>
      <c r="B38" s="56" t="s">
        <v>233</v>
      </c>
      <c r="C38" s="56" t="s">
        <v>109</v>
      </c>
      <c r="F38" s="1">
        <v>38320</v>
      </c>
      <c r="G38" s="1">
        <v>38347</v>
      </c>
      <c r="H38" t="s">
        <v>82</v>
      </c>
      <c r="I38" t="s">
        <v>14</v>
      </c>
      <c r="J38" t="s">
        <v>12</v>
      </c>
      <c r="L38" t="s">
        <v>22</v>
      </c>
      <c r="M38" s="17" t="str">
        <f t="shared" si="0"/>
        <v>WkInPrd</v>
      </c>
      <c r="N38" s="19" t="str">
        <f t="shared" si="1"/>
        <v>P</v>
      </c>
      <c r="O38" s="3">
        <f t="shared" si="2"/>
        <v>4</v>
      </c>
      <c r="P38">
        <f t="shared" si="3"/>
        <v>3.8571428571428572</v>
      </c>
      <c r="R38" t="s">
        <v>244</v>
      </c>
    </row>
    <row r="39" spans="1:18" ht="15.75" x14ac:dyDescent="0.25">
      <c r="A39" s="55">
        <v>38711</v>
      </c>
      <c r="B39" s="56" t="s">
        <v>233</v>
      </c>
      <c r="C39" s="56" t="s">
        <v>109</v>
      </c>
      <c r="F39" s="1">
        <v>38684</v>
      </c>
      <c r="G39" s="1">
        <v>38711</v>
      </c>
      <c r="H39" t="s">
        <v>84</v>
      </c>
      <c r="I39" t="s">
        <v>14</v>
      </c>
      <c r="J39" t="s">
        <v>12</v>
      </c>
      <c r="L39" t="s">
        <v>22</v>
      </c>
      <c r="M39" s="17" t="str">
        <f t="shared" si="0"/>
        <v>WkInPrd</v>
      </c>
      <c r="N39" s="19" t="str">
        <f t="shared" si="1"/>
        <v>P</v>
      </c>
      <c r="O39" s="3">
        <f t="shared" si="2"/>
        <v>4</v>
      </c>
      <c r="P39">
        <f t="shared" si="3"/>
        <v>3.8571428571428572</v>
      </c>
      <c r="R39" t="s">
        <v>245</v>
      </c>
    </row>
    <row r="40" spans="1:18" ht="15.75" x14ac:dyDescent="0.25">
      <c r="A40" s="55">
        <v>39082</v>
      </c>
      <c r="B40" s="56" t="s">
        <v>233</v>
      </c>
      <c r="C40" s="56" t="s">
        <v>109</v>
      </c>
      <c r="F40" s="1">
        <v>39048</v>
      </c>
      <c r="G40" s="1">
        <v>39082</v>
      </c>
      <c r="H40" t="s">
        <v>86</v>
      </c>
      <c r="I40" t="s">
        <v>14</v>
      </c>
      <c r="J40" t="s">
        <v>12</v>
      </c>
      <c r="L40" t="s">
        <v>21</v>
      </c>
      <c r="M40" s="17" t="str">
        <f t="shared" si="0"/>
        <v>WkInPrd</v>
      </c>
      <c r="N40" s="19" t="str">
        <f t="shared" si="1"/>
        <v>P</v>
      </c>
      <c r="O40" s="3">
        <f t="shared" si="2"/>
        <v>5</v>
      </c>
      <c r="P40">
        <f t="shared" si="3"/>
        <v>4.8571428571428568</v>
      </c>
      <c r="R40" t="s">
        <v>246</v>
      </c>
    </row>
    <row r="41" spans="1:18" ht="15.75" x14ac:dyDescent="0.25">
      <c r="A41" s="55">
        <v>39446</v>
      </c>
      <c r="B41" s="56" t="s">
        <v>233</v>
      </c>
      <c r="C41" s="56" t="s">
        <v>109</v>
      </c>
      <c r="F41" s="1">
        <v>39419</v>
      </c>
      <c r="G41" s="1">
        <v>39446</v>
      </c>
      <c r="H41" t="s">
        <v>87</v>
      </c>
      <c r="I41" t="s">
        <v>14</v>
      </c>
      <c r="J41" t="s">
        <v>12</v>
      </c>
      <c r="L41" t="s">
        <v>22</v>
      </c>
      <c r="M41" s="17" t="str">
        <f t="shared" si="0"/>
        <v>WkInPrd</v>
      </c>
      <c r="N41" s="19" t="str">
        <f t="shared" si="1"/>
        <v>P</v>
      </c>
      <c r="O41" s="3">
        <f t="shared" si="2"/>
        <v>4</v>
      </c>
      <c r="P41">
        <f t="shared" si="3"/>
        <v>3.8571428571428572</v>
      </c>
    </row>
    <row r="42" spans="1:18" ht="15.75" x14ac:dyDescent="0.25">
      <c r="A42" s="55">
        <v>39810</v>
      </c>
      <c r="B42" s="56" t="s">
        <v>233</v>
      </c>
      <c r="C42" s="56" t="s">
        <v>109</v>
      </c>
      <c r="E42" s="2" t="s">
        <v>71</v>
      </c>
      <c r="F42" s="1">
        <v>39783</v>
      </c>
      <c r="G42" s="1">
        <v>39810</v>
      </c>
      <c r="H42" t="s">
        <v>88</v>
      </c>
      <c r="I42" t="s">
        <v>14</v>
      </c>
      <c r="J42" t="s">
        <v>12</v>
      </c>
      <c r="L42" t="s">
        <v>22</v>
      </c>
      <c r="M42" s="17" t="str">
        <f t="shared" si="0"/>
        <v>WkInPrd</v>
      </c>
      <c r="N42" s="19" t="str">
        <f t="shared" si="1"/>
        <v>P</v>
      </c>
      <c r="O42" s="3">
        <f t="shared" si="2"/>
        <v>4</v>
      </c>
      <c r="P42">
        <f t="shared" si="3"/>
        <v>3.8571428571428572</v>
      </c>
    </row>
    <row r="43" spans="1:18" ht="15.75" x14ac:dyDescent="0.25">
      <c r="A43" s="55">
        <v>40174</v>
      </c>
      <c r="B43" s="56" t="s">
        <v>233</v>
      </c>
      <c r="C43" s="56" t="s">
        <v>109</v>
      </c>
      <c r="F43" s="1">
        <v>40147</v>
      </c>
      <c r="G43" s="1">
        <v>40174</v>
      </c>
      <c r="H43" t="s">
        <v>89</v>
      </c>
      <c r="I43" t="s">
        <v>14</v>
      </c>
      <c r="J43" t="s">
        <v>12</v>
      </c>
      <c r="L43" t="s">
        <v>22</v>
      </c>
      <c r="M43" s="17" t="str">
        <f t="shared" si="0"/>
        <v>WkInPrd</v>
      </c>
      <c r="N43" s="19" t="str">
        <f t="shared" si="1"/>
        <v>P</v>
      </c>
      <c r="O43" s="3">
        <f t="shared" si="2"/>
        <v>4</v>
      </c>
      <c r="P43">
        <f t="shared" si="3"/>
        <v>3.8571428571428572</v>
      </c>
    </row>
    <row r="44" spans="1:18" ht="15.75" x14ac:dyDescent="0.25">
      <c r="A44" s="55">
        <v>40538</v>
      </c>
      <c r="B44" s="56" t="s">
        <v>233</v>
      </c>
      <c r="C44" s="56" t="s">
        <v>109</v>
      </c>
      <c r="F44" s="1">
        <v>40511</v>
      </c>
      <c r="G44" s="1">
        <v>40538</v>
      </c>
      <c r="H44" t="s">
        <v>90</v>
      </c>
      <c r="I44" t="s">
        <v>14</v>
      </c>
      <c r="J44" t="s">
        <v>12</v>
      </c>
      <c r="L44" t="s">
        <v>22</v>
      </c>
      <c r="M44" s="17" t="str">
        <f t="shared" si="0"/>
        <v>WkInPrd</v>
      </c>
      <c r="N44" s="19" t="str">
        <f t="shared" si="1"/>
        <v>P</v>
      </c>
      <c r="O44" s="3">
        <f t="shared" si="2"/>
        <v>4</v>
      </c>
      <c r="P44">
        <f t="shared" si="3"/>
        <v>3.8571428571428572</v>
      </c>
    </row>
    <row r="45" spans="1:18" ht="15.75" x14ac:dyDescent="0.25">
      <c r="A45" s="55">
        <v>40902</v>
      </c>
      <c r="B45" s="56" t="s">
        <v>233</v>
      </c>
      <c r="C45" s="56" t="s">
        <v>109</v>
      </c>
      <c r="F45" s="1">
        <v>40875</v>
      </c>
      <c r="G45" s="1">
        <v>40902</v>
      </c>
      <c r="H45" t="s">
        <v>91</v>
      </c>
      <c r="I45" t="s">
        <v>14</v>
      </c>
      <c r="J45" t="s">
        <v>12</v>
      </c>
      <c r="L45" t="s">
        <v>22</v>
      </c>
      <c r="M45" s="17" t="str">
        <f t="shared" si="0"/>
        <v>WkInPrd</v>
      </c>
      <c r="N45" s="19" t="str">
        <f t="shared" si="1"/>
        <v>P</v>
      </c>
      <c r="O45" s="3">
        <f t="shared" si="2"/>
        <v>4</v>
      </c>
      <c r="P45">
        <f t="shared" si="3"/>
        <v>3.8571428571428572</v>
      </c>
    </row>
    <row r="46" spans="1:18" ht="15.75" x14ac:dyDescent="0.25">
      <c r="A46" s="55">
        <v>41273</v>
      </c>
      <c r="B46" s="56" t="s">
        <v>233</v>
      </c>
      <c r="C46" s="56" t="s">
        <v>109</v>
      </c>
      <c r="F46" s="1">
        <v>41239</v>
      </c>
      <c r="G46" s="1">
        <v>41273</v>
      </c>
      <c r="H46" t="s">
        <v>53</v>
      </c>
      <c r="I46" t="s">
        <v>14</v>
      </c>
      <c r="J46" t="s">
        <v>12</v>
      </c>
      <c r="L46" t="s">
        <v>21</v>
      </c>
      <c r="M46" s="17" t="str">
        <f t="shared" si="0"/>
        <v>WkInPrd</v>
      </c>
      <c r="N46" s="19" t="str">
        <f t="shared" si="1"/>
        <v>P</v>
      </c>
      <c r="O46" s="3">
        <f t="shared" si="2"/>
        <v>5</v>
      </c>
      <c r="P46">
        <f t="shared" si="3"/>
        <v>4.8571428571428568</v>
      </c>
    </row>
    <row r="47" spans="1:18" ht="15.75" x14ac:dyDescent="0.25">
      <c r="A47" s="55">
        <v>41637</v>
      </c>
      <c r="B47" s="56" t="s">
        <v>233</v>
      </c>
      <c r="C47" s="56" t="s">
        <v>109</v>
      </c>
      <c r="F47" s="1">
        <v>41610</v>
      </c>
      <c r="G47" s="1">
        <v>41637</v>
      </c>
      <c r="H47" t="s">
        <v>67</v>
      </c>
      <c r="I47" t="s">
        <v>14</v>
      </c>
      <c r="J47" t="s">
        <v>12</v>
      </c>
      <c r="L47" t="s">
        <v>22</v>
      </c>
      <c r="M47" s="17" t="str">
        <f t="shared" si="0"/>
        <v>WkInPrd</v>
      </c>
      <c r="N47" s="19" t="str">
        <f t="shared" si="1"/>
        <v>P</v>
      </c>
      <c r="O47" s="3">
        <f t="shared" si="2"/>
        <v>4</v>
      </c>
      <c r="P47">
        <f t="shared" si="3"/>
        <v>3.8571428571428572</v>
      </c>
    </row>
    <row r="48" spans="1:18" ht="15.75" x14ac:dyDescent="0.25">
      <c r="A48" s="55">
        <v>42001</v>
      </c>
      <c r="B48" s="56" t="s">
        <v>233</v>
      </c>
      <c r="C48" s="56" t="s">
        <v>109</v>
      </c>
      <c r="F48" s="1">
        <v>41974</v>
      </c>
      <c r="G48" s="1">
        <v>42001</v>
      </c>
      <c r="H48" t="s">
        <v>92</v>
      </c>
      <c r="I48" t="s">
        <v>14</v>
      </c>
      <c r="J48" t="s">
        <v>12</v>
      </c>
      <c r="L48" t="s">
        <v>22</v>
      </c>
      <c r="M48" s="17" t="str">
        <f t="shared" si="0"/>
        <v>WkInPrd</v>
      </c>
      <c r="N48" s="19" t="str">
        <f t="shared" si="1"/>
        <v>P</v>
      </c>
      <c r="O48" s="3">
        <f t="shared" si="2"/>
        <v>4</v>
      </c>
      <c r="P48">
        <f t="shared" si="3"/>
        <v>3.8571428571428572</v>
      </c>
    </row>
    <row r="49" spans="1:16" ht="15.75" x14ac:dyDescent="0.25">
      <c r="A49" s="55">
        <v>42365</v>
      </c>
      <c r="B49" s="56" t="s">
        <v>233</v>
      </c>
      <c r="C49" s="56" t="s">
        <v>109</v>
      </c>
      <c r="F49" s="1">
        <v>42338</v>
      </c>
      <c r="G49" s="1">
        <v>42365</v>
      </c>
      <c r="H49" t="s">
        <v>93</v>
      </c>
      <c r="I49" t="s">
        <v>14</v>
      </c>
      <c r="J49" t="s">
        <v>12</v>
      </c>
      <c r="L49" t="s">
        <v>22</v>
      </c>
      <c r="M49" s="17" t="str">
        <f t="shared" si="0"/>
        <v>WkInPrd</v>
      </c>
      <c r="N49" s="19" t="str">
        <f t="shared" si="1"/>
        <v>P</v>
      </c>
      <c r="O49" s="3">
        <f t="shared" si="2"/>
        <v>4</v>
      </c>
      <c r="P49">
        <f t="shared" si="3"/>
        <v>3.8571428571428572</v>
      </c>
    </row>
    <row r="50" spans="1:16" ht="15.75" x14ac:dyDescent="0.25">
      <c r="A50" s="55">
        <v>42729</v>
      </c>
      <c r="B50" s="56" t="s">
        <v>233</v>
      </c>
      <c r="C50" s="56" t="s">
        <v>109</v>
      </c>
      <c r="F50" s="1">
        <v>42702</v>
      </c>
      <c r="G50" s="1">
        <v>42729</v>
      </c>
      <c r="H50" t="s">
        <v>16</v>
      </c>
      <c r="I50" t="s">
        <v>14</v>
      </c>
      <c r="J50" t="s">
        <v>12</v>
      </c>
      <c r="L50" t="s">
        <v>22</v>
      </c>
      <c r="M50" s="17" t="str">
        <f t="shared" si="0"/>
        <v>WkInPrd</v>
      </c>
      <c r="N50" s="19" t="str">
        <f t="shared" si="1"/>
        <v>P</v>
      </c>
      <c r="O50" s="3">
        <f t="shared" si="2"/>
        <v>4</v>
      </c>
      <c r="P50">
        <f t="shared" si="3"/>
        <v>3.8571428571428572</v>
      </c>
    </row>
    <row r="51" spans="1:16" ht="15.75" x14ac:dyDescent="0.25">
      <c r="A51" s="55">
        <v>39048</v>
      </c>
      <c r="B51" s="56" t="s">
        <v>233</v>
      </c>
      <c r="C51" s="56" t="s">
        <v>111</v>
      </c>
      <c r="F51" s="1">
        <v>39048</v>
      </c>
      <c r="G51" s="1">
        <v>39082</v>
      </c>
      <c r="H51" t="s">
        <v>86</v>
      </c>
      <c r="I51" t="s">
        <v>14</v>
      </c>
      <c r="J51" t="s">
        <v>12</v>
      </c>
      <c r="L51" t="s">
        <v>15</v>
      </c>
      <c r="M51" s="17" t="str">
        <f t="shared" si="0"/>
        <v>WkInPrd</v>
      </c>
      <c r="N51" s="19" t="str">
        <f t="shared" si="1"/>
        <v>P</v>
      </c>
      <c r="O51" s="3">
        <f t="shared" si="2"/>
        <v>1</v>
      </c>
      <c r="P51">
        <f t="shared" si="3"/>
        <v>0</v>
      </c>
    </row>
    <row r="52" spans="1:16" ht="15.75" x14ac:dyDescent="0.25">
      <c r="A52" s="55">
        <v>43066</v>
      </c>
      <c r="B52" s="56" t="s">
        <v>233</v>
      </c>
      <c r="C52" s="56" t="s">
        <v>111</v>
      </c>
      <c r="F52" s="1">
        <v>43066</v>
      </c>
      <c r="G52" s="1">
        <v>43100</v>
      </c>
      <c r="H52" t="s">
        <v>70</v>
      </c>
      <c r="I52" t="s">
        <v>14</v>
      </c>
      <c r="J52" t="s">
        <v>12</v>
      </c>
      <c r="L52" t="s">
        <v>15</v>
      </c>
      <c r="M52" s="17" t="str">
        <f t="shared" si="0"/>
        <v>WkInPrd</v>
      </c>
      <c r="N52" s="19" t="str">
        <f t="shared" si="1"/>
        <v>P</v>
      </c>
      <c r="O52" s="3">
        <f t="shared" si="2"/>
        <v>1</v>
      </c>
      <c r="P52">
        <f t="shared" si="3"/>
        <v>0</v>
      </c>
    </row>
    <row r="53" spans="1:16" ht="15.75" x14ac:dyDescent="0.25">
      <c r="A53" s="55">
        <v>47084</v>
      </c>
      <c r="B53" s="56" t="s">
        <v>233</v>
      </c>
      <c r="C53" s="56" t="s">
        <v>111</v>
      </c>
      <c r="F53" s="1">
        <v>47084</v>
      </c>
      <c r="G53" s="1">
        <v>47118</v>
      </c>
      <c r="H53" t="s">
        <v>103</v>
      </c>
      <c r="I53" t="s">
        <v>14</v>
      </c>
      <c r="J53" t="s">
        <v>12</v>
      </c>
      <c r="L53" t="s">
        <v>15</v>
      </c>
      <c r="M53" s="17" t="str">
        <f t="shared" si="0"/>
        <v>WkInPrd</v>
      </c>
      <c r="N53" s="19" t="str">
        <f t="shared" si="1"/>
        <v>P</v>
      </c>
      <c r="O53" s="3">
        <f t="shared" si="2"/>
        <v>1</v>
      </c>
      <c r="P53">
        <f t="shared" si="3"/>
        <v>0</v>
      </c>
    </row>
    <row r="54" spans="1:16" ht="15.75" x14ac:dyDescent="0.25">
      <c r="A54" s="55">
        <v>39082</v>
      </c>
      <c r="B54" s="56" t="s">
        <v>233</v>
      </c>
      <c r="C54" s="56" t="s">
        <v>112</v>
      </c>
      <c r="F54" s="1">
        <v>39048</v>
      </c>
      <c r="G54" s="1">
        <v>39082</v>
      </c>
      <c r="H54" t="s">
        <v>86</v>
      </c>
      <c r="I54" t="s">
        <v>14</v>
      </c>
      <c r="J54" t="s">
        <v>12</v>
      </c>
      <c r="L54" t="s">
        <v>21</v>
      </c>
      <c r="M54" s="17" t="str">
        <f t="shared" si="0"/>
        <v>WkInPrd</v>
      </c>
      <c r="N54" s="19" t="str">
        <f t="shared" si="1"/>
        <v>P</v>
      </c>
      <c r="O54" s="3">
        <f t="shared" si="2"/>
        <v>5</v>
      </c>
      <c r="P54">
        <f t="shared" si="3"/>
        <v>4.8571428571428568</v>
      </c>
    </row>
    <row r="55" spans="1:16" ht="15.75" x14ac:dyDescent="0.25">
      <c r="A55" s="55">
        <v>43100</v>
      </c>
      <c r="B55" s="56" t="s">
        <v>233</v>
      </c>
      <c r="C55" s="56" t="s">
        <v>112</v>
      </c>
      <c r="F55" s="1">
        <v>43066</v>
      </c>
      <c r="G55" s="1">
        <v>43100</v>
      </c>
      <c r="H55" t="s">
        <v>70</v>
      </c>
      <c r="I55" t="s">
        <v>14</v>
      </c>
      <c r="J55" t="s">
        <v>12</v>
      </c>
      <c r="L55" t="s">
        <v>21</v>
      </c>
      <c r="M55" s="17" t="str">
        <f t="shared" si="0"/>
        <v>WkInPrd</v>
      </c>
      <c r="N55" s="19" t="str">
        <f t="shared" si="1"/>
        <v>P</v>
      </c>
      <c r="O55" s="3">
        <f t="shared" si="2"/>
        <v>5</v>
      </c>
      <c r="P55">
        <f t="shared" si="3"/>
        <v>4.8571428571428568</v>
      </c>
    </row>
    <row r="56" spans="1:16" ht="15.75" x14ac:dyDescent="0.25">
      <c r="A56" s="55">
        <v>47118</v>
      </c>
      <c r="B56" s="56" t="s">
        <v>233</v>
      </c>
      <c r="C56" s="56" t="s">
        <v>112</v>
      </c>
      <c r="F56" s="1">
        <v>47084</v>
      </c>
      <c r="G56" s="1">
        <v>47118</v>
      </c>
      <c r="H56" t="s">
        <v>103</v>
      </c>
      <c r="I56" t="s">
        <v>14</v>
      </c>
      <c r="J56" t="s">
        <v>12</v>
      </c>
      <c r="L56" t="s">
        <v>21</v>
      </c>
      <c r="M56" s="17" t="str">
        <f t="shared" si="0"/>
        <v>WkInPrd</v>
      </c>
      <c r="N56" s="19" t="str">
        <f t="shared" si="1"/>
        <v>P</v>
      </c>
      <c r="O56" s="3">
        <f t="shared" si="2"/>
        <v>5</v>
      </c>
      <c r="P56">
        <f t="shared" si="3"/>
        <v>4.8571428571428568</v>
      </c>
    </row>
    <row r="57" spans="1:16" ht="15.75" x14ac:dyDescent="0.25">
      <c r="A57" s="55">
        <v>39048</v>
      </c>
      <c r="B57" s="56" t="s">
        <v>233</v>
      </c>
      <c r="C57" s="56" t="s">
        <v>111</v>
      </c>
      <c r="F57" s="1">
        <v>39048</v>
      </c>
      <c r="G57" s="1">
        <v>39082</v>
      </c>
      <c r="H57" t="s">
        <v>86</v>
      </c>
      <c r="I57" t="s">
        <v>14</v>
      </c>
      <c r="J57" t="s">
        <v>12</v>
      </c>
      <c r="L57" t="s">
        <v>15</v>
      </c>
      <c r="M57" s="17" t="str">
        <f t="shared" si="0"/>
        <v>WkInPrd</v>
      </c>
      <c r="N57" s="19" t="str">
        <f t="shared" si="1"/>
        <v>P</v>
      </c>
      <c r="O57" s="3">
        <f t="shared" si="2"/>
        <v>1</v>
      </c>
      <c r="P57">
        <f t="shared" si="3"/>
        <v>0</v>
      </c>
    </row>
    <row r="58" spans="1:16" ht="15.75" x14ac:dyDescent="0.25">
      <c r="A58" s="55">
        <v>43066</v>
      </c>
      <c r="B58" s="56" t="s">
        <v>233</v>
      </c>
      <c r="C58" s="56" t="s">
        <v>111</v>
      </c>
      <c r="F58" s="1">
        <v>43066</v>
      </c>
      <c r="G58" s="1">
        <v>43100</v>
      </c>
      <c r="H58" t="s">
        <v>70</v>
      </c>
      <c r="I58" t="s">
        <v>14</v>
      </c>
      <c r="J58" t="s">
        <v>12</v>
      </c>
      <c r="L58" t="s">
        <v>15</v>
      </c>
      <c r="M58" s="17" t="str">
        <f t="shared" si="0"/>
        <v>WkInPrd</v>
      </c>
      <c r="N58" s="19" t="str">
        <f t="shared" si="1"/>
        <v>P</v>
      </c>
      <c r="O58" s="3">
        <f t="shared" si="2"/>
        <v>1</v>
      </c>
      <c r="P58">
        <f t="shared" si="3"/>
        <v>0</v>
      </c>
    </row>
    <row r="59" spans="1:16" ht="15.75" x14ac:dyDescent="0.25">
      <c r="A59" s="55">
        <v>47084</v>
      </c>
      <c r="B59" s="56" t="s">
        <v>233</v>
      </c>
      <c r="C59" s="56" t="s">
        <v>111</v>
      </c>
      <c r="F59" s="1">
        <v>47084</v>
      </c>
      <c r="G59" s="1">
        <v>47118</v>
      </c>
      <c r="H59" t="s">
        <v>103</v>
      </c>
      <c r="I59" t="s">
        <v>14</v>
      </c>
      <c r="J59" t="s">
        <v>12</v>
      </c>
      <c r="L59" t="s">
        <v>15</v>
      </c>
      <c r="M59" s="17" t="str">
        <f t="shared" si="0"/>
        <v>WkInPrd</v>
      </c>
      <c r="N59" s="19" t="str">
        <f t="shared" si="1"/>
        <v>P</v>
      </c>
      <c r="O59" s="3">
        <f t="shared" si="2"/>
        <v>1</v>
      </c>
      <c r="P59">
        <f t="shared" si="3"/>
        <v>0</v>
      </c>
    </row>
    <row r="60" spans="1:16" ht="15.75" x14ac:dyDescent="0.25">
      <c r="A60" s="55">
        <v>39082</v>
      </c>
      <c r="B60" s="56" t="s">
        <v>233</v>
      </c>
      <c r="C60" s="56" t="s">
        <v>112</v>
      </c>
      <c r="F60" s="1">
        <v>39048</v>
      </c>
      <c r="G60" s="1">
        <v>39082</v>
      </c>
      <c r="H60" t="s">
        <v>86</v>
      </c>
      <c r="I60" t="s">
        <v>14</v>
      </c>
      <c r="J60" t="s">
        <v>12</v>
      </c>
      <c r="L60" t="s">
        <v>21</v>
      </c>
      <c r="M60" s="17" t="str">
        <f t="shared" si="0"/>
        <v>WkInPrd</v>
      </c>
      <c r="N60" s="19" t="str">
        <f t="shared" si="1"/>
        <v>P</v>
      </c>
      <c r="O60" s="3">
        <f t="shared" si="2"/>
        <v>5</v>
      </c>
      <c r="P60">
        <f t="shared" si="3"/>
        <v>4.8571428571428568</v>
      </c>
    </row>
    <row r="61" spans="1:16" ht="15.75" x14ac:dyDescent="0.25">
      <c r="A61" s="55">
        <v>43100</v>
      </c>
      <c r="B61" s="56" t="s">
        <v>233</v>
      </c>
      <c r="C61" s="56" t="s">
        <v>112</v>
      </c>
      <c r="F61" s="1">
        <v>43066</v>
      </c>
      <c r="G61" s="1">
        <v>43100</v>
      </c>
      <c r="H61" t="s">
        <v>70</v>
      </c>
      <c r="I61" t="s">
        <v>14</v>
      </c>
      <c r="J61" t="s">
        <v>12</v>
      </c>
      <c r="L61" t="s">
        <v>21</v>
      </c>
      <c r="M61" s="17" t="str">
        <f t="shared" si="0"/>
        <v>WkInPrd</v>
      </c>
      <c r="N61" s="19" t="str">
        <f t="shared" si="1"/>
        <v>P</v>
      </c>
      <c r="O61" s="3">
        <f t="shared" si="2"/>
        <v>5</v>
      </c>
      <c r="P61">
        <f t="shared" si="3"/>
        <v>4.8571428571428568</v>
      </c>
    </row>
    <row r="62" spans="1:16" ht="15.75" x14ac:dyDescent="0.25">
      <c r="A62" s="55">
        <v>47118</v>
      </c>
      <c r="B62" s="56" t="s">
        <v>233</v>
      </c>
      <c r="C62" s="56" t="s">
        <v>112</v>
      </c>
      <c r="F62" s="1">
        <v>47084</v>
      </c>
      <c r="G62" s="1">
        <v>47118</v>
      </c>
      <c r="H62" t="s">
        <v>103</v>
      </c>
      <c r="I62" t="s">
        <v>14</v>
      </c>
      <c r="J62" t="s">
        <v>12</v>
      </c>
      <c r="L62" t="s">
        <v>21</v>
      </c>
      <c r="M62" s="17" t="str">
        <f t="shared" si="0"/>
        <v>WkInPrd</v>
      </c>
      <c r="N62" s="19" t="str">
        <f t="shared" si="1"/>
        <v>P</v>
      </c>
      <c r="O62" s="3">
        <f t="shared" si="2"/>
        <v>5</v>
      </c>
      <c r="P62">
        <f t="shared" si="3"/>
        <v>4.8571428571428568</v>
      </c>
    </row>
    <row r="63" spans="1:16" ht="15.75" x14ac:dyDescent="0.25">
      <c r="A63" s="55">
        <v>39048</v>
      </c>
      <c r="B63" s="56" t="s">
        <v>233</v>
      </c>
      <c r="C63" s="56" t="s">
        <v>111</v>
      </c>
      <c r="F63" s="1">
        <v>39048</v>
      </c>
      <c r="G63" s="1">
        <v>39082</v>
      </c>
      <c r="H63" t="s">
        <v>86</v>
      </c>
      <c r="I63" t="s">
        <v>14</v>
      </c>
      <c r="J63" t="s">
        <v>12</v>
      </c>
      <c r="L63" t="s">
        <v>15</v>
      </c>
      <c r="M63" s="17" t="str">
        <f t="shared" si="0"/>
        <v>WkInPrd</v>
      </c>
      <c r="N63" s="19" t="str">
        <f t="shared" si="1"/>
        <v>P</v>
      </c>
      <c r="O63" s="3">
        <f t="shared" si="2"/>
        <v>1</v>
      </c>
      <c r="P63">
        <f t="shared" si="3"/>
        <v>0</v>
      </c>
    </row>
    <row r="64" spans="1:16" ht="15.75" x14ac:dyDescent="0.25">
      <c r="A64" s="55">
        <v>43066</v>
      </c>
      <c r="B64" s="56" t="s">
        <v>233</v>
      </c>
      <c r="C64" s="56" t="s">
        <v>111</v>
      </c>
      <c r="F64" s="1">
        <v>43066</v>
      </c>
      <c r="G64" s="1">
        <v>43100</v>
      </c>
      <c r="H64" t="s">
        <v>70</v>
      </c>
      <c r="I64" t="s">
        <v>14</v>
      </c>
      <c r="J64" t="s">
        <v>12</v>
      </c>
      <c r="L64" t="s">
        <v>15</v>
      </c>
      <c r="M64" s="17" t="str">
        <f t="shared" si="0"/>
        <v>WkInPrd</v>
      </c>
      <c r="N64" s="19" t="str">
        <f t="shared" si="1"/>
        <v>P</v>
      </c>
      <c r="O64" s="3">
        <f t="shared" si="2"/>
        <v>1</v>
      </c>
      <c r="P64">
        <f t="shared" si="3"/>
        <v>0</v>
      </c>
    </row>
    <row r="65" spans="1:16" ht="15.75" x14ac:dyDescent="0.25">
      <c r="A65" s="55">
        <v>47084</v>
      </c>
      <c r="B65" s="56" t="s">
        <v>233</v>
      </c>
      <c r="C65" s="56" t="s">
        <v>111</v>
      </c>
      <c r="F65" s="1">
        <v>47084</v>
      </c>
      <c r="G65" s="1">
        <v>47118</v>
      </c>
      <c r="H65" t="s">
        <v>103</v>
      </c>
      <c r="I65" t="s">
        <v>14</v>
      </c>
      <c r="J65" t="s">
        <v>12</v>
      </c>
      <c r="L65" t="s">
        <v>15</v>
      </c>
      <c r="M65" s="17" t="str">
        <f t="shared" si="0"/>
        <v>WkInPrd</v>
      </c>
      <c r="N65" s="19" t="str">
        <f t="shared" si="1"/>
        <v>P</v>
      </c>
      <c r="O65" s="3">
        <f t="shared" si="2"/>
        <v>1</v>
      </c>
      <c r="P65">
        <f t="shared" si="3"/>
        <v>0</v>
      </c>
    </row>
    <row r="66" spans="1:16" ht="15.75" x14ac:dyDescent="0.25">
      <c r="A66" s="55">
        <v>39082</v>
      </c>
      <c r="B66" s="56" t="s">
        <v>233</v>
      </c>
      <c r="C66" s="56" t="s">
        <v>112</v>
      </c>
      <c r="F66" s="1">
        <v>39048</v>
      </c>
      <c r="G66" s="1">
        <v>39082</v>
      </c>
      <c r="H66" t="s">
        <v>86</v>
      </c>
      <c r="I66" t="s">
        <v>14</v>
      </c>
      <c r="J66" t="s">
        <v>12</v>
      </c>
      <c r="L66" t="s">
        <v>21</v>
      </c>
      <c r="M66" s="17" t="str">
        <f t="shared" si="0"/>
        <v>WkInPrd</v>
      </c>
      <c r="N66" s="19" t="str">
        <f t="shared" si="1"/>
        <v>P</v>
      </c>
      <c r="O66" s="3">
        <f t="shared" si="2"/>
        <v>5</v>
      </c>
      <c r="P66">
        <f t="shared" si="3"/>
        <v>4.8571428571428568</v>
      </c>
    </row>
    <row r="67" spans="1:16" ht="15.75" x14ac:dyDescent="0.25">
      <c r="A67" s="55">
        <v>43100</v>
      </c>
      <c r="B67" s="56" t="s">
        <v>233</v>
      </c>
      <c r="C67" s="56" t="s">
        <v>112</v>
      </c>
      <c r="F67" s="1">
        <v>43066</v>
      </c>
      <c r="G67" s="1">
        <v>43100</v>
      </c>
      <c r="H67" t="s">
        <v>70</v>
      </c>
      <c r="I67" t="s">
        <v>14</v>
      </c>
      <c r="J67" t="s">
        <v>12</v>
      </c>
      <c r="L67" t="s">
        <v>21</v>
      </c>
      <c r="M67" s="17" t="str">
        <f t="shared" si="0"/>
        <v>WkInPrd</v>
      </c>
      <c r="N67" s="19" t="str">
        <f t="shared" si="1"/>
        <v>P</v>
      </c>
      <c r="O67" s="3">
        <f t="shared" si="2"/>
        <v>5</v>
      </c>
      <c r="P67">
        <f t="shared" si="3"/>
        <v>4.8571428571428568</v>
      </c>
    </row>
    <row r="68" spans="1:16" ht="15.75" x14ac:dyDescent="0.25">
      <c r="A68" s="55">
        <v>47118</v>
      </c>
      <c r="B68" s="56" t="s">
        <v>233</v>
      </c>
      <c r="C68" s="56" t="s">
        <v>112</v>
      </c>
      <c r="F68" s="1">
        <v>47084</v>
      </c>
      <c r="G68" s="1">
        <v>47118</v>
      </c>
      <c r="H68" t="s">
        <v>103</v>
      </c>
      <c r="I68" t="s">
        <v>14</v>
      </c>
      <c r="J68" t="s">
        <v>12</v>
      </c>
      <c r="L68" t="s">
        <v>21</v>
      </c>
      <c r="M68" s="17" t="str">
        <f t="shared" si="0"/>
        <v>WkInPrd</v>
      </c>
      <c r="N68" s="19" t="str">
        <f t="shared" si="1"/>
        <v>P</v>
      </c>
      <c r="O68" s="3">
        <f t="shared" si="2"/>
        <v>5</v>
      </c>
      <c r="P68">
        <f t="shared" si="3"/>
        <v>4.8571428571428568</v>
      </c>
    </row>
    <row r="69" spans="1:16" ht="15.75" x14ac:dyDescent="0.25">
      <c r="A69" s="1"/>
      <c r="B69" s="56"/>
      <c r="C69" s="57"/>
      <c r="F69" s="1"/>
      <c r="G69" s="1"/>
      <c r="M69" s="17"/>
      <c r="N69" s="19"/>
      <c r="O69" s="3"/>
    </row>
    <row r="70" spans="1:16" ht="15.75" x14ac:dyDescent="0.25">
      <c r="A70" s="1"/>
      <c r="B70" s="56"/>
      <c r="C70" s="57"/>
      <c r="F70" s="1"/>
      <c r="G70" s="1"/>
      <c r="M70" s="17"/>
      <c r="N70" s="19"/>
      <c r="O70" s="3"/>
    </row>
    <row r="71" spans="1:16" ht="15.75" x14ac:dyDescent="0.25">
      <c r="A71" s="1"/>
      <c r="B71" s="56"/>
      <c r="C71" s="57"/>
      <c r="F71" s="1"/>
      <c r="G71" s="1"/>
      <c r="M71" s="17"/>
      <c r="N71" s="19"/>
      <c r="O71" s="3"/>
    </row>
    <row r="72" spans="1:16" ht="15.75" x14ac:dyDescent="0.25">
      <c r="A72" s="1"/>
      <c r="B72" s="56"/>
      <c r="C72" s="57"/>
      <c r="F72" s="1"/>
      <c r="G72" s="1"/>
      <c r="M72" s="17"/>
      <c r="N72" s="19"/>
      <c r="O72" s="3"/>
    </row>
    <row r="73" spans="1:16" s="61" customFormat="1" ht="15.75" x14ac:dyDescent="0.25">
      <c r="A73" s="54"/>
      <c r="B73" s="60"/>
      <c r="C73" s="91"/>
      <c r="F73" s="54"/>
      <c r="G73" s="54"/>
      <c r="M73" s="62"/>
      <c r="N73" s="63"/>
      <c r="O73" s="64"/>
    </row>
    <row r="74" spans="1:16" ht="15.75" x14ac:dyDescent="0.25">
      <c r="A74" s="1"/>
      <c r="B74" s="56"/>
      <c r="C74" s="57"/>
      <c r="F74" s="1"/>
      <c r="G74" s="1"/>
      <c r="M74" s="17"/>
      <c r="N74" s="19"/>
      <c r="O74" s="3"/>
    </row>
    <row r="75" spans="1:16" ht="15.75" x14ac:dyDescent="0.25">
      <c r="A75" s="1"/>
      <c r="B75" s="56"/>
      <c r="C75" s="57"/>
      <c r="F75" s="1"/>
      <c r="G75" s="1"/>
      <c r="M75" s="17"/>
      <c r="N75" s="19"/>
      <c r="O75" s="3"/>
    </row>
    <row r="76" spans="1:16" ht="15.75" x14ac:dyDescent="0.25">
      <c r="A76" s="1"/>
      <c r="B76" s="56"/>
      <c r="C76" s="57"/>
      <c r="F76" s="1"/>
      <c r="G76" s="1"/>
      <c r="M76" s="17"/>
      <c r="N76" s="19"/>
      <c r="O76" s="3"/>
    </row>
    <row r="77" spans="1:16" ht="15.75" x14ac:dyDescent="0.25">
      <c r="A77" s="1"/>
      <c r="B77" s="56"/>
      <c r="C77" s="57"/>
      <c r="F77" s="1"/>
      <c r="G77" s="1"/>
      <c r="M77" s="17"/>
      <c r="N77" s="19"/>
      <c r="O77" s="3"/>
    </row>
    <row r="78" spans="1:16" ht="15.75" x14ac:dyDescent="0.25">
      <c r="A78" s="1"/>
      <c r="B78" s="56"/>
      <c r="C78" s="57"/>
      <c r="F78" s="1"/>
      <c r="G78" s="1"/>
      <c r="M78" s="17"/>
      <c r="N78" s="19"/>
      <c r="O78" s="3"/>
    </row>
    <row r="79" spans="1:16" ht="15.75" x14ac:dyDescent="0.25">
      <c r="A79" s="1"/>
      <c r="B79" s="56"/>
      <c r="C79" s="57"/>
      <c r="F79" s="1"/>
      <c r="G79" s="1"/>
      <c r="M79" s="17"/>
      <c r="N79" s="19"/>
      <c r="O79" s="3"/>
    </row>
    <row r="80" spans="1:16" ht="15.75" x14ac:dyDescent="0.25">
      <c r="A80" s="1"/>
      <c r="B80" s="56"/>
      <c r="C80" s="57"/>
      <c r="F80" s="1"/>
      <c r="G80" s="1"/>
      <c r="M80" s="17"/>
      <c r="N80" s="19"/>
      <c r="O80" s="3"/>
    </row>
    <row r="81" spans="1:15" ht="15.75" x14ac:dyDescent="0.25">
      <c r="A81" s="1"/>
      <c r="B81" s="56"/>
      <c r="C81" s="57"/>
      <c r="F81" s="1"/>
      <c r="G81" s="1"/>
      <c r="M81" s="17"/>
      <c r="N81" s="19"/>
      <c r="O81" s="3"/>
    </row>
    <row r="82" spans="1:15" ht="15.75" x14ac:dyDescent="0.25">
      <c r="A82" s="1"/>
      <c r="B82" s="56"/>
      <c r="C82" s="57"/>
      <c r="F82" s="1"/>
      <c r="G82" s="1"/>
      <c r="M82" s="17"/>
      <c r="N82" s="19"/>
      <c r="O82" s="3"/>
    </row>
    <row r="83" spans="1:15" ht="15.75" x14ac:dyDescent="0.25">
      <c r="A83" s="1"/>
      <c r="B83" s="56"/>
      <c r="C83" s="57"/>
      <c r="F83" s="1"/>
      <c r="G83" s="1"/>
      <c r="M83" s="17"/>
      <c r="N83" s="19"/>
      <c r="O83" s="3"/>
    </row>
    <row r="84" spans="1:15" ht="15.75" x14ac:dyDescent="0.25">
      <c r="A84" s="1"/>
      <c r="B84" s="56"/>
      <c r="C84" s="57"/>
      <c r="F84" s="1"/>
      <c r="G84" s="1"/>
      <c r="M84" s="17"/>
      <c r="N84" s="19"/>
      <c r="O84" s="3"/>
    </row>
    <row r="85" spans="1:15" ht="15.75" x14ac:dyDescent="0.25">
      <c r="A85" s="1"/>
      <c r="B85" s="56"/>
      <c r="C85" s="57"/>
      <c r="F85" s="1"/>
      <c r="G85" s="1"/>
      <c r="M85" s="17"/>
      <c r="N85" s="19"/>
      <c r="O85" s="3"/>
    </row>
    <row r="86" spans="1:15" ht="15.75" x14ac:dyDescent="0.25">
      <c r="A86" s="1"/>
      <c r="B86" s="56"/>
      <c r="C86" s="57"/>
      <c r="F86" s="1"/>
      <c r="G86" s="1"/>
      <c r="M86" s="17"/>
      <c r="N86" s="19"/>
      <c r="O86" s="3"/>
    </row>
    <row r="87" spans="1:15" ht="15.75" x14ac:dyDescent="0.25">
      <c r="A87" s="1"/>
      <c r="B87" s="56"/>
      <c r="C87" s="57"/>
      <c r="F87" s="1"/>
      <c r="G87" s="1"/>
      <c r="M87" s="17"/>
      <c r="N87" s="19"/>
      <c r="O87" s="3"/>
    </row>
    <row r="88" spans="1:15" ht="15.75" x14ac:dyDescent="0.25">
      <c r="A88" s="1"/>
      <c r="B88" s="56"/>
      <c r="C88" s="57"/>
      <c r="F88" s="1"/>
      <c r="G88" s="1"/>
      <c r="M88" s="17"/>
      <c r="N88" s="19"/>
      <c r="O88" s="3"/>
    </row>
    <row r="89" spans="1:15" ht="15.75" x14ac:dyDescent="0.25">
      <c r="A89" s="1"/>
      <c r="B89" s="56"/>
      <c r="C89" s="57"/>
      <c r="F89" s="1"/>
      <c r="G89" s="1"/>
      <c r="M89" s="17"/>
      <c r="N89" s="19"/>
      <c r="O89" s="3"/>
    </row>
    <row r="90" spans="1:15" ht="15.75" x14ac:dyDescent="0.25">
      <c r="A90" s="1"/>
      <c r="B90" s="56"/>
      <c r="C90" s="57"/>
      <c r="F90" s="1"/>
      <c r="G90" s="1"/>
      <c r="M90" s="17"/>
      <c r="N90" s="19"/>
      <c r="O90" s="3"/>
    </row>
    <row r="91" spans="1:15" ht="15.75" x14ac:dyDescent="0.25">
      <c r="A91" s="1"/>
      <c r="B91" s="56"/>
      <c r="C91" s="57"/>
      <c r="F91" s="1"/>
      <c r="G91" s="1"/>
      <c r="M91" s="17"/>
      <c r="N91" s="19"/>
      <c r="O91" s="3"/>
    </row>
    <row r="92" spans="1:15" ht="15.75" x14ac:dyDescent="0.25">
      <c r="A92" s="1"/>
      <c r="B92" s="56"/>
      <c r="C92" s="57"/>
      <c r="F92" s="1"/>
      <c r="G92" s="1"/>
      <c r="M92" s="17"/>
      <c r="N92" s="19"/>
      <c r="O92" s="3"/>
    </row>
    <row r="93" spans="1:15" ht="15.75" x14ac:dyDescent="0.25">
      <c r="A93" s="1"/>
      <c r="B93" s="56"/>
      <c r="C93" s="57"/>
      <c r="F93" s="1"/>
      <c r="G93" s="1"/>
      <c r="M93" s="17"/>
      <c r="N93" s="19"/>
      <c r="O93" s="3"/>
    </row>
    <row r="94" spans="1:15" ht="15.75" x14ac:dyDescent="0.25">
      <c r="A94" s="1"/>
      <c r="B94" s="56"/>
      <c r="C94" s="57"/>
      <c r="F94" s="1"/>
      <c r="G94" s="1"/>
      <c r="M94" s="17"/>
      <c r="N94" s="19"/>
      <c r="O94" s="3"/>
    </row>
    <row r="95" spans="1:15" ht="15.75" x14ac:dyDescent="0.25">
      <c r="A95" s="1"/>
      <c r="B95" s="56"/>
      <c r="C95" s="57"/>
      <c r="F95" s="1"/>
      <c r="G95" s="1"/>
      <c r="M95" s="17"/>
      <c r="N95" s="19"/>
      <c r="O95" s="3"/>
    </row>
    <row r="96" spans="1:15" ht="15.75" x14ac:dyDescent="0.25">
      <c r="A96" s="1"/>
      <c r="B96" s="56"/>
      <c r="C96" s="57"/>
      <c r="F96" s="1"/>
      <c r="G96" s="1"/>
      <c r="M96" s="17"/>
      <c r="N96" s="19"/>
      <c r="O96" s="3"/>
    </row>
    <row r="97" spans="1:15" ht="15.75" x14ac:dyDescent="0.25">
      <c r="A97" s="1"/>
      <c r="B97" s="56"/>
      <c r="C97" s="57"/>
      <c r="F97" s="1"/>
      <c r="G97" s="1"/>
      <c r="M97" s="17"/>
      <c r="N97" s="19"/>
      <c r="O97" s="3"/>
    </row>
    <row r="98" spans="1:15" ht="15.75" x14ac:dyDescent="0.25">
      <c r="A98" s="1"/>
      <c r="B98" s="56"/>
      <c r="C98" s="57"/>
      <c r="F98" s="1"/>
      <c r="G98" s="1"/>
      <c r="M98" s="17"/>
      <c r="N98" s="19"/>
      <c r="O98" s="3"/>
    </row>
    <row r="99" spans="1:15" ht="15.75" x14ac:dyDescent="0.25">
      <c r="A99" s="1"/>
      <c r="B99" s="56"/>
      <c r="C99" s="57"/>
      <c r="F99" s="1"/>
      <c r="G99" s="1"/>
      <c r="M99" s="17"/>
      <c r="N99" s="19"/>
      <c r="O99" s="3"/>
    </row>
    <row r="100" spans="1:15" x14ac:dyDescent="0.25">
      <c r="A100" s="1"/>
      <c r="B100" s="3"/>
      <c r="F100" s="1"/>
      <c r="G100" s="1"/>
      <c r="M100" s="1"/>
      <c r="O100" s="3"/>
    </row>
    <row r="101" spans="1:15" x14ac:dyDescent="0.25">
      <c r="A101" s="1"/>
      <c r="B101" s="3"/>
      <c r="F101" s="1"/>
      <c r="G101" s="1"/>
      <c r="M101" s="1"/>
      <c r="O101" s="3"/>
    </row>
    <row r="102" spans="1:15" x14ac:dyDescent="0.25">
      <c r="A102" s="1"/>
      <c r="B102" s="3"/>
      <c r="F102" s="1"/>
      <c r="G102" s="1"/>
      <c r="M102" s="1"/>
      <c r="O102" s="3"/>
    </row>
    <row r="103" spans="1:15" x14ac:dyDescent="0.25">
      <c r="A103" s="1"/>
      <c r="B103" s="3"/>
      <c r="F103" s="1"/>
      <c r="G103" s="1"/>
      <c r="M103" s="1"/>
      <c r="O103" s="3"/>
    </row>
    <row r="104" spans="1:15" x14ac:dyDescent="0.25">
      <c r="A104" s="1"/>
      <c r="B104" s="3"/>
      <c r="F104" s="1"/>
      <c r="G104" s="1"/>
      <c r="M104" s="1"/>
      <c r="O104" s="3"/>
    </row>
    <row r="105" spans="1:15" x14ac:dyDescent="0.25">
      <c r="A105" s="1"/>
      <c r="B105" s="3"/>
      <c r="F105" s="1"/>
      <c r="G105" s="1"/>
      <c r="M105" s="1"/>
      <c r="O105" s="3"/>
    </row>
    <row r="106" spans="1:15" x14ac:dyDescent="0.25">
      <c r="A106" s="1"/>
      <c r="B106" s="3"/>
      <c r="F106" s="1"/>
      <c r="G106" s="1"/>
      <c r="M106" s="1"/>
      <c r="O106" s="3"/>
    </row>
    <row r="107" spans="1:15" x14ac:dyDescent="0.25">
      <c r="A107" s="1"/>
      <c r="B107" s="3"/>
      <c r="F107" s="1"/>
      <c r="G107" s="1"/>
      <c r="M107" s="1"/>
      <c r="O107" s="3"/>
    </row>
    <row r="108" spans="1:15" x14ac:dyDescent="0.25">
      <c r="A108" s="1"/>
      <c r="B108" s="3"/>
      <c r="F108" s="1"/>
      <c r="G108" s="1"/>
      <c r="M108" s="1"/>
      <c r="O108" s="3"/>
    </row>
    <row r="109" spans="1:15" x14ac:dyDescent="0.25">
      <c r="A109" s="1"/>
      <c r="B109" s="3"/>
      <c r="F109" s="1"/>
      <c r="G109" s="1"/>
      <c r="M109" s="1"/>
      <c r="O109" s="3"/>
    </row>
    <row r="110" spans="1:15" x14ac:dyDescent="0.25">
      <c r="A110" s="1"/>
      <c r="B110" s="3"/>
      <c r="F110" s="1"/>
      <c r="G110" s="1"/>
      <c r="M110" s="1"/>
      <c r="O110" s="3"/>
    </row>
    <row r="111" spans="1:15" x14ac:dyDescent="0.25">
      <c r="A111" s="1"/>
      <c r="B111" s="3"/>
      <c r="F111" s="1"/>
      <c r="G111" s="1"/>
      <c r="M111" s="1"/>
      <c r="O111" s="3"/>
    </row>
    <row r="112" spans="1:15" x14ac:dyDescent="0.25">
      <c r="A112" s="1"/>
      <c r="B112" s="3"/>
      <c r="F112" s="1"/>
      <c r="G112" s="1"/>
      <c r="M112" s="1"/>
      <c r="O112" s="3"/>
    </row>
    <row r="113" spans="1:15" x14ac:dyDescent="0.25">
      <c r="A113" s="1"/>
      <c r="B113" s="3"/>
      <c r="F113" s="1"/>
      <c r="G113" s="1"/>
      <c r="M113" s="1"/>
      <c r="O113" s="3"/>
    </row>
    <row r="114" spans="1:15" x14ac:dyDescent="0.25">
      <c r="A114" s="1"/>
      <c r="B114" s="3"/>
      <c r="F114" s="1"/>
      <c r="G114" s="1"/>
      <c r="M114" s="1"/>
      <c r="O114" s="3"/>
    </row>
    <row r="115" spans="1:15" x14ac:dyDescent="0.25">
      <c r="A115" s="1"/>
      <c r="B115" s="3"/>
      <c r="F115" s="1"/>
      <c r="G115" s="1"/>
      <c r="O115" s="3"/>
    </row>
    <row r="116" spans="1:15" x14ac:dyDescent="0.25">
      <c r="A116" s="1"/>
      <c r="B116" s="3"/>
      <c r="F116" s="1"/>
      <c r="G116" s="1"/>
      <c r="O116" s="3"/>
    </row>
    <row r="117" spans="1:15" x14ac:dyDescent="0.25">
      <c r="A117" s="1"/>
      <c r="B117" s="3"/>
      <c r="F117" s="1"/>
      <c r="G117" s="1"/>
      <c r="O117" s="3"/>
    </row>
    <row r="118" spans="1:15" x14ac:dyDescent="0.25">
      <c r="A118" s="1"/>
      <c r="B118" s="3"/>
      <c r="F118" s="1"/>
      <c r="G118" s="1"/>
      <c r="O118" s="3"/>
    </row>
    <row r="119" spans="1:15" x14ac:dyDescent="0.25">
      <c r="A119" s="1"/>
      <c r="B119" s="3"/>
      <c r="F119" s="1"/>
      <c r="G119" s="1"/>
      <c r="O119" s="3"/>
    </row>
    <row r="120" spans="1:15" x14ac:dyDescent="0.25">
      <c r="A120" s="1"/>
      <c r="B120" s="3"/>
      <c r="F120" s="1"/>
      <c r="G120" s="1"/>
      <c r="O120" s="3"/>
    </row>
    <row r="121" spans="1:15" x14ac:dyDescent="0.25">
      <c r="A121" s="1"/>
      <c r="B121" s="3"/>
      <c r="F121" s="1"/>
      <c r="G121" s="1"/>
    </row>
    <row r="122" spans="1:15" x14ac:dyDescent="0.25">
      <c r="A122" s="1"/>
      <c r="B122" s="3"/>
      <c r="F122" s="1"/>
      <c r="G122" s="1"/>
    </row>
    <row r="123" spans="1:15" x14ac:dyDescent="0.25">
      <c r="A123" s="1"/>
      <c r="B123" s="1"/>
      <c r="F123" s="1"/>
      <c r="G123" s="1"/>
    </row>
    <row r="124" spans="1:15" x14ac:dyDescent="0.25">
      <c r="A124" s="1"/>
      <c r="B124" s="1"/>
      <c r="F124" s="1"/>
      <c r="G124" s="1"/>
    </row>
    <row r="125" spans="1:15" x14ac:dyDescent="0.25">
      <c r="A125" s="1"/>
      <c r="B125" s="1"/>
      <c r="F125" s="1"/>
      <c r="G125" s="1"/>
    </row>
    <row r="126" spans="1:15" x14ac:dyDescent="0.25">
      <c r="A126" s="1"/>
      <c r="B126" s="1"/>
      <c r="F126" s="1"/>
      <c r="G126" s="1"/>
    </row>
    <row r="127" spans="1:15" x14ac:dyDescent="0.25">
      <c r="A127" s="1"/>
      <c r="B127" s="1"/>
      <c r="F127" s="1"/>
      <c r="G127" s="1"/>
    </row>
    <row r="128" spans="1:15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99">
    <cfRule type="cellIs" dxfId="4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3249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3249" r:id="rId4" name="ExecuteQueries"/>
      </mc:Fallback>
    </mc:AlternateContent>
    <mc:AlternateContent xmlns:mc="http://schemas.openxmlformats.org/markup-compatibility/2006">
      <mc:Choice Requires="x14">
        <control shapeId="53250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400050</xdr:colOff>
                <xdr:row>2</xdr:row>
                <xdr:rowOff>104775</xdr:rowOff>
              </to>
            </anchor>
          </controlPr>
        </control>
      </mc:Choice>
      <mc:Fallback>
        <control shapeId="53250" r:id="rId6" name="ClearBt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R406"/>
  <sheetViews>
    <sheetView workbookViewId="0">
      <pane ySplit="6" topLeftCell="A88" activePane="bottomLeft" state="frozen"/>
      <selection pane="bottomLeft" activeCell="R111" sqref="R111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105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1">
        <v>40967</v>
      </c>
      <c r="B8" s="3" t="s">
        <v>41</v>
      </c>
      <c r="C8" s="3"/>
      <c r="F8" s="1">
        <v>40959</v>
      </c>
      <c r="G8" s="1">
        <v>40986</v>
      </c>
      <c r="H8" t="s">
        <v>53</v>
      </c>
      <c r="I8" t="s">
        <v>54</v>
      </c>
      <c r="J8" t="s">
        <v>17</v>
      </c>
      <c r="L8" t="s">
        <v>23</v>
      </c>
      <c r="M8" s="17" t="str">
        <f>B8</f>
        <v>currper</v>
      </c>
      <c r="N8" s="18" t="s">
        <v>50</v>
      </c>
      <c r="O8" s="3"/>
      <c r="R8" t="s">
        <v>24</v>
      </c>
    </row>
    <row r="9" spans="1:18" ht="15.75" x14ac:dyDescent="0.25">
      <c r="A9" s="1">
        <v>42428</v>
      </c>
      <c r="B9" s="3" t="s">
        <v>41</v>
      </c>
      <c r="F9" s="1">
        <v>42422</v>
      </c>
      <c r="G9" s="1">
        <v>42449</v>
      </c>
      <c r="H9" t="s">
        <v>16</v>
      </c>
      <c r="I9" t="s">
        <v>54</v>
      </c>
      <c r="J9" t="s">
        <v>17</v>
      </c>
      <c r="L9" t="s">
        <v>23</v>
      </c>
      <c r="M9" s="17" t="str">
        <f t="shared" ref="M9:M72" si="0">B9</f>
        <v>currper</v>
      </c>
      <c r="N9" s="19" t="s">
        <v>50</v>
      </c>
      <c r="O9" s="3"/>
      <c r="R9" t="s">
        <v>25</v>
      </c>
    </row>
    <row r="10" spans="1:18" ht="15.75" x14ac:dyDescent="0.25">
      <c r="A10" s="1">
        <v>43889</v>
      </c>
      <c r="B10" s="3" t="s">
        <v>41</v>
      </c>
      <c r="F10" s="1">
        <v>43885</v>
      </c>
      <c r="G10" s="1">
        <v>43912</v>
      </c>
      <c r="H10" t="s">
        <v>55</v>
      </c>
      <c r="I10" t="s">
        <v>54</v>
      </c>
      <c r="J10" t="s">
        <v>17</v>
      </c>
      <c r="L10" t="s">
        <v>23</v>
      </c>
      <c r="M10" s="17" t="str">
        <f t="shared" si="0"/>
        <v>currper</v>
      </c>
      <c r="N10" s="19" t="s">
        <v>50</v>
      </c>
      <c r="O10" s="3"/>
      <c r="R10" t="s">
        <v>26</v>
      </c>
    </row>
    <row r="11" spans="1:18" ht="15.75" x14ac:dyDescent="0.25">
      <c r="A11" s="20">
        <v>45350</v>
      </c>
      <c r="B11" s="3" t="s">
        <v>41</v>
      </c>
      <c r="F11" s="1">
        <v>45348</v>
      </c>
      <c r="G11" s="1">
        <v>45375</v>
      </c>
      <c r="H11" t="s">
        <v>56</v>
      </c>
      <c r="I11" t="s">
        <v>54</v>
      </c>
      <c r="J11" t="s">
        <v>17</v>
      </c>
      <c r="L11" t="s">
        <v>23</v>
      </c>
      <c r="M11" s="17" t="str">
        <f t="shared" si="0"/>
        <v>currper</v>
      </c>
      <c r="N11" s="19" t="s">
        <v>50</v>
      </c>
      <c r="O11" s="3"/>
      <c r="R11" t="s">
        <v>27</v>
      </c>
    </row>
    <row r="12" spans="1:18" ht="15.75" x14ac:dyDescent="0.25">
      <c r="A12" s="1">
        <v>40967</v>
      </c>
      <c r="B12" s="3" t="s">
        <v>58</v>
      </c>
      <c r="F12" s="1">
        <v>40959</v>
      </c>
      <c r="G12" s="1">
        <v>40986</v>
      </c>
      <c r="H12" t="s">
        <v>53</v>
      </c>
      <c r="I12" t="s">
        <v>54</v>
      </c>
      <c r="J12" t="s">
        <v>17</v>
      </c>
      <c r="L12" t="s">
        <v>19</v>
      </c>
      <c r="M12" s="17" t="str">
        <f t="shared" si="0"/>
        <v>Prevper</v>
      </c>
      <c r="N12" s="19" t="s">
        <v>50</v>
      </c>
      <c r="O12" s="3"/>
      <c r="R12" t="s">
        <v>28</v>
      </c>
    </row>
    <row r="13" spans="1:18" ht="15.75" x14ac:dyDescent="0.25">
      <c r="A13" s="1">
        <v>42428</v>
      </c>
      <c r="B13" s="3" t="s">
        <v>58</v>
      </c>
      <c r="F13" s="1">
        <v>42422</v>
      </c>
      <c r="G13" s="1">
        <v>42449</v>
      </c>
      <c r="H13" t="s">
        <v>16</v>
      </c>
      <c r="I13" t="s">
        <v>54</v>
      </c>
      <c r="J13" t="s">
        <v>17</v>
      </c>
      <c r="L13" t="s">
        <v>19</v>
      </c>
      <c r="M13" s="17" t="str">
        <f t="shared" si="0"/>
        <v>Prevper</v>
      </c>
      <c r="N13" s="19" t="s">
        <v>50</v>
      </c>
      <c r="O13" s="3"/>
      <c r="R13" t="s">
        <v>29</v>
      </c>
    </row>
    <row r="14" spans="1:18" ht="15.75" x14ac:dyDescent="0.25">
      <c r="A14" s="1">
        <v>43889</v>
      </c>
      <c r="B14" s="3" t="s">
        <v>58</v>
      </c>
      <c r="F14" s="1">
        <v>43885</v>
      </c>
      <c r="G14" s="1">
        <v>43912</v>
      </c>
      <c r="H14" t="s">
        <v>55</v>
      </c>
      <c r="I14" t="s">
        <v>54</v>
      </c>
      <c r="J14" t="s">
        <v>17</v>
      </c>
      <c r="L14" t="s">
        <v>19</v>
      </c>
      <c r="M14" s="17" t="str">
        <f t="shared" si="0"/>
        <v>Prevper</v>
      </c>
      <c r="N14" s="19" t="s">
        <v>50</v>
      </c>
      <c r="O14" s="3"/>
      <c r="R14" t="s">
        <v>30</v>
      </c>
    </row>
    <row r="15" spans="1:18" ht="15.75" x14ac:dyDescent="0.25">
      <c r="A15" s="20">
        <v>45350</v>
      </c>
      <c r="B15" s="3" t="s">
        <v>58</v>
      </c>
      <c r="F15" s="1">
        <v>45348</v>
      </c>
      <c r="G15" s="1">
        <v>45375</v>
      </c>
      <c r="H15" t="s">
        <v>56</v>
      </c>
      <c r="I15" t="s">
        <v>54</v>
      </c>
      <c r="J15" t="s">
        <v>17</v>
      </c>
      <c r="L15" t="s">
        <v>19</v>
      </c>
      <c r="M15" s="17" t="str">
        <f t="shared" si="0"/>
        <v>Prevper</v>
      </c>
      <c r="N15" s="19" t="s">
        <v>50</v>
      </c>
      <c r="O15" s="3"/>
      <c r="R15" t="s">
        <v>31</v>
      </c>
    </row>
    <row r="16" spans="1:18" ht="15.75" x14ac:dyDescent="0.25">
      <c r="A16" s="1">
        <v>40967</v>
      </c>
      <c r="B16" s="3" t="s">
        <v>45</v>
      </c>
      <c r="F16" s="1">
        <v>40959</v>
      </c>
      <c r="G16" s="1">
        <v>40986</v>
      </c>
      <c r="H16" t="s">
        <v>53</v>
      </c>
      <c r="I16" t="s">
        <v>54</v>
      </c>
      <c r="J16" t="s">
        <v>17</v>
      </c>
      <c r="L16" t="s">
        <v>22</v>
      </c>
      <c r="M16" s="17" t="str">
        <f t="shared" si="0"/>
        <v>nextper</v>
      </c>
      <c r="N16" s="19" t="s">
        <v>50</v>
      </c>
      <c r="O16" s="3"/>
      <c r="R16" t="s">
        <v>32</v>
      </c>
    </row>
    <row r="17" spans="1:18" ht="15.75" x14ac:dyDescent="0.25">
      <c r="A17" s="1">
        <v>42428</v>
      </c>
      <c r="B17" s="3" t="s">
        <v>45</v>
      </c>
      <c r="F17" s="1">
        <v>42422</v>
      </c>
      <c r="G17" s="1">
        <v>42449</v>
      </c>
      <c r="H17" t="s">
        <v>16</v>
      </c>
      <c r="I17" t="s">
        <v>54</v>
      </c>
      <c r="J17" t="s">
        <v>17</v>
      </c>
      <c r="L17" t="s">
        <v>22</v>
      </c>
      <c r="M17" s="17" t="str">
        <f t="shared" si="0"/>
        <v>nextper</v>
      </c>
      <c r="N17" s="19" t="s">
        <v>50</v>
      </c>
      <c r="O17" s="3"/>
      <c r="R17" t="s">
        <v>33</v>
      </c>
    </row>
    <row r="18" spans="1:18" ht="15.75" x14ac:dyDescent="0.25">
      <c r="A18" s="1">
        <v>43889</v>
      </c>
      <c r="B18" s="3" t="s">
        <v>45</v>
      </c>
      <c r="F18" s="1">
        <v>43885</v>
      </c>
      <c r="G18" s="1">
        <v>43912</v>
      </c>
      <c r="H18" t="s">
        <v>55</v>
      </c>
      <c r="I18" t="s">
        <v>54</v>
      </c>
      <c r="J18" t="s">
        <v>17</v>
      </c>
      <c r="L18" t="s">
        <v>22</v>
      </c>
      <c r="M18" s="17" t="str">
        <f t="shared" si="0"/>
        <v>nextper</v>
      </c>
      <c r="N18" s="19" t="s">
        <v>50</v>
      </c>
      <c r="O18" s="3"/>
      <c r="R18" t="s">
        <v>34</v>
      </c>
    </row>
    <row r="19" spans="1:18" ht="15.75" x14ac:dyDescent="0.25">
      <c r="A19" s="20">
        <v>45350</v>
      </c>
      <c r="B19" s="3" t="s">
        <v>45</v>
      </c>
      <c r="F19" s="1">
        <v>45348</v>
      </c>
      <c r="G19" s="1">
        <v>45375</v>
      </c>
      <c r="H19" t="s">
        <v>56</v>
      </c>
      <c r="I19" t="s">
        <v>54</v>
      </c>
      <c r="J19" t="s">
        <v>17</v>
      </c>
      <c r="L19" t="s">
        <v>22</v>
      </c>
      <c r="M19" s="17" t="str">
        <f t="shared" si="0"/>
        <v>nextper</v>
      </c>
      <c r="N19" s="19" t="s">
        <v>52</v>
      </c>
      <c r="O19" s="3"/>
      <c r="R19" t="s">
        <v>35</v>
      </c>
    </row>
    <row r="20" spans="1:18" ht="15.75" x14ac:dyDescent="0.25">
      <c r="A20" s="1">
        <v>40967</v>
      </c>
      <c r="B20" s="3" t="s">
        <v>42</v>
      </c>
      <c r="F20" s="1">
        <v>40959</v>
      </c>
      <c r="G20" s="1">
        <v>40986</v>
      </c>
      <c r="H20" t="s">
        <v>53</v>
      </c>
      <c r="I20" t="s">
        <v>54</v>
      </c>
      <c r="J20" t="s">
        <v>17</v>
      </c>
      <c r="L20" t="s">
        <v>59</v>
      </c>
      <c r="M20" s="17" t="str">
        <f t="shared" si="0"/>
        <v>perstart</v>
      </c>
      <c r="N20" s="19" t="s">
        <v>50</v>
      </c>
      <c r="O20" s="3"/>
      <c r="R20" t="s">
        <v>36</v>
      </c>
    </row>
    <row r="21" spans="1:18" ht="15.75" x14ac:dyDescent="0.25">
      <c r="A21" s="1">
        <v>42428</v>
      </c>
      <c r="B21" s="3" t="s">
        <v>42</v>
      </c>
      <c r="F21" s="1">
        <v>42422</v>
      </c>
      <c r="G21" s="1">
        <v>42449</v>
      </c>
      <c r="H21" t="s">
        <v>16</v>
      </c>
      <c r="I21" t="s">
        <v>54</v>
      </c>
      <c r="J21" t="s">
        <v>17</v>
      </c>
      <c r="L21" t="s">
        <v>60</v>
      </c>
      <c r="M21" s="17" t="str">
        <f t="shared" si="0"/>
        <v>perstart</v>
      </c>
      <c r="N21" s="19" t="s">
        <v>50</v>
      </c>
      <c r="O21" s="3"/>
      <c r="R21" t="s">
        <v>37</v>
      </c>
    </row>
    <row r="22" spans="1:18" ht="15.75" x14ac:dyDescent="0.25">
      <c r="A22" s="1">
        <v>43889</v>
      </c>
      <c r="B22" s="3" t="s">
        <v>42</v>
      </c>
      <c r="F22" s="1">
        <v>43885</v>
      </c>
      <c r="G22" s="1">
        <v>43912</v>
      </c>
      <c r="H22" t="s">
        <v>55</v>
      </c>
      <c r="I22" t="s">
        <v>54</v>
      </c>
      <c r="J22" t="s">
        <v>17</v>
      </c>
      <c r="L22" t="s">
        <v>61</v>
      </c>
      <c r="M22" s="17" t="str">
        <f t="shared" si="0"/>
        <v>perstart</v>
      </c>
      <c r="N22" s="19" t="s">
        <v>50</v>
      </c>
      <c r="O22" s="3"/>
      <c r="R22" t="s">
        <v>38</v>
      </c>
    </row>
    <row r="23" spans="1:18" ht="15.75" x14ac:dyDescent="0.25">
      <c r="A23" s="20">
        <v>45350</v>
      </c>
      <c r="B23" s="3" t="s">
        <v>42</v>
      </c>
      <c r="F23" s="1">
        <v>45348</v>
      </c>
      <c r="G23" s="1">
        <v>45375</v>
      </c>
      <c r="H23" t="s">
        <v>56</v>
      </c>
      <c r="I23" t="s">
        <v>54</v>
      </c>
      <c r="J23" t="s">
        <v>17</v>
      </c>
      <c r="L23" t="s">
        <v>62</v>
      </c>
      <c r="M23" s="17" t="str">
        <f t="shared" si="0"/>
        <v>perstart</v>
      </c>
      <c r="N23" s="19" t="s">
        <v>50</v>
      </c>
      <c r="O23" s="3"/>
      <c r="R23" t="s">
        <v>39</v>
      </c>
    </row>
    <row r="24" spans="1:18" ht="15.75" x14ac:dyDescent="0.25">
      <c r="A24" s="1">
        <v>40967</v>
      </c>
      <c r="B24" s="3" t="s">
        <v>43</v>
      </c>
      <c r="F24" s="1">
        <v>40959</v>
      </c>
      <c r="G24" s="1">
        <v>40986</v>
      </c>
      <c r="H24" t="s">
        <v>53</v>
      </c>
      <c r="I24" t="s">
        <v>54</v>
      </c>
      <c r="J24" t="s">
        <v>17</v>
      </c>
      <c r="L24" t="s">
        <v>63</v>
      </c>
      <c r="M24" s="17" t="str">
        <f t="shared" si="0"/>
        <v>perend</v>
      </c>
      <c r="N24" s="19" t="s">
        <v>50</v>
      </c>
      <c r="O24" s="3"/>
      <c r="R24" t="s">
        <v>40</v>
      </c>
    </row>
    <row r="25" spans="1:18" ht="15.75" x14ac:dyDescent="0.25">
      <c r="A25" s="1">
        <v>42428</v>
      </c>
      <c r="B25" s="3" t="s">
        <v>43</v>
      </c>
      <c r="F25" s="1">
        <v>42422</v>
      </c>
      <c r="G25" s="1">
        <v>42449</v>
      </c>
      <c r="H25" t="s">
        <v>16</v>
      </c>
      <c r="I25" t="s">
        <v>54</v>
      </c>
      <c r="J25" t="s">
        <v>17</v>
      </c>
      <c r="L25" t="s">
        <v>64</v>
      </c>
      <c r="M25" s="17" t="str">
        <f t="shared" si="0"/>
        <v>perend</v>
      </c>
      <c r="N25" s="19" t="s">
        <v>50</v>
      </c>
      <c r="O25" s="3"/>
    </row>
    <row r="26" spans="1:18" ht="15.75" x14ac:dyDescent="0.25">
      <c r="A26" s="1">
        <v>43889</v>
      </c>
      <c r="B26" s="3" t="s">
        <v>43</v>
      </c>
      <c r="F26" s="1">
        <v>43885</v>
      </c>
      <c r="G26" s="1">
        <v>43912</v>
      </c>
      <c r="H26" t="s">
        <v>55</v>
      </c>
      <c r="I26" t="s">
        <v>54</v>
      </c>
      <c r="J26" t="s">
        <v>17</v>
      </c>
      <c r="L26" t="s">
        <v>65</v>
      </c>
      <c r="M26" s="17" t="str">
        <f t="shared" si="0"/>
        <v>perend</v>
      </c>
      <c r="N26" s="19" t="s">
        <v>50</v>
      </c>
      <c r="O26" s="3"/>
    </row>
    <row r="27" spans="1:18" ht="15.75" x14ac:dyDescent="0.25">
      <c r="A27" s="20">
        <v>45350</v>
      </c>
      <c r="B27" s="3" t="s">
        <v>43</v>
      </c>
      <c r="F27" s="1">
        <v>45348</v>
      </c>
      <c r="G27" s="1">
        <v>45375</v>
      </c>
      <c r="H27" t="s">
        <v>56</v>
      </c>
      <c r="I27" t="s">
        <v>54</v>
      </c>
      <c r="J27" t="s">
        <v>17</v>
      </c>
      <c r="L27" t="s">
        <v>66</v>
      </c>
      <c r="M27" s="17" t="str">
        <f t="shared" si="0"/>
        <v>perend</v>
      </c>
      <c r="N27" s="19" t="s">
        <v>50</v>
      </c>
      <c r="O27" s="3"/>
      <c r="R27" t="s">
        <v>57</v>
      </c>
    </row>
    <row r="28" spans="1:18" ht="15.75" x14ac:dyDescent="0.25">
      <c r="A28" s="1">
        <v>41261</v>
      </c>
      <c r="B28" s="3" t="s">
        <v>41</v>
      </c>
      <c r="F28" s="1">
        <v>41239</v>
      </c>
      <c r="G28" s="1">
        <v>41273</v>
      </c>
      <c r="H28" t="s">
        <v>53</v>
      </c>
      <c r="I28" t="s">
        <v>14</v>
      </c>
      <c r="J28" t="s">
        <v>12</v>
      </c>
      <c r="L28" t="s">
        <v>14</v>
      </c>
      <c r="M28" s="17" t="str">
        <f t="shared" si="0"/>
        <v>currper</v>
      </c>
      <c r="N28" s="19" t="s">
        <v>50</v>
      </c>
      <c r="O28" s="3"/>
      <c r="R28" s="1">
        <v>40967</v>
      </c>
    </row>
    <row r="29" spans="1:18" ht="15.75" x14ac:dyDescent="0.25">
      <c r="A29" s="1">
        <v>41262</v>
      </c>
      <c r="B29" s="3" t="s">
        <v>41</v>
      </c>
      <c r="F29" s="1">
        <v>41239</v>
      </c>
      <c r="G29" s="1">
        <v>41273</v>
      </c>
      <c r="H29" t="s">
        <v>53</v>
      </c>
      <c r="I29" t="s">
        <v>14</v>
      </c>
      <c r="J29" t="s">
        <v>12</v>
      </c>
      <c r="L29" t="s">
        <v>14</v>
      </c>
      <c r="M29" s="17" t="str">
        <f t="shared" si="0"/>
        <v>currper</v>
      </c>
      <c r="N29" s="19" t="s">
        <v>50</v>
      </c>
      <c r="O29" s="3"/>
      <c r="R29" s="1">
        <v>42428</v>
      </c>
    </row>
    <row r="30" spans="1:18" ht="15.75" x14ac:dyDescent="0.25">
      <c r="A30" s="1">
        <v>41263</v>
      </c>
      <c r="B30" s="3" t="s">
        <v>41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14</v>
      </c>
      <c r="M30" s="17" t="str">
        <f t="shared" si="0"/>
        <v>currper</v>
      </c>
      <c r="N30" s="19" t="s">
        <v>50</v>
      </c>
      <c r="O30" s="3"/>
      <c r="R30" s="1">
        <v>43889</v>
      </c>
    </row>
    <row r="31" spans="1:18" ht="15.75" x14ac:dyDescent="0.25">
      <c r="A31" s="1">
        <v>41264</v>
      </c>
      <c r="B31" s="3" t="s">
        <v>41</v>
      </c>
      <c r="F31" s="1">
        <v>41239</v>
      </c>
      <c r="G31" s="1">
        <v>41273</v>
      </c>
      <c r="H31" t="s">
        <v>53</v>
      </c>
      <c r="I31" t="s">
        <v>14</v>
      </c>
      <c r="J31" t="s">
        <v>12</v>
      </c>
      <c r="L31" t="s">
        <v>14</v>
      </c>
      <c r="M31" s="17" t="str">
        <f t="shared" si="0"/>
        <v>currper</v>
      </c>
      <c r="N31" s="19" t="s">
        <v>50</v>
      </c>
      <c r="O31" s="3"/>
      <c r="R31" s="20">
        <v>45350</v>
      </c>
    </row>
    <row r="32" spans="1:18" ht="15.75" x14ac:dyDescent="0.25">
      <c r="A32" s="1">
        <v>41265</v>
      </c>
      <c r="B32" s="3" t="s">
        <v>41</v>
      </c>
      <c r="F32" s="1">
        <v>41239</v>
      </c>
      <c r="G32" s="1">
        <v>41273</v>
      </c>
      <c r="H32" t="s">
        <v>53</v>
      </c>
      <c r="I32" t="s">
        <v>14</v>
      </c>
      <c r="J32" t="s">
        <v>12</v>
      </c>
      <c r="L32" t="s">
        <v>14</v>
      </c>
      <c r="M32" s="17" t="str">
        <f t="shared" si="0"/>
        <v>currper</v>
      </c>
      <c r="N32" s="19" t="s">
        <v>50</v>
      </c>
      <c r="O32" s="3"/>
      <c r="R32" s="1"/>
    </row>
    <row r="33" spans="1:18" ht="15.75" x14ac:dyDescent="0.25">
      <c r="A33" s="1">
        <v>41266</v>
      </c>
      <c r="B33" s="3" t="s">
        <v>41</v>
      </c>
      <c r="F33" s="1">
        <v>41239</v>
      </c>
      <c r="G33" s="1">
        <v>41273</v>
      </c>
      <c r="H33" t="s">
        <v>53</v>
      </c>
      <c r="I33" t="s">
        <v>14</v>
      </c>
      <c r="J33" t="s">
        <v>12</v>
      </c>
      <c r="L33" t="s">
        <v>14</v>
      </c>
      <c r="M33" s="17" t="str">
        <f t="shared" si="0"/>
        <v>currper</v>
      </c>
      <c r="N33" s="19" t="s">
        <v>50</v>
      </c>
      <c r="O33" s="3"/>
    </row>
    <row r="34" spans="1:18" ht="15.75" x14ac:dyDescent="0.25">
      <c r="A34" s="1">
        <v>41267</v>
      </c>
      <c r="B34" s="3" t="s">
        <v>41</v>
      </c>
      <c r="F34" s="1">
        <v>41239</v>
      </c>
      <c r="G34" s="1">
        <v>41273</v>
      </c>
      <c r="H34" t="s">
        <v>53</v>
      </c>
      <c r="I34" t="s">
        <v>14</v>
      </c>
      <c r="J34" t="s">
        <v>12</v>
      </c>
      <c r="L34" t="s">
        <v>14</v>
      </c>
      <c r="M34" s="17" t="str">
        <f t="shared" si="0"/>
        <v>currper</v>
      </c>
      <c r="N34" s="19" t="s">
        <v>50</v>
      </c>
      <c r="O34" s="3"/>
      <c r="R34" s="1"/>
    </row>
    <row r="35" spans="1:18" ht="15.75" x14ac:dyDescent="0.25">
      <c r="A35" s="1">
        <v>41268</v>
      </c>
      <c r="B35" s="3" t="s">
        <v>41</v>
      </c>
      <c r="F35" s="1">
        <v>41239</v>
      </c>
      <c r="G35" s="1">
        <v>41273</v>
      </c>
      <c r="H35" t="s">
        <v>53</v>
      </c>
      <c r="I35" t="s">
        <v>14</v>
      </c>
      <c r="J35" t="s">
        <v>12</v>
      </c>
      <c r="L35" t="s">
        <v>14</v>
      </c>
      <c r="M35" s="17" t="str">
        <f t="shared" si="0"/>
        <v>currper</v>
      </c>
      <c r="N35" s="19" t="s">
        <v>50</v>
      </c>
      <c r="O35" s="3"/>
    </row>
    <row r="36" spans="1:18" ht="15.75" x14ac:dyDescent="0.25">
      <c r="A36" s="1">
        <v>41269</v>
      </c>
      <c r="B36" s="3" t="s">
        <v>41</v>
      </c>
      <c r="F36" s="1">
        <v>41239</v>
      </c>
      <c r="G36" s="1">
        <v>41273</v>
      </c>
      <c r="H36" t="s">
        <v>53</v>
      </c>
      <c r="I36" t="s">
        <v>14</v>
      </c>
      <c r="J36" t="s">
        <v>12</v>
      </c>
      <c r="L36" t="s">
        <v>14</v>
      </c>
      <c r="M36" s="17" t="str">
        <f t="shared" si="0"/>
        <v>currper</v>
      </c>
      <c r="N36" s="19" t="s">
        <v>50</v>
      </c>
      <c r="O36" s="3"/>
    </row>
    <row r="37" spans="1:18" ht="15.75" x14ac:dyDescent="0.25">
      <c r="A37" s="1">
        <v>41270</v>
      </c>
      <c r="B37" s="3" t="s">
        <v>41</v>
      </c>
      <c r="F37" s="1">
        <v>41239</v>
      </c>
      <c r="G37" s="1">
        <v>41273</v>
      </c>
      <c r="H37" t="s">
        <v>53</v>
      </c>
      <c r="I37" t="s">
        <v>14</v>
      </c>
      <c r="J37" t="s">
        <v>12</v>
      </c>
      <c r="L37" t="s">
        <v>14</v>
      </c>
      <c r="M37" s="17" t="str">
        <f t="shared" si="0"/>
        <v>currper</v>
      </c>
      <c r="N37" s="19" t="s">
        <v>50</v>
      </c>
      <c r="O37" s="3"/>
    </row>
    <row r="38" spans="1:18" ht="15.75" x14ac:dyDescent="0.25">
      <c r="A38" s="1">
        <v>41271</v>
      </c>
      <c r="B38" s="3" t="s">
        <v>41</v>
      </c>
      <c r="F38" s="1">
        <v>41239</v>
      </c>
      <c r="G38" s="1">
        <v>41273</v>
      </c>
      <c r="H38" t="s">
        <v>53</v>
      </c>
      <c r="I38" t="s">
        <v>14</v>
      </c>
      <c r="J38" t="s">
        <v>12</v>
      </c>
      <c r="L38" t="s">
        <v>14</v>
      </c>
      <c r="M38" s="17" t="str">
        <f t="shared" si="0"/>
        <v>currper</v>
      </c>
      <c r="N38" s="19" t="s">
        <v>50</v>
      </c>
      <c r="O38" s="3"/>
    </row>
    <row r="39" spans="1:18" ht="15.75" x14ac:dyDescent="0.25">
      <c r="A39" s="1">
        <v>41272</v>
      </c>
      <c r="B39" s="3" t="s">
        <v>41</v>
      </c>
      <c r="F39" s="1">
        <v>41239</v>
      </c>
      <c r="G39" s="1">
        <v>41273</v>
      </c>
      <c r="H39" t="s">
        <v>53</v>
      </c>
      <c r="I39" t="s">
        <v>14</v>
      </c>
      <c r="J39" t="s">
        <v>12</v>
      </c>
      <c r="L39" t="s">
        <v>14</v>
      </c>
      <c r="M39" s="17" t="str">
        <f t="shared" si="0"/>
        <v>currper</v>
      </c>
      <c r="N39" s="19" t="s">
        <v>50</v>
      </c>
      <c r="O39" s="3"/>
    </row>
    <row r="40" spans="1:18" ht="15.75" x14ac:dyDescent="0.25">
      <c r="A40" s="1">
        <v>41273</v>
      </c>
      <c r="B40" s="3" t="s">
        <v>41</v>
      </c>
      <c r="F40" s="1">
        <v>41239</v>
      </c>
      <c r="G40" s="1">
        <v>41273</v>
      </c>
      <c r="H40" t="s">
        <v>53</v>
      </c>
      <c r="I40" t="s">
        <v>14</v>
      </c>
      <c r="J40" t="s">
        <v>12</v>
      </c>
      <c r="L40" t="s">
        <v>14</v>
      </c>
      <c r="M40" s="17" t="str">
        <f t="shared" si="0"/>
        <v>currper</v>
      </c>
      <c r="N40" s="19" t="s">
        <v>50</v>
      </c>
      <c r="O40" s="3"/>
    </row>
    <row r="41" spans="1:18" ht="15.75" x14ac:dyDescent="0.25">
      <c r="A41" s="1">
        <v>41274</v>
      </c>
      <c r="B41" s="3" t="s">
        <v>41</v>
      </c>
      <c r="F41" s="1">
        <v>41274</v>
      </c>
      <c r="G41" s="1">
        <v>41301</v>
      </c>
      <c r="H41" t="s">
        <v>67</v>
      </c>
      <c r="I41" t="s">
        <v>17</v>
      </c>
      <c r="J41" t="s">
        <v>17</v>
      </c>
      <c r="L41" t="s">
        <v>15</v>
      </c>
      <c r="M41" s="17" t="str">
        <f t="shared" si="0"/>
        <v>currper</v>
      </c>
      <c r="N41" s="19" t="s">
        <v>50</v>
      </c>
      <c r="O41" s="3"/>
    </row>
    <row r="42" spans="1:18" ht="15.75" x14ac:dyDescent="0.25">
      <c r="A42" s="1">
        <v>41275</v>
      </c>
      <c r="B42" s="3" t="s">
        <v>41</v>
      </c>
      <c r="F42" s="1">
        <v>41274</v>
      </c>
      <c r="G42" s="1">
        <v>41301</v>
      </c>
      <c r="H42" t="s">
        <v>67</v>
      </c>
      <c r="I42" t="s">
        <v>17</v>
      </c>
      <c r="J42" t="s">
        <v>17</v>
      </c>
      <c r="L42" t="s">
        <v>15</v>
      </c>
      <c r="M42" s="17" t="str">
        <f t="shared" si="0"/>
        <v>currper</v>
      </c>
      <c r="N42" s="19" t="s">
        <v>50</v>
      </c>
    </row>
    <row r="43" spans="1:18" ht="15.75" x14ac:dyDescent="0.25">
      <c r="A43" s="1">
        <v>41276</v>
      </c>
      <c r="B43" s="3" t="s">
        <v>41</v>
      </c>
      <c r="F43" s="1">
        <v>41274</v>
      </c>
      <c r="G43" s="1">
        <v>41301</v>
      </c>
      <c r="H43" t="s">
        <v>67</v>
      </c>
      <c r="I43" t="s">
        <v>17</v>
      </c>
      <c r="J43" t="s">
        <v>17</v>
      </c>
      <c r="L43" t="s">
        <v>15</v>
      </c>
      <c r="M43" s="17" t="str">
        <f t="shared" si="0"/>
        <v>currper</v>
      </c>
      <c r="N43" s="19" t="s">
        <v>50</v>
      </c>
    </row>
    <row r="44" spans="1:18" ht="15.75" x14ac:dyDescent="0.25">
      <c r="A44" s="1">
        <v>41277</v>
      </c>
      <c r="B44" s="3" t="s">
        <v>41</v>
      </c>
      <c r="F44" s="1">
        <v>41274</v>
      </c>
      <c r="G44" s="1">
        <v>41301</v>
      </c>
      <c r="H44" t="s">
        <v>67</v>
      </c>
      <c r="I44" t="s">
        <v>17</v>
      </c>
      <c r="J44" t="s">
        <v>17</v>
      </c>
      <c r="L44" t="s">
        <v>15</v>
      </c>
      <c r="M44" s="17" t="str">
        <f t="shared" si="0"/>
        <v>currper</v>
      </c>
      <c r="N44" s="19" t="s">
        <v>50</v>
      </c>
    </row>
    <row r="45" spans="1:18" ht="15.75" x14ac:dyDescent="0.25">
      <c r="A45" s="1">
        <v>41261</v>
      </c>
      <c r="B45" s="3" t="s">
        <v>44</v>
      </c>
      <c r="F45" s="1">
        <v>41239</v>
      </c>
      <c r="G45" s="1">
        <v>41273</v>
      </c>
      <c r="H45" t="s">
        <v>53</v>
      </c>
      <c r="I45" t="s">
        <v>14</v>
      </c>
      <c r="J45" t="s">
        <v>12</v>
      </c>
      <c r="L45" s="4" t="s">
        <v>13</v>
      </c>
      <c r="M45" s="32" t="str">
        <f t="shared" si="0"/>
        <v>prevper</v>
      </c>
      <c r="N45" s="33" t="s">
        <v>52</v>
      </c>
    </row>
    <row r="46" spans="1:18" ht="15.75" x14ac:dyDescent="0.25">
      <c r="A46" s="1">
        <v>41262</v>
      </c>
      <c r="B46" s="3" t="s">
        <v>44</v>
      </c>
      <c r="F46" s="1">
        <v>41239</v>
      </c>
      <c r="G46" s="1">
        <v>41273</v>
      </c>
      <c r="H46" t="s">
        <v>53</v>
      </c>
      <c r="I46" t="s">
        <v>14</v>
      </c>
      <c r="J46" t="s">
        <v>12</v>
      </c>
      <c r="L46" s="4" t="s">
        <v>13</v>
      </c>
      <c r="M46" s="32" t="str">
        <f t="shared" si="0"/>
        <v>prevper</v>
      </c>
      <c r="N46" s="33" t="s">
        <v>52</v>
      </c>
    </row>
    <row r="47" spans="1:18" ht="15.75" x14ac:dyDescent="0.25">
      <c r="A47" s="1">
        <v>41263</v>
      </c>
      <c r="B47" s="3" t="s">
        <v>44</v>
      </c>
      <c r="F47" s="1">
        <v>41239</v>
      </c>
      <c r="G47" s="1">
        <v>41273</v>
      </c>
      <c r="H47" t="s">
        <v>53</v>
      </c>
      <c r="I47" t="s">
        <v>14</v>
      </c>
      <c r="J47" t="s">
        <v>12</v>
      </c>
      <c r="L47" s="4" t="s">
        <v>13</v>
      </c>
      <c r="M47" s="32" t="str">
        <f t="shared" si="0"/>
        <v>prevper</v>
      </c>
      <c r="N47" s="33" t="s">
        <v>52</v>
      </c>
    </row>
    <row r="48" spans="1:18" ht="15.75" x14ac:dyDescent="0.25">
      <c r="A48" s="1">
        <v>41264</v>
      </c>
      <c r="B48" s="3" t="s">
        <v>44</v>
      </c>
      <c r="F48" s="1">
        <v>41239</v>
      </c>
      <c r="G48" s="1">
        <v>41273</v>
      </c>
      <c r="H48" t="s">
        <v>53</v>
      </c>
      <c r="I48" t="s">
        <v>14</v>
      </c>
      <c r="J48" t="s">
        <v>12</v>
      </c>
      <c r="L48" s="4" t="s">
        <v>13</v>
      </c>
      <c r="M48" s="32" t="str">
        <f t="shared" si="0"/>
        <v>prevper</v>
      </c>
      <c r="N48" s="33" t="s">
        <v>52</v>
      </c>
    </row>
    <row r="49" spans="1:14" ht="15.75" x14ac:dyDescent="0.25">
      <c r="A49" s="1">
        <v>41265</v>
      </c>
      <c r="B49" s="3" t="s">
        <v>44</v>
      </c>
      <c r="F49" s="1">
        <v>41239</v>
      </c>
      <c r="G49" s="1">
        <v>41273</v>
      </c>
      <c r="H49" t="s">
        <v>53</v>
      </c>
      <c r="I49" t="s">
        <v>14</v>
      </c>
      <c r="J49" t="s">
        <v>12</v>
      </c>
      <c r="L49" s="4" t="s">
        <v>13</v>
      </c>
      <c r="M49" s="32" t="str">
        <f t="shared" si="0"/>
        <v>prevper</v>
      </c>
      <c r="N49" s="33" t="s">
        <v>52</v>
      </c>
    </row>
    <row r="50" spans="1:14" ht="15.75" x14ac:dyDescent="0.25">
      <c r="A50" s="1">
        <v>41266</v>
      </c>
      <c r="B50" s="3" t="s">
        <v>44</v>
      </c>
      <c r="F50" s="1">
        <v>41239</v>
      </c>
      <c r="G50" s="1">
        <v>41273</v>
      </c>
      <c r="H50" t="s">
        <v>53</v>
      </c>
      <c r="I50" t="s">
        <v>14</v>
      </c>
      <c r="J50" t="s">
        <v>12</v>
      </c>
      <c r="L50" s="4" t="s">
        <v>13</v>
      </c>
      <c r="M50" s="32" t="str">
        <f t="shared" si="0"/>
        <v>prevper</v>
      </c>
      <c r="N50" s="33" t="s">
        <v>52</v>
      </c>
    </row>
    <row r="51" spans="1:14" ht="15.75" x14ac:dyDescent="0.25">
      <c r="A51" s="1">
        <v>41267</v>
      </c>
      <c r="B51" s="3" t="s">
        <v>44</v>
      </c>
      <c r="F51" s="1">
        <v>41239</v>
      </c>
      <c r="G51" s="1">
        <v>41273</v>
      </c>
      <c r="H51" t="s">
        <v>53</v>
      </c>
      <c r="I51" t="s">
        <v>14</v>
      </c>
      <c r="J51" t="s">
        <v>12</v>
      </c>
      <c r="L51" s="4" t="s">
        <v>13</v>
      </c>
      <c r="M51" s="32" t="str">
        <f t="shared" si="0"/>
        <v>prevper</v>
      </c>
      <c r="N51" s="33" t="s">
        <v>52</v>
      </c>
    </row>
    <row r="52" spans="1:14" ht="15.75" x14ac:dyDescent="0.25">
      <c r="A52" s="1">
        <v>41268</v>
      </c>
      <c r="B52" s="3" t="s">
        <v>44</v>
      </c>
      <c r="F52" s="1">
        <v>41239</v>
      </c>
      <c r="G52" s="1">
        <v>41273</v>
      </c>
      <c r="H52" t="s">
        <v>53</v>
      </c>
      <c r="I52" t="s">
        <v>14</v>
      </c>
      <c r="J52" t="s">
        <v>12</v>
      </c>
      <c r="L52" s="4" t="s">
        <v>13</v>
      </c>
      <c r="M52" s="32" t="str">
        <f t="shared" si="0"/>
        <v>prevper</v>
      </c>
      <c r="N52" s="33" t="s">
        <v>52</v>
      </c>
    </row>
    <row r="53" spans="1:14" ht="15.75" x14ac:dyDescent="0.25">
      <c r="A53" s="1">
        <v>41269</v>
      </c>
      <c r="B53" s="3" t="s">
        <v>44</v>
      </c>
      <c r="F53" s="1">
        <v>41239</v>
      </c>
      <c r="G53" s="1">
        <v>41273</v>
      </c>
      <c r="H53" t="s">
        <v>53</v>
      </c>
      <c r="I53" t="s">
        <v>14</v>
      </c>
      <c r="J53" t="s">
        <v>12</v>
      </c>
      <c r="L53" s="4" t="s">
        <v>13</v>
      </c>
      <c r="M53" s="32" t="str">
        <f t="shared" si="0"/>
        <v>prevper</v>
      </c>
      <c r="N53" s="33" t="s">
        <v>52</v>
      </c>
    </row>
    <row r="54" spans="1:14" ht="15.75" x14ac:dyDescent="0.25">
      <c r="A54" s="1">
        <v>41270</v>
      </c>
      <c r="B54" s="3" t="s">
        <v>44</v>
      </c>
      <c r="F54" s="1">
        <v>41239</v>
      </c>
      <c r="G54" s="1">
        <v>41273</v>
      </c>
      <c r="H54" t="s">
        <v>53</v>
      </c>
      <c r="I54" t="s">
        <v>14</v>
      </c>
      <c r="J54" t="s">
        <v>12</v>
      </c>
      <c r="L54" s="4" t="s">
        <v>13</v>
      </c>
      <c r="M54" s="32" t="str">
        <f t="shared" si="0"/>
        <v>prevper</v>
      </c>
      <c r="N54" s="33" t="s">
        <v>52</v>
      </c>
    </row>
    <row r="55" spans="1:14" ht="15.75" x14ac:dyDescent="0.25">
      <c r="A55" s="1">
        <v>41271</v>
      </c>
      <c r="B55" s="3" t="s">
        <v>44</v>
      </c>
      <c r="F55" s="1">
        <v>41239</v>
      </c>
      <c r="G55" s="1">
        <v>41273</v>
      </c>
      <c r="H55" t="s">
        <v>53</v>
      </c>
      <c r="I55" t="s">
        <v>14</v>
      </c>
      <c r="J55" t="s">
        <v>12</v>
      </c>
      <c r="L55" s="4" t="s">
        <v>13</v>
      </c>
      <c r="M55" s="32" t="str">
        <f t="shared" si="0"/>
        <v>prevper</v>
      </c>
      <c r="N55" s="33" t="s">
        <v>52</v>
      </c>
    </row>
    <row r="56" spans="1:14" ht="15.75" x14ac:dyDescent="0.25">
      <c r="A56" s="1">
        <v>41272</v>
      </c>
      <c r="B56" s="3" t="s">
        <v>44</v>
      </c>
      <c r="F56" s="1">
        <v>41239</v>
      </c>
      <c r="G56" s="1">
        <v>41273</v>
      </c>
      <c r="H56" t="s">
        <v>53</v>
      </c>
      <c r="I56" t="s">
        <v>14</v>
      </c>
      <c r="J56" t="s">
        <v>12</v>
      </c>
      <c r="L56" s="4" t="s">
        <v>13</v>
      </c>
      <c r="M56" s="32" t="str">
        <f t="shared" si="0"/>
        <v>prevper</v>
      </c>
      <c r="N56" s="33" t="s">
        <v>52</v>
      </c>
    </row>
    <row r="57" spans="1:14" ht="15.75" x14ac:dyDescent="0.25">
      <c r="A57" s="1">
        <v>41273</v>
      </c>
      <c r="B57" s="3" t="s">
        <v>44</v>
      </c>
      <c r="F57" s="1">
        <v>41239</v>
      </c>
      <c r="G57" s="1">
        <v>41273</v>
      </c>
      <c r="H57" t="s">
        <v>53</v>
      </c>
      <c r="I57" t="s">
        <v>14</v>
      </c>
      <c r="J57" t="s">
        <v>12</v>
      </c>
      <c r="L57" s="4" t="s">
        <v>13</v>
      </c>
      <c r="M57" s="32" t="str">
        <f t="shared" si="0"/>
        <v>prevper</v>
      </c>
      <c r="N57" s="33" t="s">
        <v>52</v>
      </c>
    </row>
    <row r="58" spans="1:14" ht="15.75" x14ac:dyDescent="0.25">
      <c r="A58" s="1">
        <v>41274</v>
      </c>
      <c r="B58" s="3" t="s">
        <v>44</v>
      </c>
      <c r="F58" s="1">
        <v>41274</v>
      </c>
      <c r="G58" s="1">
        <v>41301</v>
      </c>
      <c r="H58" t="s">
        <v>67</v>
      </c>
      <c r="I58" t="s">
        <v>17</v>
      </c>
      <c r="J58" t="s">
        <v>17</v>
      </c>
      <c r="L58" s="4" t="s">
        <v>14</v>
      </c>
      <c r="M58" s="32" t="str">
        <f t="shared" si="0"/>
        <v>prevper</v>
      </c>
      <c r="N58" s="33" t="s">
        <v>52</v>
      </c>
    </row>
    <row r="59" spans="1:14" ht="15.75" x14ac:dyDescent="0.25">
      <c r="A59" s="1">
        <v>41275</v>
      </c>
      <c r="B59" s="3" t="s">
        <v>44</v>
      </c>
      <c r="F59" s="1">
        <v>41274</v>
      </c>
      <c r="G59" s="1">
        <v>41301</v>
      </c>
      <c r="H59" t="s">
        <v>67</v>
      </c>
      <c r="I59" t="s">
        <v>17</v>
      </c>
      <c r="J59" t="s">
        <v>17</v>
      </c>
      <c r="L59" s="4" t="s">
        <v>14</v>
      </c>
      <c r="M59" s="32" t="str">
        <f t="shared" si="0"/>
        <v>prevper</v>
      </c>
      <c r="N59" s="33" t="s">
        <v>52</v>
      </c>
    </row>
    <row r="60" spans="1:14" ht="15.75" x14ac:dyDescent="0.25">
      <c r="A60" s="1">
        <v>41276</v>
      </c>
      <c r="B60" s="3" t="s">
        <v>44</v>
      </c>
      <c r="F60" s="1">
        <v>41274</v>
      </c>
      <c r="G60" s="1">
        <v>41301</v>
      </c>
      <c r="H60" t="s">
        <v>67</v>
      </c>
      <c r="I60" t="s">
        <v>17</v>
      </c>
      <c r="J60" t="s">
        <v>17</v>
      </c>
      <c r="L60" s="4" t="s">
        <v>14</v>
      </c>
      <c r="M60" s="32" t="str">
        <f t="shared" si="0"/>
        <v>prevper</v>
      </c>
      <c r="N60" s="33" t="s">
        <v>52</v>
      </c>
    </row>
    <row r="61" spans="1:14" ht="15.75" x14ac:dyDescent="0.25">
      <c r="A61" s="1">
        <v>41277</v>
      </c>
      <c r="B61" s="3" t="s">
        <v>44</v>
      </c>
      <c r="F61" s="1">
        <v>41274</v>
      </c>
      <c r="G61" s="1">
        <v>41301</v>
      </c>
      <c r="H61" t="s">
        <v>67</v>
      </c>
      <c r="I61" t="s">
        <v>17</v>
      </c>
      <c r="J61" t="s">
        <v>17</v>
      </c>
      <c r="L61" s="4" t="s">
        <v>14</v>
      </c>
      <c r="M61" s="32" t="str">
        <f t="shared" si="0"/>
        <v>prevper</v>
      </c>
      <c r="N61" s="33" t="s">
        <v>52</v>
      </c>
    </row>
    <row r="62" spans="1:14" ht="15.75" x14ac:dyDescent="0.25">
      <c r="A62" s="1">
        <v>41261</v>
      </c>
      <c r="B62" s="3" t="s">
        <v>3</v>
      </c>
      <c r="F62" s="1">
        <v>41239</v>
      </c>
      <c r="G62" s="1">
        <v>41273</v>
      </c>
      <c r="H62" t="s">
        <v>53</v>
      </c>
      <c r="I62" t="s">
        <v>14</v>
      </c>
      <c r="J62" t="s">
        <v>12</v>
      </c>
      <c r="L62" t="s">
        <v>68</v>
      </c>
      <c r="M62" s="17" t="str">
        <f t="shared" si="0"/>
        <v>perStart</v>
      </c>
      <c r="N62" s="19" t="s">
        <v>50</v>
      </c>
    </row>
    <row r="63" spans="1:14" ht="15.75" x14ac:dyDescent="0.25">
      <c r="A63" s="1">
        <v>41262</v>
      </c>
      <c r="B63" s="3" t="s">
        <v>3</v>
      </c>
      <c r="F63" s="1">
        <v>41239</v>
      </c>
      <c r="G63" s="1">
        <v>41273</v>
      </c>
      <c r="H63" t="s">
        <v>53</v>
      </c>
      <c r="I63" t="s">
        <v>14</v>
      </c>
      <c r="J63" t="s">
        <v>12</v>
      </c>
      <c r="L63" t="s">
        <v>68</v>
      </c>
      <c r="M63" s="17" t="str">
        <f t="shared" si="0"/>
        <v>perStart</v>
      </c>
      <c r="N63" s="19" t="s">
        <v>50</v>
      </c>
    </row>
    <row r="64" spans="1:14" ht="15.75" x14ac:dyDescent="0.25">
      <c r="A64" s="1">
        <v>41263</v>
      </c>
      <c r="B64" s="3" t="s">
        <v>3</v>
      </c>
      <c r="F64" s="1">
        <v>41239</v>
      </c>
      <c r="G64" s="1">
        <v>41273</v>
      </c>
      <c r="H64" t="s">
        <v>53</v>
      </c>
      <c r="I64" t="s">
        <v>14</v>
      </c>
      <c r="J64" t="s">
        <v>12</v>
      </c>
      <c r="L64" t="s">
        <v>68</v>
      </c>
      <c r="M64" s="17" t="str">
        <f t="shared" si="0"/>
        <v>perStart</v>
      </c>
      <c r="N64" s="19" t="s">
        <v>50</v>
      </c>
    </row>
    <row r="65" spans="1:14" ht="15.75" x14ac:dyDescent="0.25">
      <c r="A65" s="1">
        <v>41264</v>
      </c>
      <c r="B65" s="3" t="s">
        <v>3</v>
      </c>
      <c r="F65" s="1">
        <v>41239</v>
      </c>
      <c r="G65" s="1">
        <v>41273</v>
      </c>
      <c r="H65" t="s">
        <v>53</v>
      </c>
      <c r="I65" t="s">
        <v>14</v>
      </c>
      <c r="J65" t="s">
        <v>12</v>
      </c>
      <c r="L65" t="s">
        <v>68</v>
      </c>
      <c r="M65" s="17" t="str">
        <f t="shared" si="0"/>
        <v>perStart</v>
      </c>
      <c r="N65" s="19" t="s">
        <v>50</v>
      </c>
    </row>
    <row r="66" spans="1:14" ht="15.75" x14ac:dyDescent="0.25">
      <c r="A66" s="1">
        <v>41265</v>
      </c>
      <c r="B66" s="3" t="s">
        <v>3</v>
      </c>
      <c r="F66" s="1">
        <v>41239</v>
      </c>
      <c r="G66" s="1">
        <v>41273</v>
      </c>
      <c r="H66" t="s">
        <v>53</v>
      </c>
      <c r="I66" t="s">
        <v>14</v>
      </c>
      <c r="J66" t="s">
        <v>12</v>
      </c>
      <c r="L66" t="s">
        <v>68</v>
      </c>
      <c r="M66" s="17" t="str">
        <f t="shared" si="0"/>
        <v>perStart</v>
      </c>
      <c r="N66" s="19" t="s">
        <v>50</v>
      </c>
    </row>
    <row r="67" spans="1:14" ht="15.75" x14ac:dyDescent="0.25">
      <c r="A67" s="1">
        <v>41266</v>
      </c>
      <c r="B67" s="3" t="s">
        <v>3</v>
      </c>
      <c r="F67" s="1">
        <v>41239</v>
      </c>
      <c r="G67" s="1">
        <v>41273</v>
      </c>
      <c r="H67" t="s">
        <v>53</v>
      </c>
      <c r="I67" t="s">
        <v>14</v>
      </c>
      <c r="J67" t="s">
        <v>12</v>
      </c>
      <c r="L67" t="s">
        <v>68</v>
      </c>
      <c r="M67" s="17" t="str">
        <f t="shared" si="0"/>
        <v>perStart</v>
      </c>
      <c r="N67" s="19" t="s">
        <v>50</v>
      </c>
    </row>
    <row r="68" spans="1:14" ht="15.75" x14ac:dyDescent="0.25">
      <c r="A68" s="1">
        <v>41267</v>
      </c>
      <c r="B68" s="3" t="s">
        <v>3</v>
      </c>
      <c r="F68" s="1">
        <v>41239</v>
      </c>
      <c r="G68" s="1">
        <v>41273</v>
      </c>
      <c r="H68" t="s">
        <v>53</v>
      </c>
      <c r="I68" t="s">
        <v>14</v>
      </c>
      <c r="J68" t="s">
        <v>12</v>
      </c>
      <c r="L68" t="s">
        <v>68</v>
      </c>
      <c r="M68" s="17" t="str">
        <f t="shared" si="0"/>
        <v>perStart</v>
      </c>
      <c r="N68" s="19" t="s">
        <v>50</v>
      </c>
    </row>
    <row r="69" spans="1:14" ht="15.75" x14ac:dyDescent="0.25">
      <c r="A69" s="1">
        <v>41268</v>
      </c>
      <c r="B69" s="3" t="s">
        <v>3</v>
      </c>
      <c r="F69" s="1">
        <v>41239</v>
      </c>
      <c r="G69" s="1">
        <v>41273</v>
      </c>
      <c r="H69" t="s">
        <v>53</v>
      </c>
      <c r="I69" t="s">
        <v>14</v>
      </c>
      <c r="J69" t="s">
        <v>12</v>
      </c>
      <c r="L69" t="s">
        <v>68</v>
      </c>
      <c r="M69" s="17" t="str">
        <f t="shared" si="0"/>
        <v>perStart</v>
      </c>
      <c r="N69" s="19" t="s">
        <v>50</v>
      </c>
    </row>
    <row r="70" spans="1:14" ht="15.75" x14ac:dyDescent="0.25">
      <c r="A70" s="1">
        <v>41269</v>
      </c>
      <c r="B70" s="3" t="s">
        <v>3</v>
      </c>
      <c r="F70" s="1">
        <v>41239</v>
      </c>
      <c r="G70" s="1">
        <v>41273</v>
      </c>
      <c r="H70" t="s">
        <v>53</v>
      </c>
      <c r="I70" t="s">
        <v>14</v>
      </c>
      <c r="J70" t="s">
        <v>12</v>
      </c>
      <c r="L70" t="s">
        <v>68</v>
      </c>
      <c r="M70" s="17" t="str">
        <f t="shared" si="0"/>
        <v>perStart</v>
      </c>
      <c r="N70" s="19" t="s">
        <v>50</v>
      </c>
    </row>
    <row r="71" spans="1:14" ht="15.75" x14ac:dyDescent="0.25">
      <c r="A71" s="1">
        <v>41270</v>
      </c>
      <c r="B71" s="3" t="s">
        <v>3</v>
      </c>
      <c r="F71" s="1">
        <v>41239</v>
      </c>
      <c r="G71" s="1">
        <v>41273</v>
      </c>
      <c r="H71" t="s">
        <v>53</v>
      </c>
      <c r="I71" t="s">
        <v>14</v>
      </c>
      <c r="J71" t="s">
        <v>12</v>
      </c>
      <c r="L71" t="s">
        <v>68</v>
      </c>
      <c r="M71" s="17" t="str">
        <f t="shared" si="0"/>
        <v>perStart</v>
      </c>
      <c r="N71" s="19" t="s">
        <v>50</v>
      </c>
    </row>
    <row r="72" spans="1:14" ht="15.75" x14ac:dyDescent="0.25">
      <c r="A72" s="1">
        <v>41271</v>
      </c>
      <c r="B72" s="3" t="s">
        <v>3</v>
      </c>
      <c r="F72" s="1">
        <v>41239</v>
      </c>
      <c r="G72" s="1">
        <v>41273</v>
      </c>
      <c r="H72" t="s">
        <v>53</v>
      </c>
      <c r="I72" t="s">
        <v>14</v>
      </c>
      <c r="J72" t="s">
        <v>12</v>
      </c>
      <c r="L72" t="s">
        <v>68</v>
      </c>
      <c r="M72" s="17" t="str">
        <f t="shared" si="0"/>
        <v>perStart</v>
      </c>
      <c r="N72" s="19" t="s">
        <v>50</v>
      </c>
    </row>
    <row r="73" spans="1:14" ht="15.75" x14ac:dyDescent="0.25">
      <c r="A73" s="1">
        <v>41272</v>
      </c>
      <c r="B73" s="3" t="s">
        <v>3</v>
      </c>
      <c r="F73" s="1">
        <v>41239</v>
      </c>
      <c r="G73" s="1">
        <v>41273</v>
      </c>
      <c r="H73" t="s">
        <v>53</v>
      </c>
      <c r="I73" t="s">
        <v>14</v>
      </c>
      <c r="J73" t="s">
        <v>12</v>
      </c>
      <c r="L73" t="s">
        <v>68</v>
      </c>
      <c r="M73" s="17" t="str">
        <f t="shared" ref="M73:M112" si="1">B73</f>
        <v>perStart</v>
      </c>
      <c r="N73" s="19" t="s">
        <v>50</v>
      </c>
    </row>
    <row r="74" spans="1:14" ht="15.75" x14ac:dyDescent="0.25">
      <c r="A74" s="1">
        <v>41273</v>
      </c>
      <c r="B74" s="3" t="s">
        <v>3</v>
      </c>
      <c r="F74" s="1">
        <v>41239</v>
      </c>
      <c r="G74" s="1">
        <v>41273</v>
      </c>
      <c r="H74" t="s">
        <v>53</v>
      </c>
      <c r="I74" t="s">
        <v>14</v>
      </c>
      <c r="J74" t="s">
        <v>12</v>
      </c>
      <c r="L74" t="s">
        <v>68</v>
      </c>
      <c r="M74" s="17" t="str">
        <f t="shared" si="1"/>
        <v>perStart</v>
      </c>
      <c r="N74" s="19" t="s">
        <v>50</v>
      </c>
    </row>
    <row r="75" spans="1:14" ht="15.75" x14ac:dyDescent="0.25">
      <c r="A75" s="1">
        <v>41274</v>
      </c>
      <c r="B75" s="3" t="s">
        <v>3</v>
      </c>
      <c r="F75" s="1">
        <v>41274</v>
      </c>
      <c r="G75" s="1">
        <v>41301</v>
      </c>
      <c r="H75" t="s">
        <v>67</v>
      </c>
      <c r="I75" t="s">
        <v>17</v>
      </c>
      <c r="J75" t="s">
        <v>17</v>
      </c>
      <c r="L75" t="s">
        <v>69</v>
      </c>
      <c r="M75" s="17" t="str">
        <f t="shared" si="1"/>
        <v>perStart</v>
      </c>
      <c r="N75" s="19" t="s">
        <v>50</v>
      </c>
    </row>
    <row r="76" spans="1:14" ht="15.75" x14ac:dyDescent="0.25">
      <c r="A76" s="1">
        <v>41275</v>
      </c>
      <c r="B76" s="3" t="s">
        <v>3</v>
      </c>
      <c r="F76" s="1">
        <v>41274</v>
      </c>
      <c r="G76" s="1">
        <v>41301</v>
      </c>
      <c r="H76" t="s">
        <v>67</v>
      </c>
      <c r="I76" t="s">
        <v>17</v>
      </c>
      <c r="J76" t="s">
        <v>17</v>
      </c>
      <c r="L76" t="s">
        <v>69</v>
      </c>
      <c r="M76" s="17" t="str">
        <f t="shared" si="1"/>
        <v>perStart</v>
      </c>
      <c r="N76" s="19" t="s">
        <v>50</v>
      </c>
    </row>
    <row r="77" spans="1:14" ht="15.75" x14ac:dyDescent="0.25">
      <c r="A77" s="1">
        <v>41276</v>
      </c>
      <c r="B77" s="3" t="s">
        <v>3</v>
      </c>
      <c r="F77" s="1">
        <v>41274</v>
      </c>
      <c r="G77" s="1">
        <v>41301</v>
      </c>
      <c r="H77" t="s">
        <v>67</v>
      </c>
      <c r="I77" t="s">
        <v>17</v>
      </c>
      <c r="J77" t="s">
        <v>17</v>
      </c>
      <c r="L77" t="s">
        <v>69</v>
      </c>
      <c r="M77" s="17" t="str">
        <f t="shared" si="1"/>
        <v>perStart</v>
      </c>
      <c r="N77" s="19" t="s">
        <v>50</v>
      </c>
    </row>
    <row r="78" spans="1:14" ht="15.75" x14ac:dyDescent="0.25">
      <c r="A78" s="1">
        <v>41277</v>
      </c>
      <c r="B78" s="3" t="s">
        <v>3</v>
      </c>
      <c r="F78" s="1">
        <v>41274</v>
      </c>
      <c r="G78" s="1">
        <v>41301</v>
      </c>
      <c r="H78" t="s">
        <v>67</v>
      </c>
      <c r="I78" t="s">
        <v>17</v>
      </c>
      <c r="J78" t="s">
        <v>17</v>
      </c>
      <c r="L78" t="s">
        <v>69</v>
      </c>
      <c r="M78" s="17" t="str">
        <f t="shared" si="1"/>
        <v>perStart</v>
      </c>
      <c r="N78" s="19" t="s">
        <v>50</v>
      </c>
    </row>
    <row r="79" spans="1:14" s="21" customFormat="1" ht="15.75" x14ac:dyDescent="0.25">
      <c r="A79" s="28">
        <v>42722</v>
      </c>
      <c r="B79" s="29" t="s">
        <v>41</v>
      </c>
      <c r="F79" s="28">
        <v>42702</v>
      </c>
      <c r="G79" s="28">
        <v>42729</v>
      </c>
      <c r="H79" s="21" t="s">
        <v>16</v>
      </c>
      <c r="I79" s="21" t="s">
        <v>14</v>
      </c>
      <c r="J79" s="21" t="s">
        <v>12</v>
      </c>
      <c r="L79" s="21" t="s">
        <v>14</v>
      </c>
      <c r="M79" s="22" t="str">
        <f t="shared" si="1"/>
        <v>currper</v>
      </c>
      <c r="N79" s="23" t="s">
        <v>50</v>
      </c>
    </row>
    <row r="80" spans="1:14" ht="15.75" x14ac:dyDescent="0.25">
      <c r="A80" s="1">
        <v>42723</v>
      </c>
      <c r="B80" s="3" t="s">
        <v>41</v>
      </c>
      <c r="F80" s="1">
        <v>42702</v>
      </c>
      <c r="G80" s="1">
        <v>42729</v>
      </c>
      <c r="H80" t="s">
        <v>16</v>
      </c>
      <c r="I80" t="s">
        <v>14</v>
      </c>
      <c r="J80" t="s">
        <v>12</v>
      </c>
      <c r="L80" t="s">
        <v>14</v>
      </c>
      <c r="M80" s="17" t="str">
        <f t="shared" si="1"/>
        <v>currper</v>
      </c>
      <c r="N80" s="19" t="s">
        <v>50</v>
      </c>
    </row>
    <row r="81" spans="1:15" ht="15.75" x14ac:dyDescent="0.25">
      <c r="A81" s="1">
        <v>42724</v>
      </c>
      <c r="B81" s="3" t="s">
        <v>41</v>
      </c>
      <c r="F81" s="1">
        <v>42702</v>
      </c>
      <c r="G81" s="1">
        <v>42729</v>
      </c>
      <c r="H81" t="s">
        <v>16</v>
      </c>
      <c r="I81" t="s">
        <v>14</v>
      </c>
      <c r="J81" t="s">
        <v>12</v>
      </c>
      <c r="L81" t="s">
        <v>14</v>
      </c>
      <c r="M81" s="17" t="str">
        <f t="shared" si="1"/>
        <v>currper</v>
      </c>
      <c r="N81" s="19" t="s">
        <v>50</v>
      </c>
    </row>
    <row r="82" spans="1:15" ht="15.75" x14ac:dyDescent="0.25">
      <c r="A82" s="1">
        <v>42725</v>
      </c>
      <c r="B82" s="3" t="s">
        <v>41</v>
      </c>
      <c r="F82" s="1">
        <v>42702</v>
      </c>
      <c r="G82" s="1">
        <v>42729</v>
      </c>
      <c r="H82" t="s">
        <v>16</v>
      </c>
      <c r="I82" t="s">
        <v>14</v>
      </c>
      <c r="J82" t="s">
        <v>12</v>
      </c>
      <c r="L82" t="s">
        <v>14</v>
      </c>
      <c r="M82" s="17" t="str">
        <f t="shared" si="1"/>
        <v>currper</v>
      </c>
      <c r="N82" s="19" t="s">
        <v>50</v>
      </c>
    </row>
    <row r="83" spans="1:15" ht="15.75" x14ac:dyDescent="0.25">
      <c r="A83" s="1">
        <v>42726</v>
      </c>
      <c r="B83" s="3" t="s">
        <v>41</v>
      </c>
      <c r="F83" s="1">
        <v>42702</v>
      </c>
      <c r="G83" s="1">
        <v>42729</v>
      </c>
      <c r="H83" t="s">
        <v>16</v>
      </c>
      <c r="I83" t="s">
        <v>14</v>
      </c>
      <c r="J83" t="s">
        <v>12</v>
      </c>
      <c r="L83" t="s">
        <v>14</v>
      </c>
      <c r="M83" s="17" t="str">
        <f t="shared" si="1"/>
        <v>currper</v>
      </c>
      <c r="N83" s="19" t="s">
        <v>50</v>
      </c>
    </row>
    <row r="84" spans="1:15" ht="15.75" x14ac:dyDescent="0.25">
      <c r="A84" s="1">
        <v>42727</v>
      </c>
      <c r="B84" s="3" t="s">
        <v>41</v>
      </c>
      <c r="F84" s="1">
        <v>42702</v>
      </c>
      <c r="G84" s="1">
        <v>42729</v>
      </c>
      <c r="H84" t="s">
        <v>16</v>
      </c>
      <c r="I84" t="s">
        <v>14</v>
      </c>
      <c r="J84" t="s">
        <v>12</v>
      </c>
      <c r="L84" t="s">
        <v>14</v>
      </c>
      <c r="M84" s="17" t="str">
        <f t="shared" si="1"/>
        <v>currper</v>
      </c>
      <c r="N84" s="19" t="s">
        <v>50</v>
      </c>
    </row>
    <row r="85" spans="1:15" ht="15.75" x14ac:dyDescent="0.25">
      <c r="A85" s="1">
        <v>42728</v>
      </c>
      <c r="B85" s="3" t="s">
        <v>41</v>
      </c>
      <c r="F85" s="1">
        <v>42702</v>
      </c>
      <c r="G85" s="1">
        <v>42729</v>
      </c>
      <c r="H85" t="s">
        <v>16</v>
      </c>
      <c r="I85" t="s">
        <v>14</v>
      </c>
      <c r="J85" t="s">
        <v>12</v>
      </c>
      <c r="L85" t="s">
        <v>14</v>
      </c>
      <c r="M85" s="17" t="str">
        <f t="shared" si="1"/>
        <v>currper</v>
      </c>
      <c r="N85" s="19" t="s">
        <v>50</v>
      </c>
    </row>
    <row r="86" spans="1:15" ht="15.75" x14ac:dyDescent="0.25">
      <c r="A86" s="1">
        <v>42729</v>
      </c>
      <c r="B86" s="3" t="s">
        <v>41</v>
      </c>
      <c r="F86" s="1">
        <v>42702</v>
      </c>
      <c r="G86" s="1">
        <v>42729</v>
      </c>
      <c r="H86" t="s">
        <v>16</v>
      </c>
      <c r="I86" t="s">
        <v>14</v>
      </c>
      <c r="J86" t="s">
        <v>12</v>
      </c>
      <c r="L86" t="s">
        <v>14</v>
      </c>
      <c r="M86" s="17" t="str">
        <f t="shared" si="1"/>
        <v>currper</v>
      </c>
      <c r="N86" s="19" t="s">
        <v>50</v>
      </c>
    </row>
    <row r="87" spans="1:15" ht="15.75" x14ac:dyDescent="0.25">
      <c r="A87" s="1">
        <v>42730</v>
      </c>
      <c r="B87" s="3" t="s">
        <v>41</v>
      </c>
      <c r="F87" s="1">
        <v>42730</v>
      </c>
      <c r="G87" s="1">
        <v>42757</v>
      </c>
      <c r="H87" t="s">
        <v>70</v>
      </c>
      <c r="I87" t="s">
        <v>17</v>
      </c>
      <c r="J87" t="s">
        <v>17</v>
      </c>
      <c r="L87" t="s">
        <v>15</v>
      </c>
      <c r="M87" s="17" t="str">
        <f t="shared" si="1"/>
        <v>currper</v>
      </c>
      <c r="N87" s="19" t="s">
        <v>50</v>
      </c>
    </row>
    <row r="88" spans="1:15" ht="15.75" x14ac:dyDescent="0.25">
      <c r="A88" s="1">
        <v>42731</v>
      </c>
      <c r="B88" s="3" t="s">
        <v>41</v>
      </c>
      <c r="F88" s="1">
        <v>42730</v>
      </c>
      <c r="G88" s="1">
        <v>42757</v>
      </c>
      <c r="H88" t="s">
        <v>70</v>
      </c>
      <c r="I88" t="s">
        <v>17</v>
      </c>
      <c r="J88" t="s">
        <v>17</v>
      </c>
      <c r="L88" t="s">
        <v>15</v>
      </c>
      <c r="M88" s="17" t="str">
        <f t="shared" si="1"/>
        <v>currper</v>
      </c>
      <c r="N88" s="19" t="str">
        <f>IF(VALUE(L88)=VALUE(O88), "P", "F")</f>
        <v>P</v>
      </c>
      <c r="O88" s="3" t="str">
        <f>IF(M88="currper", I88, IF(M88="prevper", (IF(I88 - 1 = 0, 13, I88-1)), "Fail"))</f>
        <v>01</v>
      </c>
    </row>
    <row r="89" spans="1:15" ht="15.75" x14ac:dyDescent="0.25">
      <c r="A89" s="1">
        <v>42732</v>
      </c>
      <c r="B89" s="3" t="s">
        <v>41</v>
      </c>
      <c r="F89" s="1">
        <v>42730</v>
      </c>
      <c r="G89" s="1">
        <v>42757</v>
      </c>
      <c r="H89" t="s">
        <v>70</v>
      </c>
      <c r="I89" t="s">
        <v>17</v>
      </c>
      <c r="J89" t="s">
        <v>17</v>
      </c>
      <c r="L89" t="s">
        <v>15</v>
      </c>
      <c r="M89" s="17" t="str">
        <f t="shared" si="1"/>
        <v>currper</v>
      </c>
      <c r="N89" s="19" t="str">
        <f t="shared" ref="N89:N112" si="2">IF(VALUE(L89)=VALUE(O89), "P", "F")</f>
        <v>P</v>
      </c>
      <c r="O89" s="3" t="str">
        <f t="shared" ref="O89:O112" si="3">IF(M89="currper", I89, IF(M89="prevper", (IF(I89 - 1 = 0, 13, I89-1)), "Fail"))</f>
        <v>01</v>
      </c>
    </row>
    <row r="90" spans="1:15" ht="15.75" x14ac:dyDescent="0.25">
      <c r="A90" s="1">
        <v>42733</v>
      </c>
      <c r="B90" s="3" t="s">
        <v>41</v>
      </c>
      <c r="F90" s="1">
        <v>42730</v>
      </c>
      <c r="G90" s="1">
        <v>42757</v>
      </c>
      <c r="H90" t="s">
        <v>70</v>
      </c>
      <c r="I90" t="s">
        <v>17</v>
      </c>
      <c r="J90" t="s">
        <v>17</v>
      </c>
      <c r="L90" t="s">
        <v>15</v>
      </c>
      <c r="M90" s="17" t="str">
        <f t="shared" si="1"/>
        <v>currper</v>
      </c>
      <c r="N90" s="19" t="str">
        <f t="shared" si="2"/>
        <v>P</v>
      </c>
      <c r="O90" s="3" t="str">
        <f t="shared" si="3"/>
        <v>01</v>
      </c>
    </row>
    <row r="91" spans="1:15" ht="15.75" x14ac:dyDescent="0.25">
      <c r="A91" s="1">
        <v>42734</v>
      </c>
      <c r="B91" s="3" t="s">
        <v>41</v>
      </c>
      <c r="F91" s="1">
        <v>42730</v>
      </c>
      <c r="G91" s="1">
        <v>42757</v>
      </c>
      <c r="H91" t="s">
        <v>70</v>
      </c>
      <c r="I91" t="s">
        <v>17</v>
      </c>
      <c r="J91" t="s">
        <v>17</v>
      </c>
      <c r="L91" t="s">
        <v>15</v>
      </c>
      <c r="M91" s="17" t="str">
        <f t="shared" si="1"/>
        <v>currper</v>
      </c>
      <c r="N91" s="19" t="str">
        <f t="shared" si="2"/>
        <v>P</v>
      </c>
      <c r="O91" s="3" t="str">
        <f t="shared" si="3"/>
        <v>01</v>
      </c>
    </row>
    <row r="92" spans="1:15" ht="15.75" x14ac:dyDescent="0.25">
      <c r="A92" s="1">
        <v>42735</v>
      </c>
      <c r="B92" s="3" t="s">
        <v>41</v>
      </c>
      <c r="F92" s="1">
        <v>42730</v>
      </c>
      <c r="G92" s="1">
        <v>42757</v>
      </c>
      <c r="H92" t="s">
        <v>70</v>
      </c>
      <c r="I92" t="s">
        <v>17</v>
      </c>
      <c r="J92" t="s">
        <v>17</v>
      </c>
      <c r="L92" t="s">
        <v>15</v>
      </c>
      <c r="M92" s="17" t="str">
        <f t="shared" si="1"/>
        <v>currper</v>
      </c>
      <c r="N92" s="19" t="str">
        <f t="shared" si="2"/>
        <v>P</v>
      </c>
      <c r="O92" s="3" t="str">
        <f t="shared" si="3"/>
        <v>01</v>
      </c>
    </row>
    <row r="93" spans="1:15" ht="15.75" x14ac:dyDescent="0.25">
      <c r="A93" s="1">
        <v>42736</v>
      </c>
      <c r="B93" s="3" t="s">
        <v>41</v>
      </c>
      <c r="F93" s="1">
        <v>42730</v>
      </c>
      <c r="G93" s="1">
        <v>42757</v>
      </c>
      <c r="H93" t="s">
        <v>70</v>
      </c>
      <c r="I93" t="s">
        <v>17</v>
      </c>
      <c r="J93" t="s">
        <v>17</v>
      </c>
      <c r="L93" t="s">
        <v>15</v>
      </c>
      <c r="M93" s="17" t="str">
        <f t="shared" si="1"/>
        <v>currper</v>
      </c>
      <c r="N93" s="19" t="str">
        <f t="shared" si="2"/>
        <v>P</v>
      </c>
      <c r="O93" s="3" t="str">
        <f t="shared" si="3"/>
        <v>01</v>
      </c>
    </row>
    <row r="94" spans="1:15" ht="15.75" x14ac:dyDescent="0.25">
      <c r="A94" s="1">
        <v>42737</v>
      </c>
      <c r="B94" s="3" t="s">
        <v>41</v>
      </c>
      <c r="F94" s="1">
        <v>42730</v>
      </c>
      <c r="G94" s="1">
        <v>42757</v>
      </c>
      <c r="H94" t="s">
        <v>70</v>
      </c>
      <c r="I94" t="s">
        <v>17</v>
      </c>
      <c r="J94" t="s">
        <v>17</v>
      </c>
      <c r="L94" t="s">
        <v>15</v>
      </c>
      <c r="M94" s="17" t="str">
        <f t="shared" si="1"/>
        <v>currper</v>
      </c>
      <c r="N94" s="19" t="str">
        <f t="shared" si="2"/>
        <v>P</v>
      </c>
      <c r="O94" s="3" t="str">
        <f t="shared" si="3"/>
        <v>01</v>
      </c>
    </row>
    <row r="95" spans="1:15" ht="15.75" x14ac:dyDescent="0.25">
      <c r="A95" s="1">
        <v>42738</v>
      </c>
      <c r="B95" s="3" t="s">
        <v>41</v>
      </c>
      <c r="F95" s="1">
        <v>42730</v>
      </c>
      <c r="G95" s="1">
        <v>42757</v>
      </c>
      <c r="H95" t="s">
        <v>70</v>
      </c>
      <c r="I95" t="s">
        <v>17</v>
      </c>
      <c r="J95" t="s">
        <v>17</v>
      </c>
      <c r="L95" t="s">
        <v>15</v>
      </c>
      <c r="M95" s="17" t="str">
        <f t="shared" si="1"/>
        <v>currper</v>
      </c>
      <c r="N95" s="19" t="str">
        <f t="shared" si="2"/>
        <v>P</v>
      </c>
      <c r="O95" s="3" t="str">
        <f t="shared" si="3"/>
        <v>01</v>
      </c>
    </row>
    <row r="96" spans="1:15" ht="15.75" x14ac:dyDescent="0.25">
      <c r="A96" s="30">
        <v>42722</v>
      </c>
      <c r="B96" s="3" t="s">
        <v>44</v>
      </c>
      <c r="F96" s="1">
        <v>42702</v>
      </c>
      <c r="G96" s="1">
        <v>42729</v>
      </c>
      <c r="H96" t="s">
        <v>16</v>
      </c>
      <c r="I96" t="s">
        <v>14</v>
      </c>
      <c r="J96" t="s">
        <v>12</v>
      </c>
      <c r="L96" s="4" t="s">
        <v>13</v>
      </c>
      <c r="M96" s="32" t="str">
        <f t="shared" si="1"/>
        <v>prevper</v>
      </c>
      <c r="N96" s="19" t="str">
        <f t="shared" si="2"/>
        <v>P</v>
      </c>
      <c r="O96" s="3">
        <f t="shared" si="3"/>
        <v>12</v>
      </c>
    </row>
    <row r="97" spans="1:15" ht="15.75" x14ac:dyDescent="0.25">
      <c r="A97" s="1">
        <v>42723</v>
      </c>
      <c r="B97" s="3" t="s">
        <v>44</v>
      </c>
      <c r="F97" s="1">
        <v>42702</v>
      </c>
      <c r="G97" s="1">
        <v>42729</v>
      </c>
      <c r="H97" t="s">
        <v>16</v>
      </c>
      <c r="I97" t="s">
        <v>14</v>
      </c>
      <c r="J97" t="s">
        <v>12</v>
      </c>
      <c r="L97" s="4" t="s">
        <v>13</v>
      </c>
      <c r="M97" s="32" t="str">
        <f t="shared" si="1"/>
        <v>prevper</v>
      </c>
      <c r="N97" s="19" t="str">
        <f t="shared" si="2"/>
        <v>P</v>
      </c>
      <c r="O97" s="3">
        <f t="shared" si="3"/>
        <v>12</v>
      </c>
    </row>
    <row r="98" spans="1:15" ht="15.75" x14ac:dyDescent="0.25">
      <c r="A98" s="1">
        <v>42724</v>
      </c>
      <c r="B98" s="3" t="s">
        <v>44</v>
      </c>
      <c r="F98" s="1">
        <v>42702</v>
      </c>
      <c r="G98" s="1">
        <v>42729</v>
      </c>
      <c r="H98" t="s">
        <v>16</v>
      </c>
      <c r="I98" t="s">
        <v>14</v>
      </c>
      <c r="J98" t="s">
        <v>12</v>
      </c>
      <c r="L98" s="4" t="s">
        <v>13</v>
      </c>
      <c r="M98" s="32" t="str">
        <f t="shared" si="1"/>
        <v>prevper</v>
      </c>
      <c r="N98" s="19" t="str">
        <f t="shared" si="2"/>
        <v>P</v>
      </c>
      <c r="O98" s="3">
        <f t="shared" si="3"/>
        <v>12</v>
      </c>
    </row>
    <row r="99" spans="1:15" ht="15.75" x14ac:dyDescent="0.25">
      <c r="A99" s="1">
        <v>42725</v>
      </c>
      <c r="B99" s="3" t="s">
        <v>44</v>
      </c>
      <c r="F99" s="1">
        <v>42702</v>
      </c>
      <c r="G99" s="1">
        <v>42729</v>
      </c>
      <c r="H99" t="s">
        <v>16</v>
      </c>
      <c r="I99" t="s">
        <v>14</v>
      </c>
      <c r="J99" t="s">
        <v>12</v>
      </c>
      <c r="L99" s="4" t="s">
        <v>13</v>
      </c>
      <c r="M99" s="32" t="str">
        <f t="shared" si="1"/>
        <v>prevper</v>
      </c>
      <c r="N99" s="19" t="str">
        <f t="shared" si="2"/>
        <v>P</v>
      </c>
      <c r="O99" s="3">
        <f t="shared" si="3"/>
        <v>12</v>
      </c>
    </row>
    <row r="100" spans="1:15" ht="15.75" x14ac:dyDescent="0.25">
      <c r="A100" s="1">
        <v>42726</v>
      </c>
      <c r="B100" s="3" t="s">
        <v>44</v>
      </c>
      <c r="F100" s="1">
        <v>42702</v>
      </c>
      <c r="G100" s="1">
        <v>42729</v>
      </c>
      <c r="H100" t="s">
        <v>16</v>
      </c>
      <c r="I100" t="s">
        <v>14</v>
      </c>
      <c r="J100" t="s">
        <v>12</v>
      </c>
      <c r="L100" s="4" t="s">
        <v>13</v>
      </c>
      <c r="M100" s="32" t="str">
        <f t="shared" si="1"/>
        <v>prevper</v>
      </c>
      <c r="N100" s="19" t="str">
        <f t="shared" si="2"/>
        <v>P</v>
      </c>
      <c r="O100" s="3">
        <f t="shared" si="3"/>
        <v>12</v>
      </c>
    </row>
    <row r="101" spans="1:15" ht="15.75" x14ac:dyDescent="0.25">
      <c r="A101" s="1">
        <v>42727</v>
      </c>
      <c r="B101" s="3" t="s">
        <v>44</v>
      </c>
      <c r="F101" s="1">
        <v>42702</v>
      </c>
      <c r="G101" s="1">
        <v>42729</v>
      </c>
      <c r="H101" t="s">
        <v>16</v>
      </c>
      <c r="I101" t="s">
        <v>14</v>
      </c>
      <c r="J101" t="s">
        <v>12</v>
      </c>
      <c r="L101" s="4" t="s">
        <v>13</v>
      </c>
      <c r="M101" s="32" t="str">
        <f t="shared" si="1"/>
        <v>prevper</v>
      </c>
      <c r="N101" s="19" t="str">
        <f t="shared" si="2"/>
        <v>P</v>
      </c>
      <c r="O101" s="3">
        <f t="shared" si="3"/>
        <v>12</v>
      </c>
    </row>
    <row r="102" spans="1:15" ht="15.75" x14ac:dyDescent="0.25">
      <c r="A102" s="1">
        <v>42728</v>
      </c>
      <c r="B102" s="3" t="s">
        <v>44</v>
      </c>
      <c r="F102" s="1">
        <v>42702</v>
      </c>
      <c r="G102" s="1">
        <v>42729</v>
      </c>
      <c r="H102" t="s">
        <v>16</v>
      </c>
      <c r="I102" t="s">
        <v>14</v>
      </c>
      <c r="J102" t="s">
        <v>12</v>
      </c>
      <c r="L102" s="4" t="s">
        <v>13</v>
      </c>
      <c r="M102" s="32" t="str">
        <f t="shared" si="1"/>
        <v>prevper</v>
      </c>
      <c r="N102" s="19" t="str">
        <f t="shared" si="2"/>
        <v>P</v>
      </c>
      <c r="O102" s="3">
        <f t="shared" si="3"/>
        <v>12</v>
      </c>
    </row>
    <row r="103" spans="1:15" ht="15.75" x14ac:dyDescent="0.25">
      <c r="A103" s="1">
        <v>42729</v>
      </c>
      <c r="B103" s="3" t="s">
        <v>44</v>
      </c>
      <c r="F103" s="1">
        <v>42702</v>
      </c>
      <c r="G103" s="1">
        <v>42729</v>
      </c>
      <c r="H103" t="s">
        <v>16</v>
      </c>
      <c r="I103" t="s">
        <v>14</v>
      </c>
      <c r="J103" t="s">
        <v>12</v>
      </c>
      <c r="L103" s="4" t="s">
        <v>13</v>
      </c>
      <c r="M103" s="32" t="str">
        <f t="shared" si="1"/>
        <v>prevper</v>
      </c>
      <c r="N103" s="19" t="str">
        <f t="shared" si="2"/>
        <v>P</v>
      </c>
      <c r="O103" s="3">
        <f t="shared" si="3"/>
        <v>12</v>
      </c>
    </row>
    <row r="104" spans="1:15" ht="15.75" x14ac:dyDescent="0.25">
      <c r="A104" s="1">
        <v>42730</v>
      </c>
      <c r="B104" s="3" t="s">
        <v>44</v>
      </c>
      <c r="F104" s="1">
        <v>42730</v>
      </c>
      <c r="G104" s="1">
        <v>42757</v>
      </c>
      <c r="H104" t="s">
        <v>70</v>
      </c>
      <c r="I104" t="s">
        <v>17</v>
      </c>
      <c r="J104" t="s">
        <v>17</v>
      </c>
      <c r="L104" s="4" t="s">
        <v>14</v>
      </c>
      <c r="M104" s="32" t="str">
        <f t="shared" si="1"/>
        <v>prevper</v>
      </c>
      <c r="N104" s="19" t="str">
        <f t="shared" si="2"/>
        <v>P</v>
      </c>
      <c r="O104" s="3">
        <f t="shared" si="3"/>
        <v>13</v>
      </c>
    </row>
    <row r="105" spans="1:15" ht="15.75" x14ac:dyDescent="0.25">
      <c r="A105" s="1">
        <v>42731</v>
      </c>
      <c r="B105" s="3" t="s">
        <v>44</v>
      </c>
      <c r="F105" s="1">
        <v>42730</v>
      </c>
      <c r="G105" s="1">
        <v>42757</v>
      </c>
      <c r="H105" t="s">
        <v>70</v>
      </c>
      <c r="I105" t="s">
        <v>17</v>
      </c>
      <c r="J105" t="s">
        <v>17</v>
      </c>
      <c r="L105" s="4" t="s">
        <v>14</v>
      </c>
      <c r="M105" s="32" t="str">
        <f t="shared" si="1"/>
        <v>prevper</v>
      </c>
      <c r="N105" s="19" t="str">
        <f t="shared" si="2"/>
        <v>P</v>
      </c>
      <c r="O105" s="3">
        <f t="shared" si="3"/>
        <v>13</v>
      </c>
    </row>
    <row r="106" spans="1:15" ht="15.75" x14ac:dyDescent="0.25">
      <c r="A106" s="1">
        <v>42732</v>
      </c>
      <c r="B106" s="3" t="s">
        <v>44</v>
      </c>
      <c r="F106" s="1">
        <v>42730</v>
      </c>
      <c r="G106" s="1">
        <v>42757</v>
      </c>
      <c r="H106" t="s">
        <v>70</v>
      </c>
      <c r="I106" t="s">
        <v>17</v>
      </c>
      <c r="J106" t="s">
        <v>17</v>
      </c>
      <c r="L106" s="4" t="s">
        <v>14</v>
      </c>
      <c r="M106" s="32" t="str">
        <f t="shared" si="1"/>
        <v>prevper</v>
      </c>
      <c r="N106" s="19" t="str">
        <f t="shared" si="2"/>
        <v>P</v>
      </c>
      <c r="O106" s="3">
        <f t="shared" si="3"/>
        <v>13</v>
      </c>
    </row>
    <row r="107" spans="1:15" ht="15.75" x14ac:dyDescent="0.25">
      <c r="A107" s="1">
        <v>42733</v>
      </c>
      <c r="B107" s="3" t="s">
        <v>44</v>
      </c>
      <c r="F107" s="1">
        <v>42730</v>
      </c>
      <c r="G107" s="1">
        <v>42757</v>
      </c>
      <c r="H107" t="s">
        <v>70</v>
      </c>
      <c r="I107" t="s">
        <v>17</v>
      </c>
      <c r="J107" t="s">
        <v>17</v>
      </c>
      <c r="L107" s="4" t="s">
        <v>14</v>
      </c>
      <c r="M107" s="32" t="str">
        <f t="shared" si="1"/>
        <v>prevper</v>
      </c>
      <c r="N107" s="19" t="str">
        <f t="shared" si="2"/>
        <v>P</v>
      </c>
      <c r="O107" s="3">
        <f t="shared" si="3"/>
        <v>13</v>
      </c>
    </row>
    <row r="108" spans="1:15" ht="15.75" x14ac:dyDescent="0.25">
      <c r="A108" s="1">
        <v>42734</v>
      </c>
      <c r="B108" s="3" t="s">
        <v>44</v>
      </c>
      <c r="F108" s="1">
        <v>42730</v>
      </c>
      <c r="G108" s="1">
        <v>42757</v>
      </c>
      <c r="H108" t="s">
        <v>70</v>
      </c>
      <c r="I108" t="s">
        <v>17</v>
      </c>
      <c r="J108" t="s">
        <v>17</v>
      </c>
      <c r="L108" s="4" t="s">
        <v>14</v>
      </c>
      <c r="M108" s="32" t="str">
        <f t="shared" si="1"/>
        <v>prevper</v>
      </c>
      <c r="N108" s="19" t="str">
        <f t="shared" si="2"/>
        <v>P</v>
      </c>
      <c r="O108" s="3">
        <f t="shared" si="3"/>
        <v>13</v>
      </c>
    </row>
    <row r="109" spans="1:15" ht="15.75" x14ac:dyDescent="0.25">
      <c r="A109" s="1">
        <v>42735</v>
      </c>
      <c r="B109" s="3" t="s">
        <v>44</v>
      </c>
      <c r="F109" s="1">
        <v>42730</v>
      </c>
      <c r="G109" s="1">
        <v>42757</v>
      </c>
      <c r="H109" t="s">
        <v>70</v>
      </c>
      <c r="I109" t="s">
        <v>17</v>
      </c>
      <c r="J109" t="s">
        <v>17</v>
      </c>
      <c r="L109" s="4" t="s">
        <v>14</v>
      </c>
      <c r="M109" s="32" t="str">
        <f t="shared" si="1"/>
        <v>prevper</v>
      </c>
      <c r="N109" s="19" t="str">
        <f t="shared" si="2"/>
        <v>P</v>
      </c>
      <c r="O109" s="3">
        <f t="shared" si="3"/>
        <v>13</v>
      </c>
    </row>
    <row r="110" spans="1:15" ht="15.75" x14ac:dyDescent="0.25">
      <c r="A110" s="1">
        <v>42736</v>
      </c>
      <c r="B110" s="3" t="s">
        <v>44</v>
      </c>
      <c r="F110" s="1">
        <v>42730</v>
      </c>
      <c r="G110" s="1">
        <v>42757</v>
      </c>
      <c r="H110" t="s">
        <v>70</v>
      </c>
      <c r="I110" t="s">
        <v>17</v>
      </c>
      <c r="J110" t="s">
        <v>17</v>
      </c>
      <c r="L110" s="4" t="s">
        <v>14</v>
      </c>
      <c r="M110" s="32" t="str">
        <f t="shared" si="1"/>
        <v>prevper</v>
      </c>
      <c r="N110" s="19" t="str">
        <f t="shared" si="2"/>
        <v>P</v>
      </c>
      <c r="O110" s="3">
        <f t="shared" si="3"/>
        <v>13</v>
      </c>
    </row>
    <row r="111" spans="1:15" ht="15.75" x14ac:dyDescent="0.25">
      <c r="A111" s="1">
        <v>42737</v>
      </c>
      <c r="B111" s="3" t="s">
        <v>44</v>
      </c>
      <c r="F111" s="1">
        <v>42730</v>
      </c>
      <c r="G111" s="1">
        <v>42757</v>
      </c>
      <c r="H111" t="s">
        <v>70</v>
      </c>
      <c r="I111" t="s">
        <v>17</v>
      </c>
      <c r="J111" t="s">
        <v>17</v>
      </c>
      <c r="L111" s="4" t="s">
        <v>14</v>
      </c>
      <c r="M111" s="32" t="str">
        <f t="shared" si="1"/>
        <v>prevper</v>
      </c>
      <c r="N111" s="19" t="str">
        <f t="shared" si="2"/>
        <v>P</v>
      </c>
      <c r="O111" s="3">
        <f t="shared" si="3"/>
        <v>13</v>
      </c>
    </row>
    <row r="112" spans="1:15" ht="15.75" x14ac:dyDescent="0.25">
      <c r="A112" s="1">
        <v>42738</v>
      </c>
      <c r="B112" s="3" t="s">
        <v>44</v>
      </c>
      <c r="F112" s="1">
        <v>42730</v>
      </c>
      <c r="G112" s="1">
        <v>42757</v>
      </c>
      <c r="H112" t="s">
        <v>70</v>
      </c>
      <c r="I112" t="s">
        <v>17</v>
      </c>
      <c r="J112" t="s">
        <v>17</v>
      </c>
      <c r="L112" s="4" t="s">
        <v>14</v>
      </c>
      <c r="M112" s="32" t="str">
        <f t="shared" si="1"/>
        <v>prevper</v>
      </c>
      <c r="N112" s="19" t="str">
        <f t="shared" si="2"/>
        <v>P</v>
      </c>
      <c r="O112" s="3">
        <f t="shared" si="3"/>
        <v>13</v>
      </c>
    </row>
    <row r="113" spans="1:14" ht="15.75" x14ac:dyDescent="0.25">
      <c r="A113" s="1"/>
      <c r="B113" s="3"/>
      <c r="F113" s="1"/>
      <c r="G113" s="1"/>
      <c r="M113" s="17"/>
      <c r="N113" s="19"/>
    </row>
    <row r="114" spans="1:14" ht="15.75" x14ac:dyDescent="0.25">
      <c r="A114" s="1"/>
      <c r="B114" s="3"/>
      <c r="F114" s="1"/>
      <c r="G114" s="1"/>
      <c r="M114" s="17"/>
      <c r="N114" s="19"/>
    </row>
    <row r="115" spans="1:14" ht="15.75" x14ac:dyDescent="0.25">
      <c r="A115" s="1"/>
      <c r="B115" s="3"/>
      <c r="F115" s="1"/>
      <c r="G115" s="1"/>
      <c r="M115" s="17"/>
      <c r="N115" s="19"/>
    </row>
    <row r="116" spans="1:14" ht="15.75" x14ac:dyDescent="0.25">
      <c r="A116" s="1"/>
      <c r="B116" s="3"/>
      <c r="F116" s="1"/>
      <c r="G116" s="1"/>
      <c r="M116" s="17"/>
      <c r="N116" s="19"/>
    </row>
    <row r="117" spans="1:14" ht="15.75" x14ac:dyDescent="0.25">
      <c r="A117" s="1"/>
      <c r="B117" s="3"/>
      <c r="F117" s="1"/>
      <c r="G117" s="1"/>
      <c r="M117" s="17"/>
      <c r="N117" s="19"/>
    </row>
    <row r="118" spans="1:14" ht="15.75" x14ac:dyDescent="0.25">
      <c r="A118" s="1"/>
      <c r="B118" s="3"/>
      <c r="F118" s="1"/>
      <c r="G118" s="1"/>
      <c r="M118" s="17"/>
      <c r="N118" s="19"/>
    </row>
    <row r="119" spans="1:14" ht="15.75" x14ac:dyDescent="0.25">
      <c r="A119" s="1"/>
      <c r="B119" s="3"/>
      <c r="F119" s="1"/>
      <c r="G119" s="1"/>
      <c r="M119" s="17"/>
      <c r="N119" s="19"/>
    </row>
    <row r="120" spans="1:14" ht="15.75" x14ac:dyDescent="0.25">
      <c r="A120" s="1"/>
      <c r="B120" s="3"/>
      <c r="F120" s="1"/>
      <c r="G120" s="1"/>
      <c r="M120" s="17"/>
      <c r="N120" s="19"/>
    </row>
    <row r="121" spans="1:14" ht="15.75" x14ac:dyDescent="0.25">
      <c r="A121" s="1"/>
      <c r="B121" s="3"/>
      <c r="F121" s="1"/>
      <c r="G121" s="1"/>
      <c r="M121" s="17"/>
      <c r="N121" s="19"/>
    </row>
    <row r="122" spans="1:14" ht="15.75" x14ac:dyDescent="0.25">
      <c r="A122" s="1"/>
      <c r="B122" s="3"/>
      <c r="F122" s="1"/>
      <c r="G122" s="1"/>
      <c r="M122" s="17"/>
      <c r="N122" s="19"/>
    </row>
    <row r="123" spans="1:14" ht="15.75" x14ac:dyDescent="0.25">
      <c r="A123" s="1"/>
      <c r="B123" s="3"/>
      <c r="F123" s="1"/>
      <c r="G123" s="1"/>
      <c r="M123" s="17"/>
      <c r="N123" s="19"/>
    </row>
    <row r="124" spans="1:14" ht="15.75" x14ac:dyDescent="0.25">
      <c r="A124" s="1"/>
      <c r="B124" s="1"/>
      <c r="F124" s="1"/>
      <c r="G124" s="1"/>
      <c r="M124" s="17"/>
      <c r="N124" s="19"/>
    </row>
    <row r="125" spans="1:14" ht="15.75" x14ac:dyDescent="0.25">
      <c r="A125" s="1"/>
      <c r="B125" s="1"/>
      <c r="F125" s="1"/>
      <c r="G125" s="1"/>
      <c r="M125" s="17"/>
      <c r="N125" s="19"/>
    </row>
    <row r="126" spans="1:14" ht="15.75" x14ac:dyDescent="0.25">
      <c r="A126" s="1"/>
      <c r="B126" s="1"/>
      <c r="F126" s="1"/>
      <c r="G126" s="1"/>
      <c r="M126" s="17"/>
      <c r="N126" s="19"/>
    </row>
    <row r="127" spans="1:14" ht="15.75" x14ac:dyDescent="0.25">
      <c r="A127" s="1"/>
      <c r="B127" s="1"/>
      <c r="F127" s="1"/>
      <c r="G127" s="1"/>
      <c r="M127" s="17"/>
      <c r="N127" s="19"/>
    </row>
    <row r="128" spans="1:14" ht="15.75" x14ac:dyDescent="0.25">
      <c r="A128" s="1"/>
      <c r="B128" s="1"/>
      <c r="F128" s="1"/>
      <c r="G128" s="1"/>
      <c r="M128" s="17"/>
      <c r="N128" s="19"/>
    </row>
    <row r="129" spans="1:14" ht="15.75" x14ac:dyDescent="0.25">
      <c r="A129" s="1"/>
      <c r="B129" s="1"/>
      <c r="F129" s="1"/>
      <c r="G129" s="1"/>
      <c r="M129" s="17"/>
      <c r="N129" s="19"/>
    </row>
    <row r="130" spans="1:14" ht="15.75" x14ac:dyDescent="0.25">
      <c r="A130" s="1"/>
      <c r="B130" s="1"/>
      <c r="F130" s="1"/>
      <c r="G130" s="1"/>
      <c r="M130" s="17"/>
      <c r="N130" s="19"/>
    </row>
    <row r="131" spans="1:14" ht="15.75" x14ac:dyDescent="0.25">
      <c r="A131" s="1"/>
      <c r="B131" s="1"/>
      <c r="F131" s="1"/>
      <c r="G131" s="1"/>
      <c r="M131" s="17"/>
      <c r="N131" s="19"/>
    </row>
    <row r="132" spans="1:14" ht="15.75" x14ac:dyDescent="0.25">
      <c r="A132" s="1"/>
      <c r="B132" s="1"/>
      <c r="F132" s="1"/>
      <c r="G132" s="1"/>
      <c r="M132" s="17"/>
      <c r="N132" s="19"/>
    </row>
    <row r="133" spans="1:14" ht="15.75" x14ac:dyDescent="0.25">
      <c r="A133" s="1"/>
      <c r="B133" s="1"/>
      <c r="F133" s="1"/>
      <c r="G133" s="1"/>
      <c r="M133" s="17"/>
      <c r="N133" s="19"/>
    </row>
    <row r="134" spans="1:14" ht="15.75" x14ac:dyDescent="0.25">
      <c r="A134" s="1"/>
      <c r="B134" s="1"/>
      <c r="F134" s="1"/>
      <c r="G134" s="1"/>
      <c r="M134" s="17"/>
      <c r="N134" s="19"/>
    </row>
    <row r="135" spans="1:14" ht="15.75" x14ac:dyDescent="0.25">
      <c r="A135" s="1"/>
      <c r="B135" s="1"/>
      <c r="F135" s="1"/>
      <c r="G135" s="1"/>
      <c r="M135" s="17"/>
      <c r="N135" s="19"/>
    </row>
    <row r="136" spans="1:14" ht="15.75" x14ac:dyDescent="0.25">
      <c r="A136" s="1"/>
      <c r="B136" s="1"/>
      <c r="F136" s="1"/>
      <c r="G136" s="1"/>
      <c r="M136" s="17"/>
      <c r="N136" s="19"/>
    </row>
    <row r="137" spans="1:14" ht="15.75" x14ac:dyDescent="0.25">
      <c r="A137" s="1"/>
      <c r="B137" s="1"/>
      <c r="F137" s="1"/>
      <c r="G137" s="1"/>
      <c r="M137" s="17"/>
      <c r="N137" s="19"/>
    </row>
    <row r="138" spans="1:14" ht="15.75" x14ac:dyDescent="0.25">
      <c r="A138" s="1"/>
      <c r="B138" s="1"/>
      <c r="F138" s="1"/>
      <c r="G138" s="1"/>
      <c r="M138" s="17"/>
      <c r="N138" s="19"/>
    </row>
    <row r="139" spans="1:14" ht="15.75" x14ac:dyDescent="0.25">
      <c r="A139" s="1"/>
      <c r="B139" s="1"/>
      <c r="F139" s="1"/>
      <c r="G139" s="1"/>
      <c r="M139" s="17"/>
      <c r="N139" s="19"/>
    </row>
    <row r="140" spans="1:14" ht="15.75" x14ac:dyDescent="0.25">
      <c r="A140" s="1"/>
      <c r="B140" s="1"/>
      <c r="F140" s="1"/>
      <c r="G140" s="1"/>
      <c r="M140" s="17"/>
      <c r="N140" s="19"/>
    </row>
    <row r="141" spans="1:14" ht="15.75" x14ac:dyDescent="0.25">
      <c r="A141" s="1"/>
      <c r="B141" s="1"/>
      <c r="F141" s="1"/>
      <c r="G141" s="1"/>
      <c r="M141" s="17"/>
      <c r="N141" s="19"/>
    </row>
    <row r="142" spans="1:14" ht="15.75" x14ac:dyDescent="0.25">
      <c r="A142" s="1"/>
      <c r="B142" s="1"/>
      <c r="F142" s="1"/>
      <c r="G142" s="1"/>
      <c r="M142" s="17"/>
      <c r="N142" s="19"/>
    </row>
    <row r="143" spans="1:14" ht="15.75" x14ac:dyDescent="0.25">
      <c r="A143" s="1"/>
      <c r="B143" s="1"/>
      <c r="F143" s="1"/>
      <c r="G143" s="1"/>
      <c r="M143" s="17"/>
      <c r="N143" s="19"/>
    </row>
    <row r="144" spans="1:14" ht="15.75" x14ac:dyDescent="0.25">
      <c r="A144" s="1"/>
      <c r="B144" s="1"/>
      <c r="F144" s="1"/>
      <c r="G144" s="1"/>
      <c r="M144" s="17"/>
      <c r="N144" s="19"/>
    </row>
    <row r="145" spans="1:14" ht="15.75" x14ac:dyDescent="0.25">
      <c r="A145" s="1"/>
      <c r="B145" s="1"/>
      <c r="F145" s="1"/>
      <c r="G145" s="1"/>
      <c r="M145" s="17"/>
      <c r="N145" s="19"/>
    </row>
    <row r="146" spans="1:14" ht="15.75" x14ac:dyDescent="0.25">
      <c r="A146" s="1"/>
      <c r="B146" s="1"/>
      <c r="F146" s="1"/>
      <c r="G146" s="1"/>
      <c r="M146" s="17"/>
      <c r="N146" s="19"/>
    </row>
    <row r="147" spans="1:14" ht="15.75" x14ac:dyDescent="0.25">
      <c r="A147" s="1"/>
      <c r="B147" s="1"/>
      <c r="F147" s="1"/>
      <c r="G147" s="1"/>
      <c r="M147" s="17"/>
      <c r="N147" s="19"/>
    </row>
    <row r="148" spans="1:14" ht="15.75" x14ac:dyDescent="0.25">
      <c r="A148" s="1"/>
      <c r="B148" s="1"/>
      <c r="F148" s="1"/>
      <c r="G148" s="1"/>
      <c r="M148" s="17"/>
      <c r="N148" s="19"/>
    </row>
    <row r="149" spans="1:14" ht="15.75" x14ac:dyDescent="0.25">
      <c r="A149" s="1"/>
      <c r="B149" s="1"/>
      <c r="F149" s="1"/>
      <c r="G149" s="1"/>
      <c r="M149" s="17"/>
      <c r="N149" s="19"/>
    </row>
    <row r="150" spans="1:14" ht="15.75" x14ac:dyDescent="0.25">
      <c r="A150" s="1"/>
      <c r="B150" s="1"/>
      <c r="F150" s="1"/>
      <c r="G150" s="1"/>
      <c r="M150" s="17"/>
      <c r="N150" s="19"/>
    </row>
    <row r="151" spans="1:14" ht="15.75" x14ac:dyDescent="0.25">
      <c r="A151" s="1"/>
      <c r="B151" s="1"/>
      <c r="F151" s="1"/>
      <c r="G151" s="1"/>
      <c r="M151" s="17"/>
      <c r="N151" s="19"/>
    </row>
    <row r="152" spans="1:14" ht="15.75" x14ac:dyDescent="0.25">
      <c r="A152" s="1"/>
      <c r="B152" s="1"/>
      <c r="F152" s="1"/>
      <c r="G152" s="1"/>
      <c r="M152" s="17"/>
      <c r="N152" s="19"/>
    </row>
    <row r="153" spans="1:14" ht="15.75" x14ac:dyDescent="0.25">
      <c r="A153" s="1"/>
      <c r="B153" s="1"/>
      <c r="F153" s="1"/>
      <c r="G153" s="1"/>
      <c r="M153" s="17"/>
      <c r="N153" s="19"/>
    </row>
    <row r="154" spans="1:14" ht="15.75" x14ac:dyDescent="0.25">
      <c r="A154" s="1"/>
      <c r="B154" s="1"/>
      <c r="F154" s="1"/>
      <c r="G154" s="1"/>
      <c r="M154" s="17"/>
      <c r="N154" s="19"/>
    </row>
    <row r="155" spans="1:14" ht="15.75" x14ac:dyDescent="0.25">
      <c r="A155" s="1"/>
      <c r="B155" s="1"/>
      <c r="F155" s="1"/>
      <c r="G155" s="1"/>
      <c r="M155" s="17"/>
      <c r="N155" s="19"/>
    </row>
    <row r="156" spans="1:14" ht="15.75" x14ac:dyDescent="0.25">
      <c r="A156" s="1"/>
      <c r="B156" s="1"/>
      <c r="F156" s="1"/>
      <c r="G156" s="1"/>
      <c r="M156" s="17"/>
      <c r="N156" s="19"/>
    </row>
    <row r="157" spans="1:14" ht="15.75" x14ac:dyDescent="0.25">
      <c r="A157" s="1"/>
      <c r="B157" s="1"/>
      <c r="F157" s="1"/>
      <c r="G157" s="1"/>
      <c r="M157" s="17"/>
      <c r="N157" s="19"/>
    </row>
    <row r="158" spans="1:14" ht="15.75" x14ac:dyDescent="0.25">
      <c r="A158" s="1"/>
      <c r="B158" s="1"/>
      <c r="F158" s="1"/>
      <c r="G158" s="1"/>
      <c r="M158" s="17"/>
      <c r="N158" s="19"/>
    </row>
    <row r="159" spans="1:14" ht="15.75" x14ac:dyDescent="0.25">
      <c r="A159" s="1"/>
      <c r="B159" s="1"/>
      <c r="F159" s="1"/>
      <c r="G159" s="1"/>
      <c r="M159" s="17"/>
      <c r="N159" s="19"/>
    </row>
    <row r="160" spans="1:14" ht="15.75" x14ac:dyDescent="0.25">
      <c r="A160" s="1"/>
      <c r="B160" s="1"/>
      <c r="F160" s="1"/>
      <c r="G160" s="1"/>
      <c r="M160" s="17"/>
      <c r="N160" s="19"/>
    </row>
    <row r="161" spans="1:14" ht="15.75" x14ac:dyDescent="0.25">
      <c r="A161" s="1"/>
      <c r="B161" s="1"/>
      <c r="F161" s="1"/>
      <c r="G161" s="1"/>
      <c r="M161" s="17"/>
      <c r="N161" s="19"/>
    </row>
    <row r="162" spans="1:14" ht="15.75" x14ac:dyDescent="0.25">
      <c r="A162" s="1"/>
      <c r="B162" s="1"/>
      <c r="F162" s="1"/>
      <c r="G162" s="1"/>
      <c r="M162" s="17"/>
      <c r="N162" s="19"/>
    </row>
    <row r="163" spans="1:14" ht="15.75" x14ac:dyDescent="0.25">
      <c r="A163" s="1"/>
      <c r="B163" s="1"/>
      <c r="F163" s="1"/>
      <c r="G163" s="1"/>
      <c r="M163" s="17"/>
      <c r="N163" s="19"/>
    </row>
    <row r="164" spans="1:14" ht="15.75" x14ac:dyDescent="0.25">
      <c r="A164" s="1"/>
      <c r="B164" s="1"/>
      <c r="F164" s="1"/>
      <c r="G164" s="1"/>
      <c r="M164" s="17"/>
      <c r="N164" s="19"/>
    </row>
    <row r="165" spans="1:14" ht="15.75" x14ac:dyDescent="0.25">
      <c r="A165" s="1"/>
      <c r="B165" s="1"/>
      <c r="F165" s="1"/>
      <c r="G165" s="1"/>
      <c r="M165" s="17"/>
      <c r="N165" s="19"/>
    </row>
    <row r="166" spans="1:14" ht="15.75" x14ac:dyDescent="0.25">
      <c r="A166" s="1"/>
      <c r="B166" s="1"/>
      <c r="F166" s="1"/>
      <c r="G166" s="1"/>
      <c r="M166" s="17"/>
      <c r="N166" s="19"/>
    </row>
    <row r="167" spans="1:14" ht="15.75" x14ac:dyDescent="0.25">
      <c r="A167" s="1"/>
      <c r="B167" s="1"/>
      <c r="F167" s="1"/>
      <c r="G167" s="1"/>
      <c r="M167" s="17"/>
      <c r="N167" s="19"/>
    </row>
    <row r="168" spans="1:14" ht="15.75" x14ac:dyDescent="0.25">
      <c r="A168" s="1"/>
      <c r="B168" s="1"/>
      <c r="F168" s="1"/>
      <c r="G168" s="1"/>
      <c r="M168" s="17"/>
      <c r="N168" s="19"/>
    </row>
    <row r="169" spans="1:14" ht="15.75" x14ac:dyDescent="0.25">
      <c r="A169" s="1"/>
      <c r="B169" s="1"/>
      <c r="F169" s="1"/>
      <c r="G169" s="1"/>
      <c r="M169" s="17"/>
      <c r="N169" s="19"/>
    </row>
    <row r="170" spans="1:14" ht="15.75" x14ac:dyDescent="0.25">
      <c r="A170" s="1"/>
      <c r="B170" s="1"/>
      <c r="F170" s="1"/>
      <c r="G170" s="1"/>
      <c r="M170" s="17"/>
      <c r="N170" s="19"/>
    </row>
    <row r="171" spans="1:14" ht="15.75" x14ac:dyDescent="0.25">
      <c r="A171" s="1"/>
      <c r="B171" s="1"/>
      <c r="F171" s="1"/>
      <c r="G171" s="1"/>
      <c r="M171" s="17"/>
      <c r="N171" s="19"/>
    </row>
    <row r="172" spans="1:14" ht="15.75" x14ac:dyDescent="0.25">
      <c r="A172" s="1"/>
      <c r="B172" s="1"/>
      <c r="F172" s="1"/>
      <c r="G172" s="1"/>
      <c r="M172" s="17"/>
      <c r="N172" s="19"/>
    </row>
    <row r="173" spans="1:14" ht="15.75" x14ac:dyDescent="0.25">
      <c r="A173" s="1"/>
      <c r="B173" s="1"/>
      <c r="F173" s="1"/>
      <c r="G173" s="1"/>
      <c r="M173" s="17"/>
      <c r="N173" s="19"/>
    </row>
    <row r="174" spans="1:14" ht="15.75" x14ac:dyDescent="0.25">
      <c r="A174" s="1"/>
      <c r="B174" s="1"/>
      <c r="F174" s="1"/>
      <c r="G174" s="1"/>
      <c r="M174" s="17"/>
      <c r="N174" s="19"/>
    </row>
    <row r="175" spans="1:14" ht="15.75" x14ac:dyDescent="0.25">
      <c r="A175" s="1"/>
      <c r="B175" s="1"/>
      <c r="F175" s="1"/>
      <c r="G175" s="1"/>
      <c r="M175" s="17"/>
      <c r="N175" s="19"/>
    </row>
    <row r="176" spans="1:14" ht="15.75" x14ac:dyDescent="0.25">
      <c r="A176" s="1"/>
      <c r="B176" s="1"/>
      <c r="F176" s="1"/>
      <c r="G176" s="1"/>
      <c r="M176" s="17"/>
      <c r="N176" s="19"/>
    </row>
    <row r="177" spans="1:14" ht="15.75" x14ac:dyDescent="0.25">
      <c r="A177" s="1"/>
      <c r="B177" s="1"/>
      <c r="F177" s="1"/>
      <c r="G177" s="1"/>
      <c r="M177" s="17"/>
      <c r="N177" s="19"/>
    </row>
    <row r="178" spans="1:14" ht="15.75" x14ac:dyDescent="0.25">
      <c r="A178" s="1"/>
      <c r="B178" s="1"/>
      <c r="F178" s="1"/>
      <c r="G178" s="1"/>
      <c r="M178" s="17"/>
      <c r="N178" s="19"/>
    </row>
    <row r="179" spans="1:14" ht="15.75" x14ac:dyDescent="0.25">
      <c r="A179" s="1"/>
      <c r="B179" s="1"/>
      <c r="F179" s="1"/>
      <c r="G179" s="1"/>
      <c r="M179" s="17"/>
      <c r="N179" s="19"/>
    </row>
    <row r="180" spans="1:14" ht="15.75" x14ac:dyDescent="0.25">
      <c r="A180" s="1"/>
      <c r="B180" s="1"/>
      <c r="F180" s="1"/>
      <c r="G180" s="1"/>
      <c r="M180" s="17"/>
      <c r="N180" s="19"/>
    </row>
    <row r="181" spans="1:14" ht="15.75" x14ac:dyDescent="0.25">
      <c r="A181" s="1"/>
      <c r="B181" s="1"/>
      <c r="F181" s="1"/>
      <c r="G181" s="1"/>
      <c r="M181" s="17"/>
      <c r="N181" s="19"/>
    </row>
    <row r="182" spans="1:14" ht="15.75" x14ac:dyDescent="0.25">
      <c r="A182" s="1"/>
      <c r="B182" s="1"/>
      <c r="F182" s="1"/>
      <c r="G182" s="1"/>
      <c r="M182" s="17"/>
      <c r="N182" s="19"/>
    </row>
    <row r="183" spans="1:14" ht="15.75" x14ac:dyDescent="0.25">
      <c r="A183" s="1"/>
      <c r="B183" s="1"/>
      <c r="F183" s="1"/>
      <c r="G183" s="1"/>
      <c r="M183" s="17"/>
      <c r="N183" s="19"/>
    </row>
    <row r="184" spans="1:14" ht="15.75" x14ac:dyDescent="0.25">
      <c r="A184" s="1"/>
      <c r="B184" s="1"/>
      <c r="F184" s="1"/>
      <c r="G184" s="1"/>
      <c r="M184" s="17"/>
      <c r="N184" s="19"/>
    </row>
    <row r="185" spans="1:14" ht="15.75" x14ac:dyDescent="0.25">
      <c r="A185" s="1"/>
      <c r="B185" s="1"/>
      <c r="F185" s="1"/>
      <c r="G185" s="1"/>
      <c r="M185" s="17"/>
      <c r="N185" s="19"/>
    </row>
    <row r="186" spans="1:14" ht="15.75" x14ac:dyDescent="0.25">
      <c r="A186" s="1"/>
      <c r="B186" s="1"/>
      <c r="F186" s="1"/>
      <c r="G186" s="1"/>
      <c r="M186" s="17"/>
      <c r="N186" s="19"/>
    </row>
    <row r="187" spans="1:14" ht="15.75" x14ac:dyDescent="0.25">
      <c r="A187" s="1"/>
      <c r="B187" s="1"/>
      <c r="F187" s="1"/>
      <c r="G187" s="1"/>
      <c r="M187" s="17"/>
      <c r="N187" s="19"/>
    </row>
    <row r="188" spans="1:14" ht="15.75" x14ac:dyDescent="0.25">
      <c r="A188" s="1"/>
      <c r="B188" s="1"/>
      <c r="F188" s="1"/>
      <c r="G188" s="1"/>
      <c r="M188" s="17"/>
      <c r="N188" s="19"/>
    </row>
    <row r="189" spans="1:14" ht="15.75" x14ac:dyDescent="0.25">
      <c r="A189" s="1"/>
      <c r="B189" s="1"/>
      <c r="F189" s="1"/>
      <c r="G189" s="1"/>
      <c r="M189" s="17"/>
      <c r="N189" s="19"/>
    </row>
    <row r="190" spans="1:14" ht="15.75" x14ac:dyDescent="0.25">
      <c r="A190" s="1"/>
      <c r="B190" s="1"/>
      <c r="F190" s="1"/>
      <c r="G190" s="1"/>
      <c r="M190" s="17"/>
      <c r="N190" s="19"/>
    </row>
    <row r="191" spans="1:14" ht="15.75" x14ac:dyDescent="0.25">
      <c r="A191" s="1"/>
      <c r="B191" s="1"/>
      <c r="F191" s="1"/>
      <c r="G191" s="1"/>
      <c r="M191" s="17"/>
      <c r="N191" s="19"/>
    </row>
    <row r="192" spans="1:14" ht="15.75" x14ac:dyDescent="0.25">
      <c r="A192" s="1"/>
      <c r="B192" s="1"/>
      <c r="F192" s="1"/>
      <c r="G192" s="1"/>
      <c r="M192" s="17"/>
      <c r="N192" s="19"/>
    </row>
    <row r="193" spans="1:14" ht="15.75" x14ac:dyDescent="0.25">
      <c r="A193" s="1"/>
      <c r="B193" s="1"/>
      <c r="F193" s="1"/>
      <c r="G193" s="1"/>
      <c r="M193" s="17"/>
      <c r="N193" s="19"/>
    </row>
    <row r="194" spans="1:14" ht="15.75" x14ac:dyDescent="0.25">
      <c r="A194" s="1"/>
      <c r="B194" s="1"/>
      <c r="F194" s="1"/>
      <c r="G194" s="1"/>
      <c r="M194" s="17"/>
      <c r="N194" s="19"/>
    </row>
    <row r="195" spans="1:14" ht="15.75" x14ac:dyDescent="0.25">
      <c r="A195" s="1"/>
      <c r="B195" s="1"/>
      <c r="F195" s="1"/>
      <c r="G195" s="1"/>
      <c r="M195" s="17"/>
      <c r="N195" s="19"/>
    </row>
    <row r="196" spans="1:14" ht="15.75" x14ac:dyDescent="0.25">
      <c r="A196" s="1"/>
      <c r="B196" s="1"/>
      <c r="F196" s="1"/>
      <c r="G196" s="1"/>
      <c r="M196" s="17"/>
      <c r="N196" s="19"/>
    </row>
    <row r="197" spans="1:14" ht="15.75" x14ac:dyDescent="0.25">
      <c r="A197" s="1"/>
      <c r="B197" s="1"/>
      <c r="F197" s="1"/>
      <c r="G197" s="1"/>
      <c r="M197" s="17"/>
      <c r="N197" s="19"/>
    </row>
    <row r="198" spans="1:14" ht="15.75" x14ac:dyDescent="0.25">
      <c r="A198" s="1"/>
      <c r="B198" s="1"/>
      <c r="F198" s="1"/>
      <c r="G198" s="1"/>
      <c r="M198" s="17"/>
      <c r="N198" s="19"/>
    </row>
    <row r="199" spans="1:14" ht="15.75" x14ac:dyDescent="0.25">
      <c r="A199" s="1"/>
      <c r="B199" s="1"/>
      <c r="F199" s="1"/>
      <c r="G199" s="1"/>
      <c r="M199" s="17"/>
      <c r="N199" s="19"/>
    </row>
    <row r="200" spans="1:14" ht="15.75" x14ac:dyDescent="0.25">
      <c r="A200" s="1"/>
      <c r="B200" s="1"/>
      <c r="F200" s="1"/>
      <c r="G200" s="1"/>
      <c r="M200" s="17"/>
      <c r="N200" s="19"/>
    </row>
    <row r="201" spans="1:14" ht="15.75" x14ac:dyDescent="0.25">
      <c r="A201" s="1"/>
      <c r="B201" s="1"/>
      <c r="F201" s="1"/>
      <c r="G201" s="1"/>
      <c r="M201" s="17"/>
      <c r="N201" s="19"/>
    </row>
    <row r="202" spans="1:14" ht="15.75" x14ac:dyDescent="0.25">
      <c r="A202" s="1"/>
      <c r="B202" s="1"/>
      <c r="F202" s="1"/>
      <c r="G202" s="1"/>
      <c r="M202" s="17"/>
      <c r="N202" s="19"/>
    </row>
    <row r="203" spans="1:14" ht="15.75" x14ac:dyDescent="0.25">
      <c r="A203" s="1"/>
      <c r="B203" s="1"/>
      <c r="F203" s="1"/>
      <c r="G203" s="1"/>
      <c r="M203" s="17"/>
      <c r="N203" s="19"/>
    </row>
    <row r="204" spans="1:14" ht="15.75" x14ac:dyDescent="0.25">
      <c r="A204" s="1"/>
      <c r="B204" s="1"/>
      <c r="F204" s="1"/>
      <c r="G204" s="1"/>
      <c r="M204" s="17"/>
      <c r="N204" s="19"/>
    </row>
    <row r="205" spans="1:14" ht="15.75" x14ac:dyDescent="0.25">
      <c r="A205" s="1"/>
      <c r="B205" s="1"/>
      <c r="F205" s="1"/>
      <c r="G205" s="1"/>
      <c r="M205" s="17"/>
      <c r="N205" s="19"/>
    </row>
    <row r="206" spans="1:14" ht="15.75" x14ac:dyDescent="0.25">
      <c r="A206" s="1"/>
      <c r="B206" s="1"/>
      <c r="F206" s="1"/>
      <c r="G206" s="1"/>
      <c r="M206" s="17"/>
      <c r="N206" s="19"/>
    </row>
    <row r="207" spans="1:14" ht="15.75" x14ac:dyDescent="0.25">
      <c r="A207" s="1"/>
      <c r="B207" s="1"/>
      <c r="F207" s="1"/>
      <c r="G207" s="1"/>
      <c r="M207" s="17"/>
      <c r="N207" s="19"/>
    </row>
    <row r="208" spans="1:14" ht="15.75" x14ac:dyDescent="0.25">
      <c r="A208" s="1"/>
      <c r="B208" s="1"/>
      <c r="F208" s="1"/>
      <c r="G208" s="1"/>
      <c r="M208" s="17"/>
      <c r="N208" s="19"/>
    </row>
    <row r="209" spans="1:14" ht="15.75" x14ac:dyDescent="0.25">
      <c r="A209" s="1"/>
      <c r="B209" s="1"/>
      <c r="F209" s="1"/>
      <c r="G209" s="1"/>
      <c r="M209" s="17"/>
      <c r="N209" s="19"/>
    </row>
    <row r="210" spans="1:14" ht="15.75" x14ac:dyDescent="0.25">
      <c r="A210" s="1"/>
      <c r="B210" s="1"/>
      <c r="F210" s="1"/>
      <c r="G210" s="1"/>
      <c r="M210" s="17"/>
      <c r="N210" s="19"/>
    </row>
    <row r="211" spans="1:14" ht="15.75" x14ac:dyDescent="0.25">
      <c r="A211" s="1"/>
      <c r="B211" s="1"/>
      <c r="F211" s="1"/>
      <c r="G211" s="1"/>
      <c r="M211" s="17"/>
      <c r="N211" s="19"/>
    </row>
    <row r="212" spans="1:14" ht="15.75" x14ac:dyDescent="0.25">
      <c r="A212" s="1"/>
      <c r="B212" s="1"/>
      <c r="F212" s="1"/>
      <c r="G212" s="1"/>
      <c r="M212" s="17"/>
      <c r="N212" s="19"/>
    </row>
    <row r="213" spans="1:14" ht="15.75" x14ac:dyDescent="0.25">
      <c r="A213" s="1"/>
      <c r="B213" s="1"/>
      <c r="F213" s="1"/>
      <c r="G213" s="1"/>
      <c r="M213" s="17"/>
      <c r="N213" s="19"/>
    </row>
    <row r="214" spans="1:14" ht="15.75" x14ac:dyDescent="0.25">
      <c r="A214" s="1"/>
      <c r="B214" s="1"/>
      <c r="F214" s="1"/>
      <c r="G214" s="1"/>
      <c r="M214" s="17"/>
      <c r="N214" s="19"/>
    </row>
    <row r="215" spans="1:14" ht="15.75" x14ac:dyDescent="0.25">
      <c r="A215" s="1"/>
      <c r="B215" s="1"/>
      <c r="F215" s="1"/>
      <c r="G215" s="1"/>
      <c r="M215" s="17"/>
      <c r="N215" s="19"/>
    </row>
    <row r="216" spans="1:14" ht="15.75" x14ac:dyDescent="0.25">
      <c r="A216" s="1"/>
      <c r="B216" s="1"/>
      <c r="F216" s="1"/>
      <c r="G216" s="1"/>
      <c r="M216" s="17"/>
      <c r="N216" s="19"/>
    </row>
    <row r="217" spans="1:14" ht="15.75" x14ac:dyDescent="0.25">
      <c r="A217" s="1"/>
      <c r="B217" s="1"/>
      <c r="F217" s="1"/>
      <c r="G217" s="1"/>
      <c r="M217" s="17"/>
      <c r="N217" s="19"/>
    </row>
    <row r="218" spans="1:14" ht="15.75" x14ac:dyDescent="0.25">
      <c r="A218" s="1"/>
      <c r="B218" s="1"/>
      <c r="F218" s="1"/>
      <c r="G218" s="1"/>
      <c r="M218" s="17"/>
      <c r="N218" s="19"/>
    </row>
    <row r="219" spans="1:14" ht="15.75" x14ac:dyDescent="0.25">
      <c r="A219" s="1"/>
      <c r="B219" s="1"/>
      <c r="F219" s="1"/>
      <c r="G219" s="1"/>
      <c r="M219" s="17"/>
      <c r="N219" s="19"/>
    </row>
    <row r="220" spans="1:14" ht="15.75" x14ac:dyDescent="0.25">
      <c r="A220" s="1"/>
      <c r="B220" s="1"/>
      <c r="F220" s="1"/>
      <c r="G220" s="1"/>
      <c r="M220" s="17"/>
      <c r="N220" s="19"/>
    </row>
    <row r="221" spans="1:14" ht="15.75" x14ac:dyDescent="0.25">
      <c r="A221" s="1"/>
      <c r="B221" s="1"/>
      <c r="F221" s="1"/>
      <c r="G221" s="1"/>
      <c r="M221" s="17"/>
      <c r="N221" s="19"/>
    </row>
    <row r="222" spans="1:14" ht="15.75" x14ac:dyDescent="0.25">
      <c r="A222" s="1"/>
      <c r="B222" s="1"/>
      <c r="F222" s="1"/>
      <c r="G222" s="1"/>
      <c r="M222" s="17"/>
      <c r="N222" s="19"/>
    </row>
    <row r="223" spans="1:14" ht="15.75" x14ac:dyDescent="0.25">
      <c r="A223" s="1"/>
      <c r="B223" s="1"/>
      <c r="F223" s="1"/>
      <c r="G223" s="1"/>
      <c r="M223" s="17"/>
      <c r="N223" s="19"/>
    </row>
    <row r="224" spans="1:14" ht="15.75" x14ac:dyDescent="0.25">
      <c r="A224" s="1"/>
      <c r="B224" s="1"/>
      <c r="F224" s="1"/>
      <c r="G224" s="1"/>
      <c r="M224" s="17"/>
      <c r="N224" s="19"/>
    </row>
    <row r="225" spans="1:14" ht="15.75" x14ac:dyDescent="0.25">
      <c r="A225" s="1"/>
      <c r="B225" s="1"/>
      <c r="F225" s="1"/>
      <c r="G225" s="1"/>
      <c r="M225" s="17"/>
      <c r="N225" s="19"/>
    </row>
    <row r="226" spans="1:14" ht="15.75" x14ac:dyDescent="0.25">
      <c r="A226" s="1"/>
      <c r="B226" s="1"/>
      <c r="F226" s="1"/>
      <c r="G226" s="1"/>
      <c r="M226" s="17"/>
      <c r="N226" s="19"/>
    </row>
    <row r="227" spans="1:14" ht="15.75" x14ac:dyDescent="0.25">
      <c r="A227" s="1"/>
      <c r="B227" s="1"/>
      <c r="F227" s="1"/>
      <c r="G227" s="1"/>
      <c r="M227" s="17"/>
      <c r="N227" s="19"/>
    </row>
    <row r="228" spans="1:14" ht="15.75" x14ac:dyDescent="0.25">
      <c r="A228" s="1"/>
      <c r="B228" s="1"/>
      <c r="F228" s="1"/>
      <c r="G228" s="1"/>
      <c r="M228" s="17"/>
      <c r="N228" s="19"/>
    </row>
    <row r="229" spans="1:14" ht="15.75" x14ac:dyDescent="0.25">
      <c r="A229" s="1"/>
      <c r="B229" s="1"/>
      <c r="F229" s="1"/>
      <c r="G229" s="1"/>
      <c r="M229" s="17"/>
      <c r="N229" s="19"/>
    </row>
    <row r="230" spans="1:14" ht="15.75" x14ac:dyDescent="0.25">
      <c r="A230" s="1"/>
      <c r="B230" s="1"/>
      <c r="F230" s="1"/>
      <c r="G230" s="1"/>
      <c r="M230" s="17"/>
      <c r="N230" s="19"/>
    </row>
    <row r="231" spans="1:14" ht="15.75" x14ac:dyDescent="0.25">
      <c r="A231" s="1"/>
      <c r="B231" s="1"/>
      <c r="F231" s="1"/>
      <c r="G231" s="1"/>
      <c r="M231" s="17"/>
      <c r="N231" s="19"/>
    </row>
    <row r="232" spans="1:14" ht="15.75" x14ac:dyDescent="0.25">
      <c r="A232" s="1"/>
      <c r="B232" s="1"/>
      <c r="F232" s="1"/>
      <c r="G232" s="1"/>
      <c r="M232" s="17"/>
      <c r="N232" s="19"/>
    </row>
    <row r="233" spans="1:14" ht="15.75" x14ac:dyDescent="0.25">
      <c r="A233" s="1"/>
      <c r="B233" s="1"/>
      <c r="F233" s="1"/>
      <c r="G233" s="1"/>
      <c r="M233" s="17"/>
      <c r="N233" s="19"/>
    </row>
    <row r="234" spans="1:14" ht="15.75" x14ac:dyDescent="0.25">
      <c r="A234" s="1"/>
      <c r="B234" s="1"/>
      <c r="F234" s="1"/>
      <c r="G234" s="1"/>
      <c r="M234" s="17"/>
      <c r="N234" s="19"/>
    </row>
    <row r="235" spans="1:14" ht="15.75" x14ac:dyDescent="0.25">
      <c r="A235" s="1"/>
      <c r="B235" s="1"/>
      <c r="F235" s="1"/>
      <c r="G235" s="1"/>
      <c r="M235" s="17"/>
      <c r="N235" s="19"/>
    </row>
    <row r="236" spans="1:14" ht="15.75" x14ac:dyDescent="0.25">
      <c r="A236" s="1"/>
      <c r="B236" s="1"/>
      <c r="F236" s="1"/>
      <c r="G236" s="1"/>
      <c r="M236" s="17"/>
      <c r="N236" s="19"/>
    </row>
    <row r="237" spans="1:14" ht="15.75" x14ac:dyDescent="0.25">
      <c r="A237" s="1"/>
      <c r="B237" s="1"/>
      <c r="F237" s="1"/>
      <c r="G237" s="1"/>
      <c r="M237" s="17"/>
      <c r="N237" s="19"/>
    </row>
    <row r="238" spans="1:14" ht="15.75" x14ac:dyDescent="0.25">
      <c r="A238" s="1"/>
      <c r="B238" s="1"/>
      <c r="F238" s="1"/>
      <c r="G238" s="1"/>
      <c r="M238" s="17"/>
      <c r="N238" s="19"/>
    </row>
    <row r="239" spans="1:14" ht="15.75" x14ac:dyDescent="0.25">
      <c r="A239" s="1"/>
      <c r="B239" s="1"/>
      <c r="F239" s="1"/>
      <c r="G239" s="1"/>
      <c r="M239" s="17"/>
      <c r="N239" s="19"/>
    </row>
    <row r="240" spans="1:14" ht="15.75" x14ac:dyDescent="0.25">
      <c r="A240" s="1"/>
      <c r="B240" s="1"/>
      <c r="F240" s="1"/>
      <c r="G240" s="1"/>
      <c r="M240" s="17"/>
      <c r="N240" s="19"/>
    </row>
    <row r="241" spans="1:14" ht="15.75" x14ac:dyDescent="0.25">
      <c r="A241" s="1"/>
      <c r="B241" s="1"/>
      <c r="F241" s="1"/>
      <c r="G241" s="1"/>
      <c r="M241" s="17"/>
      <c r="N241" s="19"/>
    </row>
    <row r="242" spans="1:14" ht="15.75" x14ac:dyDescent="0.25">
      <c r="A242" s="1"/>
      <c r="B242" s="1"/>
      <c r="F242" s="1"/>
      <c r="G242" s="1"/>
      <c r="M242" s="17"/>
      <c r="N242" s="19"/>
    </row>
    <row r="243" spans="1:14" ht="15.75" x14ac:dyDescent="0.25">
      <c r="A243" s="1"/>
      <c r="B243" s="1"/>
      <c r="F243" s="1"/>
      <c r="G243" s="1"/>
      <c r="M243" s="17"/>
      <c r="N243" s="19"/>
    </row>
    <row r="244" spans="1:14" ht="15.75" x14ac:dyDescent="0.25">
      <c r="A244" s="1"/>
      <c r="B244" s="1"/>
      <c r="F244" s="1"/>
      <c r="G244" s="1"/>
      <c r="M244" s="17"/>
      <c r="N244" s="19"/>
    </row>
    <row r="245" spans="1:14" ht="15.75" x14ac:dyDescent="0.25">
      <c r="A245" s="1"/>
      <c r="B245" s="1"/>
      <c r="F245" s="1"/>
      <c r="G245" s="1"/>
      <c r="M245" s="17"/>
      <c r="N245" s="19"/>
    </row>
    <row r="246" spans="1:14" ht="15.75" x14ac:dyDescent="0.25">
      <c r="A246" s="1"/>
      <c r="B246" s="1"/>
      <c r="F246" s="1"/>
      <c r="G246" s="1"/>
      <c r="M246" s="17"/>
      <c r="N246" s="19"/>
    </row>
    <row r="247" spans="1:14" ht="15.75" x14ac:dyDescent="0.25">
      <c r="A247" s="1"/>
      <c r="B247" s="1"/>
      <c r="F247" s="1"/>
      <c r="G247" s="1"/>
      <c r="M247" s="17"/>
      <c r="N247" s="19"/>
    </row>
    <row r="248" spans="1:14" ht="15.75" x14ac:dyDescent="0.25">
      <c r="A248" s="1"/>
      <c r="B248" s="1"/>
      <c r="F248" s="1"/>
      <c r="G248" s="1"/>
      <c r="M248" s="17"/>
      <c r="N248" s="19"/>
    </row>
    <row r="249" spans="1:14" ht="15.75" x14ac:dyDescent="0.25">
      <c r="A249" s="1"/>
      <c r="B249" s="1"/>
      <c r="F249" s="1"/>
      <c r="G249" s="1"/>
      <c r="M249" s="17"/>
      <c r="N249" s="19"/>
    </row>
    <row r="250" spans="1:14" ht="15.75" x14ac:dyDescent="0.25">
      <c r="A250" s="1"/>
      <c r="B250" s="1"/>
      <c r="F250" s="1"/>
      <c r="G250" s="1"/>
      <c r="M250" s="17"/>
      <c r="N250" s="19"/>
    </row>
    <row r="251" spans="1:14" ht="15.75" x14ac:dyDescent="0.25">
      <c r="A251" s="1"/>
      <c r="B251" s="1"/>
      <c r="F251" s="1"/>
      <c r="G251" s="1"/>
      <c r="M251" s="17"/>
      <c r="N251" s="19"/>
    </row>
    <row r="252" spans="1:14" ht="15.75" x14ac:dyDescent="0.25">
      <c r="A252" s="1"/>
      <c r="B252" s="1"/>
      <c r="F252" s="1"/>
      <c r="G252" s="1"/>
      <c r="M252" s="17"/>
      <c r="N252" s="19"/>
    </row>
    <row r="253" spans="1:14" ht="15.75" x14ac:dyDescent="0.25">
      <c r="A253" s="1"/>
      <c r="B253" s="1"/>
      <c r="F253" s="1"/>
      <c r="G253" s="1"/>
      <c r="M253" s="17"/>
      <c r="N253" s="19"/>
    </row>
    <row r="254" spans="1:14" ht="15.75" x14ac:dyDescent="0.25">
      <c r="A254" s="1"/>
      <c r="B254" s="1"/>
      <c r="F254" s="1"/>
      <c r="G254" s="1"/>
      <c r="M254" s="17"/>
      <c r="N254" s="19"/>
    </row>
    <row r="255" spans="1:14" ht="15.75" x14ac:dyDescent="0.25">
      <c r="A255" s="1"/>
      <c r="B255" s="1"/>
      <c r="F255" s="1"/>
      <c r="G255" s="1"/>
      <c r="M255" s="17"/>
      <c r="N255" s="19"/>
    </row>
    <row r="256" spans="1:14" ht="15.75" x14ac:dyDescent="0.25">
      <c r="A256" s="1"/>
      <c r="B256" s="1"/>
      <c r="F256" s="1"/>
      <c r="G256" s="1"/>
      <c r="M256" s="17"/>
      <c r="N256" s="19"/>
    </row>
    <row r="257" spans="1:14" ht="15.75" x14ac:dyDescent="0.25">
      <c r="A257" s="1"/>
      <c r="B257" s="1"/>
      <c r="F257" s="1"/>
      <c r="G257" s="1"/>
      <c r="M257" s="17"/>
      <c r="N257" s="19"/>
    </row>
    <row r="258" spans="1:14" ht="15.75" x14ac:dyDescent="0.25">
      <c r="A258" s="1"/>
      <c r="B258" s="1"/>
      <c r="F258" s="1"/>
      <c r="G258" s="1"/>
      <c r="M258" s="17"/>
      <c r="N258" s="19"/>
    </row>
    <row r="259" spans="1:14" ht="15.75" x14ac:dyDescent="0.25">
      <c r="A259" s="1"/>
      <c r="B259" s="1"/>
      <c r="F259" s="1"/>
      <c r="G259" s="1"/>
      <c r="M259" s="17"/>
      <c r="N259" s="19"/>
    </row>
    <row r="260" spans="1:14" ht="15.75" x14ac:dyDescent="0.25">
      <c r="A260" s="1"/>
      <c r="B260" s="1"/>
      <c r="F260" s="1"/>
      <c r="G260" s="1"/>
      <c r="M260" s="17"/>
      <c r="N260" s="19"/>
    </row>
    <row r="261" spans="1:14" ht="15.75" x14ac:dyDescent="0.25">
      <c r="A261" s="1"/>
      <c r="B261" s="1"/>
      <c r="F261" s="1"/>
      <c r="G261" s="1"/>
      <c r="M261" s="17"/>
      <c r="N261" s="19"/>
    </row>
    <row r="262" spans="1:14" ht="15.75" x14ac:dyDescent="0.25">
      <c r="A262" s="1"/>
      <c r="B262" s="1"/>
      <c r="F262" s="1"/>
      <c r="G262" s="1"/>
      <c r="M262" s="17"/>
      <c r="N262" s="19"/>
    </row>
    <row r="263" spans="1:14" ht="15.75" x14ac:dyDescent="0.25">
      <c r="A263" s="1"/>
      <c r="B263" s="1"/>
      <c r="F263" s="1"/>
      <c r="G263" s="1"/>
      <c r="M263" s="17"/>
      <c r="N263" s="19"/>
    </row>
    <row r="264" spans="1:14" ht="15.75" x14ac:dyDescent="0.25">
      <c r="A264" s="1"/>
      <c r="B264" s="1"/>
      <c r="F264" s="1"/>
      <c r="G264" s="1"/>
      <c r="M264" s="17"/>
      <c r="N264" s="19"/>
    </row>
    <row r="265" spans="1:14" ht="15.75" x14ac:dyDescent="0.25">
      <c r="A265" s="1"/>
      <c r="B265" s="1"/>
      <c r="F265" s="1"/>
      <c r="G265" s="1"/>
      <c r="M265" s="17"/>
      <c r="N265" s="19"/>
    </row>
    <row r="266" spans="1:14" ht="15.75" x14ac:dyDescent="0.25">
      <c r="A266" s="1"/>
      <c r="B266" s="1"/>
      <c r="F266" s="1"/>
      <c r="G266" s="1"/>
      <c r="M266" s="17"/>
      <c r="N266" s="19"/>
    </row>
    <row r="267" spans="1:14" ht="15.75" x14ac:dyDescent="0.25">
      <c r="A267" s="1"/>
      <c r="B267" s="1"/>
      <c r="F267" s="1"/>
      <c r="G267" s="1"/>
      <c r="M267" s="17"/>
      <c r="N267" s="19"/>
    </row>
    <row r="268" spans="1:14" ht="15.75" x14ac:dyDescent="0.25">
      <c r="A268" s="1"/>
      <c r="B268" s="1"/>
      <c r="F268" s="1"/>
      <c r="G268" s="1"/>
      <c r="M268" s="17"/>
      <c r="N268" s="19"/>
    </row>
    <row r="269" spans="1:14" ht="15.75" x14ac:dyDescent="0.25">
      <c r="A269" s="1"/>
      <c r="B269" s="1"/>
      <c r="F269" s="1"/>
      <c r="G269" s="1"/>
      <c r="M269" s="17"/>
      <c r="N269" s="19"/>
    </row>
    <row r="270" spans="1:14" ht="15.75" x14ac:dyDescent="0.25">
      <c r="A270" s="1"/>
      <c r="B270" s="1"/>
      <c r="F270" s="1"/>
      <c r="G270" s="1"/>
      <c r="M270" s="17"/>
      <c r="N270" s="19"/>
    </row>
    <row r="271" spans="1:14" ht="15.75" x14ac:dyDescent="0.25">
      <c r="A271" s="1"/>
      <c r="B271" s="1"/>
      <c r="F271" s="1"/>
      <c r="G271" s="1"/>
      <c r="M271" s="17"/>
      <c r="N271" s="19"/>
    </row>
    <row r="272" spans="1:14" ht="15.75" x14ac:dyDescent="0.25">
      <c r="A272" s="1"/>
      <c r="B272" s="1"/>
      <c r="F272" s="1"/>
      <c r="G272" s="1"/>
      <c r="M272" s="17"/>
      <c r="N272" s="19"/>
    </row>
    <row r="273" spans="1:14" ht="15.75" x14ac:dyDescent="0.25">
      <c r="A273" s="1"/>
      <c r="B273" s="1"/>
      <c r="F273" s="1"/>
      <c r="G273" s="1"/>
      <c r="M273" s="17"/>
      <c r="N273" s="19"/>
    </row>
    <row r="274" spans="1:14" ht="15.75" x14ac:dyDescent="0.25">
      <c r="A274" s="1"/>
      <c r="B274" s="1"/>
      <c r="F274" s="1"/>
      <c r="G274" s="1"/>
      <c r="M274" s="17"/>
      <c r="N274" s="19"/>
    </row>
    <row r="275" spans="1:14" ht="15.75" x14ac:dyDescent="0.25">
      <c r="A275" s="1"/>
      <c r="B275" s="1"/>
      <c r="F275" s="1"/>
      <c r="G275" s="1"/>
      <c r="M275" s="17"/>
      <c r="N275" s="19"/>
    </row>
    <row r="276" spans="1:14" ht="15.75" x14ac:dyDescent="0.25">
      <c r="A276" s="1"/>
      <c r="B276" s="1"/>
      <c r="F276" s="1"/>
      <c r="G276" s="1"/>
      <c r="M276" s="17"/>
      <c r="N276" s="19"/>
    </row>
    <row r="277" spans="1:14" ht="15.75" x14ac:dyDescent="0.25">
      <c r="A277" s="1"/>
      <c r="B277" s="1"/>
      <c r="F277" s="1"/>
      <c r="G277" s="1"/>
      <c r="M277" s="17"/>
      <c r="N277" s="19"/>
    </row>
    <row r="278" spans="1:14" ht="15.75" x14ac:dyDescent="0.25">
      <c r="A278" s="1"/>
      <c r="B278" s="1"/>
      <c r="F278" s="1"/>
      <c r="G278" s="1"/>
      <c r="M278" s="17"/>
      <c r="N278" s="19"/>
    </row>
    <row r="279" spans="1:14" ht="15.75" x14ac:dyDescent="0.25">
      <c r="A279" s="1"/>
      <c r="B279" s="1"/>
      <c r="F279" s="1"/>
      <c r="G279" s="1"/>
      <c r="M279" s="17"/>
      <c r="N279" s="19"/>
    </row>
    <row r="280" spans="1:14" ht="15.75" x14ac:dyDescent="0.25">
      <c r="A280" s="1"/>
      <c r="B280" s="1"/>
      <c r="F280" s="1"/>
      <c r="G280" s="1"/>
      <c r="M280" s="17"/>
      <c r="N280" s="19"/>
    </row>
    <row r="281" spans="1:14" ht="15.75" x14ac:dyDescent="0.25">
      <c r="A281" s="1"/>
      <c r="B281" s="1"/>
      <c r="F281" s="1"/>
      <c r="G281" s="1"/>
      <c r="M281" s="17"/>
      <c r="N281" s="19"/>
    </row>
    <row r="282" spans="1:14" x14ac:dyDescent="0.25">
      <c r="A282" s="1"/>
      <c r="B282" s="1"/>
      <c r="F282" s="1"/>
      <c r="G282" s="1"/>
    </row>
    <row r="283" spans="1:14" x14ac:dyDescent="0.25">
      <c r="A283" s="1"/>
      <c r="B283" s="1"/>
      <c r="F283" s="1"/>
      <c r="G283" s="1"/>
    </row>
    <row r="284" spans="1:14" x14ac:dyDescent="0.25">
      <c r="A284" s="1"/>
      <c r="B284" s="1"/>
      <c r="F284" s="1"/>
      <c r="G284" s="1"/>
    </row>
    <row r="285" spans="1:14" x14ac:dyDescent="0.25">
      <c r="A285" s="1"/>
      <c r="B285" s="1"/>
      <c r="F285" s="1"/>
      <c r="G285" s="1"/>
    </row>
    <row r="286" spans="1:14" x14ac:dyDescent="0.25">
      <c r="A286" s="1"/>
      <c r="B286" s="1"/>
      <c r="F286" s="1"/>
      <c r="G286" s="1"/>
    </row>
    <row r="287" spans="1:14" x14ac:dyDescent="0.25">
      <c r="A287" s="1"/>
      <c r="B287" s="1"/>
      <c r="F287" s="1"/>
      <c r="G287" s="1"/>
    </row>
    <row r="288" spans="1:14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G404" s="1"/>
    </row>
    <row r="405" spans="1:7" x14ac:dyDescent="0.25">
      <c r="A405" s="1"/>
      <c r="B405" s="1"/>
      <c r="G405" s="1"/>
    </row>
    <row r="406" spans="1:7" x14ac:dyDescent="0.25">
      <c r="A406" s="1"/>
      <c r="B406" s="1"/>
      <c r="G406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6146" r:id="rId4" name="ClearBtn"/>
      </mc:Fallback>
    </mc:AlternateContent>
    <mc:AlternateContent xmlns:mc="http://schemas.openxmlformats.org/markup-compatibility/2006">
      <mc:Choice Requires="x14">
        <control shapeId="6145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6145" r:id="rId6" name="ExecuteQuerie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R406"/>
  <sheetViews>
    <sheetView workbookViewId="0">
      <pane ySplit="6" topLeftCell="A112" activePane="bottomLeft" state="frozen"/>
      <selection pane="bottomLeft" activeCell="N58" sqref="N58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4.85546875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110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1">
        <v>42728</v>
      </c>
      <c r="B8" s="3" t="s">
        <v>41</v>
      </c>
      <c r="C8" s="3"/>
      <c r="F8" s="1">
        <v>42702</v>
      </c>
      <c r="G8" s="1">
        <v>42729</v>
      </c>
      <c r="H8" t="s">
        <v>16</v>
      </c>
      <c r="I8" t="s">
        <v>14</v>
      </c>
      <c r="J8" t="s">
        <v>12</v>
      </c>
      <c r="L8" t="s">
        <v>14</v>
      </c>
      <c r="M8" s="17" t="str">
        <f>B8</f>
        <v>currper</v>
      </c>
      <c r="N8" s="18" t="str">
        <f>IF(VALUE(O8) = VALUE(L8), "P", "F")</f>
        <v>P</v>
      </c>
      <c r="O8" s="3" t="str">
        <f>IF(M8="currper", I8, IF(M8="wksinprd", (G8-F8 + 1)/7, IF(M8="daysinprd", (G8-F8 + 1), "F")))</f>
        <v>13</v>
      </c>
      <c r="R8" t="s">
        <v>24</v>
      </c>
    </row>
    <row r="9" spans="1:18" ht="15.75" x14ac:dyDescent="0.25">
      <c r="A9" s="1">
        <v>42729</v>
      </c>
      <c r="B9" s="3" t="s">
        <v>41</v>
      </c>
      <c r="F9" s="1">
        <v>42702</v>
      </c>
      <c r="G9" s="1">
        <v>42729</v>
      </c>
      <c r="H9" t="s">
        <v>16</v>
      </c>
      <c r="I9" t="s">
        <v>14</v>
      </c>
      <c r="J9" t="s">
        <v>12</v>
      </c>
      <c r="L9" t="s">
        <v>14</v>
      </c>
      <c r="M9" s="17" t="str">
        <f t="shared" ref="M9:M72" si="0">B9</f>
        <v>currper</v>
      </c>
      <c r="N9" s="18" t="str">
        <f t="shared" ref="N9:N72" si="1">IF(VALUE(O9) = VALUE(L9), "P", "F")</f>
        <v>P</v>
      </c>
      <c r="O9" s="3" t="str">
        <f t="shared" ref="O9:O72" si="2">IF(M9="currper", I9, IF(M9="wksinprd", (G9-F9 + 1)/7, IF(M9="daysinprd", (G9-F9 + 1), "F")))</f>
        <v>13</v>
      </c>
      <c r="R9" t="s">
        <v>25</v>
      </c>
    </row>
    <row r="10" spans="1:18" ht="15.75" x14ac:dyDescent="0.25">
      <c r="A10" s="1">
        <v>42730</v>
      </c>
      <c r="B10" s="3" t="s">
        <v>41</v>
      </c>
      <c r="F10" s="1">
        <v>42730</v>
      </c>
      <c r="G10" s="1">
        <v>42757</v>
      </c>
      <c r="H10" t="s">
        <v>70</v>
      </c>
      <c r="I10" t="s">
        <v>17</v>
      </c>
      <c r="J10" t="s">
        <v>17</v>
      </c>
      <c r="L10" t="s">
        <v>15</v>
      </c>
      <c r="M10" s="17" t="str">
        <f t="shared" si="0"/>
        <v>currper</v>
      </c>
      <c r="N10" s="18" t="str">
        <f t="shared" si="1"/>
        <v>P</v>
      </c>
      <c r="O10" s="3" t="str">
        <f t="shared" si="2"/>
        <v>01</v>
      </c>
      <c r="R10" t="s">
        <v>26</v>
      </c>
    </row>
    <row r="11" spans="1:18" ht="15.75" x14ac:dyDescent="0.25">
      <c r="A11" s="1">
        <v>42731</v>
      </c>
      <c r="B11" s="3" t="s">
        <v>41</v>
      </c>
      <c r="F11" s="1">
        <v>42730</v>
      </c>
      <c r="G11" s="1">
        <v>42757</v>
      </c>
      <c r="H11" t="s">
        <v>70</v>
      </c>
      <c r="I11" t="s">
        <v>17</v>
      </c>
      <c r="J11" t="s">
        <v>17</v>
      </c>
      <c r="L11" t="s">
        <v>15</v>
      </c>
      <c r="M11" s="17" t="str">
        <f t="shared" si="0"/>
        <v>currper</v>
      </c>
      <c r="N11" s="18" t="str">
        <f t="shared" si="1"/>
        <v>P</v>
      </c>
      <c r="O11" s="3" t="str">
        <f t="shared" si="2"/>
        <v>01</v>
      </c>
      <c r="R11" t="s">
        <v>27</v>
      </c>
    </row>
    <row r="12" spans="1:18" ht="15.75" x14ac:dyDescent="0.25">
      <c r="A12" s="1">
        <v>42732</v>
      </c>
      <c r="B12" s="3" t="s">
        <v>41</v>
      </c>
      <c r="F12" s="1">
        <v>42730</v>
      </c>
      <c r="G12" s="1">
        <v>42757</v>
      </c>
      <c r="H12" t="s">
        <v>70</v>
      </c>
      <c r="I12" t="s">
        <v>17</v>
      </c>
      <c r="J12" t="s">
        <v>17</v>
      </c>
      <c r="L12" t="s">
        <v>15</v>
      </c>
      <c r="M12" s="17" t="str">
        <f t="shared" si="0"/>
        <v>currper</v>
      </c>
      <c r="N12" s="18" t="str">
        <f t="shared" si="1"/>
        <v>P</v>
      </c>
      <c r="O12" s="3" t="str">
        <f t="shared" si="2"/>
        <v>01</v>
      </c>
      <c r="R12" t="s">
        <v>28</v>
      </c>
    </row>
    <row r="13" spans="1:18" ht="15.75" x14ac:dyDescent="0.25">
      <c r="A13" s="1">
        <v>42733</v>
      </c>
      <c r="B13" s="3" t="s">
        <v>41</v>
      </c>
      <c r="F13" s="1">
        <v>42730</v>
      </c>
      <c r="G13" s="1">
        <v>42757</v>
      </c>
      <c r="H13" t="s">
        <v>70</v>
      </c>
      <c r="I13" t="s">
        <v>17</v>
      </c>
      <c r="J13" t="s">
        <v>17</v>
      </c>
      <c r="L13" t="s">
        <v>15</v>
      </c>
      <c r="M13" s="17" t="str">
        <f t="shared" si="0"/>
        <v>currper</v>
      </c>
      <c r="N13" s="18" t="str">
        <f t="shared" si="1"/>
        <v>P</v>
      </c>
      <c r="O13" s="3" t="str">
        <f t="shared" si="2"/>
        <v>01</v>
      </c>
      <c r="R13" t="s">
        <v>29</v>
      </c>
    </row>
    <row r="14" spans="1:18" ht="15.75" x14ac:dyDescent="0.25">
      <c r="A14" s="1">
        <v>42734</v>
      </c>
      <c r="B14" s="3" t="s">
        <v>41</v>
      </c>
      <c r="F14" s="1">
        <v>42730</v>
      </c>
      <c r="G14" s="1">
        <v>42757</v>
      </c>
      <c r="H14" t="s">
        <v>70</v>
      </c>
      <c r="I14" t="s">
        <v>17</v>
      </c>
      <c r="J14" t="s">
        <v>17</v>
      </c>
      <c r="L14" t="s">
        <v>15</v>
      </c>
      <c r="M14" s="17" t="str">
        <f t="shared" si="0"/>
        <v>currper</v>
      </c>
      <c r="N14" s="18" t="str">
        <f t="shared" si="1"/>
        <v>P</v>
      </c>
      <c r="O14" s="3" t="str">
        <f t="shared" si="2"/>
        <v>01</v>
      </c>
      <c r="R14" t="s">
        <v>30</v>
      </c>
    </row>
    <row r="15" spans="1:18" ht="15.75" x14ac:dyDescent="0.25">
      <c r="A15" s="1">
        <v>42735</v>
      </c>
      <c r="B15" s="3" t="s">
        <v>41</v>
      </c>
      <c r="F15" s="1">
        <v>42730</v>
      </c>
      <c r="G15" s="1">
        <v>42757</v>
      </c>
      <c r="H15" t="s">
        <v>70</v>
      </c>
      <c r="I15" t="s">
        <v>17</v>
      </c>
      <c r="J15" t="s">
        <v>17</v>
      </c>
      <c r="L15" t="s">
        <v>15</v>
      </c>
      <c r="M15" s="17" t="str">
        <f t="shared" si="0"/>
        <v>currper</v>
      </c>
      <c r="N15" s="18" t="str">
        <f t="shared" si="1"/>
        <v>P</v>
      </c>
      <c r="O15" s="3" t="str">
        <f t="shared" si="2"/>
        <v>01</v>
      </c>
      <c r="R15" t="s">
        <v>31</v>
      </c>
    </row>
    <row r="16" spans="1:18" ht="15.75" x14ac:dyDescent="0.25">
      <c r="A16" s="1">
        <v>42736</v>
      </c>
      <c r="B16" s="3" t="s">
        <v>41</v>
      </c>
      <c r="F16" s="1">
        <v>42730</v>
      </c>
      <c r="G16" s="1">
        <v>42757</v>
      </c>
      <c r="H16" t="s">
        <v>70</v>
      </c>
      <c r="I16" t="s">
        <v>17</v>
      </c>
      <c r="J16" t="s">
        <v>17</v>
      </c>
      <c r="L16" t="s">
        <v>15</v>
      </c>
      <c r="M16" s="17" t="str">
        <f t="shared" si="0"/>
        <v>currper</v>
      </c>
      <c r="N16" s="18" t="str">
        <f t="shared" si="1"/>
        <v>P</v>
      </c>
      <c r="O16" s="3" t="str">
        <f t="shared" si="2"/>
        <v>01</v>
      </c>
      <c r="R16" t="s">
        <v>32</v>
      </c>
    </row>
    <row r="17" spans="1:18" ht="15.75" x14ac:dyDescent="0.25">
      <c r="A17" s="1">
        <v>42737</v>
      </c>
      <c r="B17" s="3" t="s">
        <v>41</v>
      </c>
      <c r="F17" s="1">
        <v>42730</v>
      </c>
      <c r="G17" s="1">
        <v>42757</v>
      </c>
      <c r="H17" t="s">
        <v>70</v>
      </c>
      <c r="I17" t="s">
        <v>17</v>
      </c>
      <c r="J17" t="s">
        <v>17</v>
      </c>
      <c r="L17" t="s">
        <v>15</v>
      </c>
      <c r="M17" s="17" t="str">
        <f t="shared" si="0"/>
        <v>currper</v>
      </c>
      <c r="N17" s="18" t="str">
        <f t="shared" si="1"/>
        <v>P</v>
      </c>
      <c r="O17" s="3" t="str">
        <f t="shared" si="2"/>
        <v>01</v>
      </c>
      <c r="R17" t="s">
        <v>33</v>
      </c>
    </row>
    <row r="18" spans="1:18" s="27" customFormat="1" ht="15.75" x14ac:dyDescent="0.25">
      <c r="A18" s="36">
        <v>43093</v>
      </c>
      <c r="B18" s="37" t="s">
        <v>41</v>
      </c>
      <c r="F18" s="36">
        <v>43066</v>
      </c>
      <c r="G18" s="36">
        <v>43100</v>
      </c>
      <c r="H18" s="27" t="s">
        <v>70</v>
      </c>
      <c r="I18" s="27" t="s">
        <v>14</v>
      </c>
      <c r="J18" s="27" t="s">
        <v>12</v>
      </c>
      <c r="L18" s="27" t="s">
        <v>14</v>
      </c>
      <c r="M18" s="17" t="str">
        <f t="shared" si="0"/>
        <v>currper</v>
      </c>
      <c r="N18" s="18" t="str">
        <f t="shared" si="1"/>
        <v>P</v>
      </c>
      <c r="O18" s="3" t="str">
        <f t="shared" si="2"/>
        <v>13</v>
      </c>
      <c r="R18" s="27" t="s">
        <v>34</v>
      </c>
    </row>
    <row r="19" spans="1:18" ht="15.75" x14ac:dyDescent="0.25">
      <c r="A19" s="1">
        <v>43094</v>
      </c>
      <c r="B19" s="3" t="s">
        <v>41</v>
      </c>
      <c r="F19" s="1">
        <v>43066</v>
      </c>
      <c r="G19" s="1">
        <v>43100</v>
      </c>
      <c r="H19" t="s">
        <v>70</v>
      </c>
      <c r="I19" t="s">
        <v>14</v>
      </c>
      <c r="J19" t="s">
        <v>12</v>
      </c>
      <c r="L19" t="s">
        <v>14</v>
      </c>
      <c r="M19" s="17" t="str">
        <f t="shared" si="0"/>
        <v>currper</v>
      </c>
      <c r="N19" s="18" t="str">
        <f t="shared" si="1"/>
        <v>P</v>
      </c>
      <c r="O19" s="3" t="str">
        <f t="shared" si="2"/>
        <v>13</v>
      </c>
      <c r="R19" t="s">
        <v>35</v>
      </c>
    </row>
    <row r="20" spans="1:18" ht="15.75" x14ac:dyDescent="0.25">
      <c r="A20" s="1">
        <v>43095</v>
      </c>
      <c r="B20" s="3" t="s">
        <v>41</v>
      </c>
      <c r="F20" s="1">
        <v>43066</v>
      </c>
      <c r="G20" s="1">
        <v>43100</v>
      </c>
      <c r="H20" t="s">
        <v>70</v>
      </c>
      <c r="I20" t="s">
        <v>14</v>
      </c>
      <c r="J20" t="s">
        <v>12</v>
      </c>
      <c r="L20" t="s">
        <v>14</v>
      </c>
      <c r="M20" s="17" t="str">
        <f t="shared" si="0"/>
        <v>currper</v>
      </c>
      <c r="N20" s="18" t="str">
        <f t="shared" si="1"/>
        <v>P</v>
      </c>
      <c r="O20" s="3" t="str">
        <f t="shared" si="2"/>
        <v>13</v>
      </c>
      <c r="R20" t="s">
        <v>36</v>
      </c>
    </row>
    <row r="21" spans="1:18" ht="15.75" x14ac:dyDescent="0.25">
      <c r="A21" s="1">
        <v>43096</v>
      </c>
      <c r="B21" s="3" t="s">
        <v>41</v>
      </c>
      <c r="F21" s="1">
        <v>43066</v>
      </c>
      <c r="G21" s="1">
        <v>43100</v>
      </c>
      <c r="H21" t="s">
        <v>70</v>
      </c>
      <c r="I21" t="s">
        <v>14</v>
      </c>
      <c r="J21" t="s">
        <v>12</v>
      </c>
      <c r="L21" t="s">
        <v>14</v>
      </c>
      <c r="M21" s="17" t="str">
        <f t="shared" si="0"/>
        <v>currper</v>
      </c>
      <c r="N21" s="18" t="str">
        <f t="shared" si="1"/>
        <v>P</v>
      </c>
      <c r="O21" s="3" t="str">
        <f t="shared" si="2"/>
        <v>13</v>
      </c>
      <c r="R21" t="s">
        <v>37</v>
      </c>
    </row>
    <row r="22" spans="1:18" ht="15.75" x14ac:dyDescent="0.25">
      <c r="A22" s="1">
        <v>43097</v>
      </c>
      <c r="B22" s="3" t="s">
        <v>41</v>
      </c>
      <c r="F22" s="1">
        <v>43066</v>
      </c>
      <c r="G22" s="1">
        <v>43100</v>
      </c>
      <c r="H22" t="s">
        <v>70</v>
      </c>
      <c r="I22" t="s">
        <v>14</v>
      </c>
      <c r="J22" t="s">
        <v>12</v>
      </c>
      <c r="L22" t="s">
        <v>14</v>
      </c>
      <c r="M22" s="17" t="str">
        <f t="shared" si="0"/>
        <v>currper</v>
      </c>
      <c r="N22" s="18" t="str">
        <f t="shared" si="1"/>
        <v>P</v>
      </c>
      <c r="O22" s="3" t="str">
        <f t="shared" si="2"/>
        <v>13</v>
      </c>
      <c r="R22" t="s">
        <v>38</v>
      </c>
    </row>
    <row r="23" spans="1:18" ht="15.75" x14ac:dyDescent="0.25">
      <c r="A23" s="1">
        <v>43098</v>
      </c>
      <c r="B23" s="3" t="s">
        <v>41</v>
      </c>
      <c r="F23" s="1">
        <v>43066</v>
      </c>
      <c r="G23" s="1">
        <v>43100</v>
      </c>
      <c r="H23" t="s">
        <v>70</v>
      </c>
      <c r="I23" t="s">
        <v>14</v>
      </c>
      <c r="J23" t="s">
        <v>12</v>
      </c>
      <c r="L23" t="s">
        <v>14</v>
      </c>
      <c r="M23" s="17" t="str">
        <f t="shared" si="0"/>
        <v>currper</v>
      </c>
      <c r="N23" s="18" t="str">
        <f t="shared" si="1"/>
        <v>P</v>
      </c>
      <c r="O23" s="3" t="str">
        <f t="shared" si="2"/>
        <v>13</v>
      </c>
      <c r="R23" t="s">
        <v>39</v>
      </c>
    </row>
    <row r="24" spans="1:18" ht="15.75" x14ac:dyDescent="0.25">
      <c r="A24" s="1">
        <v>43099</v>
      </c>
      <c r="B24" s="3" t="s">
        <v>41</v>
      </c>
      <c r="F24" s="1">
        <v>43066</v>
      </c>
      <c r="G24" s="1">
        <v>43100</v>
      </c>
      <c r="H24" t="s">
        <v>70</v>
      </c>
      <c r="I24" t="s">
        <v>14</v>
      </c>
      <c r="J24" t="s">
        <v>12</v>
      </c>
      <c r="L24" t="s">
        <v>14</v>
      </c>
      <c r="M24" s="17" t="str">
        <f t="shared" si="0"/>
        <v>currper</v>
      </c>
      <c r="N24" s="18" t="str">
        <f t="shared" si="1"/>
        <v>P</v>
      </c>
      <c r="O24" s="3" t="str">
        <f t="shared" si="2"/>
        <v>13</v>
      </c>
      <c r="R24" t="s">
        <v>40</v>
      </c>
    </row>
    <row r="25" spans="1:18" ht="15.75" x14ac:dyDescent="0.25">
      <c r="A25" s="1">
        <v>43100</v>
      </c>
      <c r="B25" s="3" t="s">
        <v>41</v>
      </c>
      <c r="F25" s="1">
        <v>43066</v>
      </c>
      <c r="G25" s="1">
        <v>43100</v>
      </c>
      <c r="H25" t="s">
        <v>70</v>
      </c>
      <c r="I25" t="s">
        <v>14</v>
      </c>
      <c r="J25" t="s">
        <v>12</v>
      </c>
      <c r="L25" t="s">
        <v>14</v>
      </c>
      <c r="M25" s="17" t="str">
        <f t="shared" si="0"/>
        <v>currper</v>
      </c>
      <c r="N25" s="18" t="str">
        <f t="shared" si="1"/>
        <v>P</v>
      </c>
      <c r="O25" s="3" t="str">
        <f t="shared" si="2"/>
        <v>13</v>
      </c>
    </row>
    <row r="26" spans="1:18" ht="15.75" x14ac:dyDescent="0.25">
      <c r="A26" s="1">
        <v>43101</v>
      </c>
      <c r="B26" s="3" t="s">
        <v>41</v>
      </c>
      <c r="F26" s="1">
        <v>43101</v>
      </c>
      <c r="G26" s="1">
        <v>43128</v>
      </c>
      <c r="H26" t="s">
        <v>72</v>
      </c>
      <c r="I26" t="s">
        <v>17</v>
      </c>
      <c r="J26" t="s">
        <v>17</v>
      </c>
      <c r="L26" t="s">
        <v>15</v>
      </c>
      <c r="M26" s="17" t="str">
        <f t="shared" si="0"/>
        <v>currper</v>
      </c>
      <c r="N26" s="18" t="str">
        <f t="shared" si="1"/>
        <v>P</v>
      </c>
      <c r="O26" s="3" t="str">
        <f t="shared" si="2"/>
        <v>01</v>
      </c>
      <c r="R26" t="s">
        <v>247</v>
      </c>
    </row>
    <row r="27" spans="1:18" ht="15.75" x14ac:dyDescent="0.25">
      <c r="A27" s="1">
        <v>43102</v>
      </c>
      <c r="B27" s="3" t="s">
        <v>41</v>
      </c>
      <c r="F27" s="1">
        <v>43101</v>
      </c>
      <c r="G27" s="1">
        <v>43128</v>
      </c>
      <c r="H27" t="s">
        <v>72</v>
      </c>
      <c r="I27" t="s">
        <v>17</v>
      </c>
      <c r="J27" t="s">
        <v>17</v>
      </c>
      <c r="L27" t="s">
        <v>15</v>
      </c>
      <c r="M27" s="17" t="str">
        <f t="shared" si="0"/>
        <v>currper</v>
      </c>
      <c r="N27" s="18" t="str">
        <f t="shared" si="1"/>
        <v>P</v>
      </c>
      <c r="O27" s="3" t="str">
        <f t="shared" si="2"/>
        <v>01</v>
      </c>
      <c r="R27" t="s">
        <v>242</v>
      </c>
    </row>
    <row r="28" spans="1:18" s="27" customFormat="1" ht="15.75" x14ac:dyDescent="0.25">
      <c r="A28" s="36">
        <v>43458</v>
      </c>
      <c r="B28" s="37" t="s">
        <v>41</v>
      </c>
      <c r="F28" s="36">
        <v>43437</v>
      </c>
      <c r="G28" s="36">
        <v>43464</v>
      </c>
      <c r="H28" s="27" t="s">
        <v>72</v>
      </c>
      <c r="I28" s="27" t="s">
        <v>14</v>
      </c>
      <c r="J28" s="27" t="s">
        <v>12</v>
      </c>
      <c r="L28" s="27" t="s">
        <v>14</v>
      </c>
      <c r="M28" s="17" t="str">
        <f t="shared" si="0"/>
        <v>currper</v>
      </c>
      <c r="N28" s="18" t="str">
        <f t="shared" si="1"/>
        <v>P</v>
      </c>
      <c r="O28" s="3" t="str">
        <f t="shared" si="2"/>
        <v>13</v>
      </c>
      <c r="R28" t="s">
        <v>243</v>
      </c>
    </row>
    <row r="29" spans="1:18" ht="15.75" x14ac:dyDescent="0.25">
      <c r="A29" s="1">
        <v>43459</v>
      </c>
      <c r="B29" s="3" t="s">
        <v>41</v>
      </c>
      <c r="F29" s="1">
        <v>43437</v>
      </c>
      <c r="G29" s="1">
        <v>43464</v>
      </c>
      <c r="H29" t="s">
        <v>72</v>
      </c>
      <c r="I29" t="s">
        <v>14</v>
      </c>
      <c r="J29" t="s">
        <v>12</v>
      </c>
      <c r="L29" t="s">
        <v>14</v>
      </c>
      <c r="M29" s="17" t="str">
        <f t="shared" si="0"/>
        <v>currper</v>
      </c>
      <c r="N29" s="18" t="str">
        <f t="shared" si="1"/>
        <v>P</v>
      </c>
      <c r="O29" s="3" t="str">
        <f t="shared" si="2"/>
        <v>13</v>
      </c>
      <c r="R29" t="s">
        <v>244</v>
      </c>
    </row>
    <row r="30" spans="1:18" ht="15.75" x14ac:dyDescent="0.25">
      <c r="A30" s="1">
        <v>43460</v>
      </c>
      <c r="B30" s="3" t="s">
        <v>41</v>
      </c>
      <c r="F30" s="1">
        <v>43437</v>
      </c>
      <c r="G30" s="1">
        <v>43464</v>
      </c>
      <c r="H30" t="s">
        <v>72</v>
      </c>
      <c r="I30" t="s">
        <v>14</v>
      </c>
      <c r="J30" t="s">
        <v>12</v>
      </c>
      <c r="L30" t="s">
        <v>14</v>
      </c>
      <c r="M30" s="17" t="str">
        <f t="shared" si="0"/>
        <v>currper</v>
      </c>
      <c r="N30" s="18" t="str">
        <f t="shared" si="1"/>
        <v>P</v>
      </c>
      <c r="O30" s="3" t="str">
        <f t="shared" si="2"/>
        <v>13</v>
      </c>
      <c r="R30" t="s">
        <v>245</v>
      </c>
    </row>
    <row r="31" spans="1:18" ht="15.75" x14ac:dyDescent="0.25">
      <c r="A31" s="1">
        <v>43461</v>
      </c>
      <c r="B31" s="3" t="s">
        <v>41</v>
      </c>
      <c r="F31" s="1">
        <v>43437</v>
      </c>
      <c r="G31" s="1">
        <v>43464</v>
      </c>
      <c r="H31" t="s">
        <v>72</v>
      </c>
      <c r="I31" t="s">
        <v>14</v>
      </c>
      <c r="J31" t="s">
        <v>12</v>
      </c>
      <c r="L31" t="s">
        <v>14</v>
      </c>
      <c r="M31" s="17" t="str">
        <f t="shared" si="0"/>
        <v>currper</v>
      </c>
      <c r="N31" s="18" t="str">
        <f t="shared" si="1"/>
        <v>P</v>
      </c>
      <c r="O31" s="3" t="str">
        <f t="shared" si="2"/>
        <v>13</v>
      </c>
      <c r="R31" t="s">
        <v>246</v>
      </c>
    </row>
    <row r="32" spans="1:18" ht="15.75" x14ac:dyDescent="0.25">
      <c r="A32" s="1">
        <v>43462</v>
      </c>
      <c r="B32" s="3" t="s">
        <v>41</v>
      </c>
      <c r="F32" s="1">
        <v>43437</v>
      </c>
      <c r="G32" s="1">
        <v>43464</v>
      </c>
      <c r="H32" t="s">
        <v>72</v>
      </c>
      <c r="I32" t="s">
        <v>14</v>
      </c>
      <c r="J32" t="s">
        <v>12</v>
      </c>
      <c r="L32" t="s">
        <v>14</v>
      </c>
      <c r="M32" s="17" t="str">
        <f t="shared" si="0"/>
        <v>currper</v>
      </c>
      <c r="N32" s="18" t="str">
        <f t="shared" si="1"/>
        <v>P</v>
      </c>
      <c r="O32" s="3" t="str">
        <f t="shared" si="2"/>
        <v>13</v>
      </c>
      <c r="R32" s="38"/>
    </row>
    <row r="33" spans="1:18" ht="15.75" x14ac:dyDescent="0.25">
      <c r="A33" s="1">
        <v>43463</v>
      </c>
      <c r="B33" s="3" t="s">
        <v>41</v>
      </c>
      <c r="F33" s="1">
        <v>43437</v>
      </c>
      <c r="G33" s="1">
        <v>43464</v>
      </c>
      <c r="H33" t="s">
        <v>72</v>
      </c>
      <c r="I33" t="s">
        <v>14</v>
      </c>
      <c r="J33" t="s">
        <v>12</v>
      </c>
      <c r="L33" t="s">
        <v>14</v>
      </c>
      <c r="M33" s="17" t="str">
        <f t="shared" si="0"/>
        <v>currper</v>
      </c>
      <c r="N33" s="18" t="str">
        <f t="shared" si="1"/>
        <v>P</v>
      </c>
      <c r="O33" s="3" t="str">
        <f t="shared" si="2"/>
        <v>13</v>
      </c>
    </row>
    <row r="34" spans="1:18" ht="15.75" x14ac:dyDescent="0.25">
      <c r="A34" s="1">
        <v>43464</v>
      </c>
      <c r="B34" s="3" t="s">
        <v>41</v>
      </c>
      <c r="F34" s="1">
        <v>43437</v>
      </c>
      <c r="G34" s="1">
        <v>43464</v>
      </c>
      <c r="H34" t="s">
        <v>72</v>
      </c>
      <c r="I34" t="s">
        <v>14</v>
      </c>
      <c r="J34" t="s">
        <v>12</v>
      </c>
      <c r="L34" t="s">
        <v>14</v>
      </c>
      <c r="M34" s="17" t="str">
        <f t="shared" si="0"/>
        <v>currper</v>
      </c>
      <c r="N34" s="18" t="str">
        <f t="shared" si="1"/>
        <v>P</v>
      </c>
      <c r="O34" s="3" t="str">
        <f t="shared" si="2"/>
        <v>13</v>
      </c>
      <c r="R34" s="1"/>
    </row>
    <row r="35" spans="1:18" ht="15.75" x14ac:dyDescent="0.25">
      <c r="A35" s="1">
        <v>43465</v>
      </c>
      <c r="B35" s="3" t="s">
        <v>41</v>
      </c>
      <c r="F35" s="1">
        <v>43465</v>
      </c>
      <c r="G35" s="1">
        <v>43492</v>
      </c>
      <c r="H35" t="s">
        <v>73</v>
      </c>
      <c r="I35" t="s">
        <v>17</v>
      </c>
      <c r="J35" t="s">
        <v>17</v>
      </c>
      <c r="L35" t="s">
        <v>15</v>
      </c>
      <c r="M35" s="17" t="str">
        <f t="shared" si="0"/>
        <v>currper</v>
      </c>
      <c r="N35" s="18" t="str">
        <f t="shared" si="1"/>
        <v>P</v>
      </c>
      <c r="O35" s="3" t="str">
        <f t="shared" si="2"/>
        <v>01</v>
      </c>
    </row>
    <row r="36" spans="1:18" ht="15.75" x14ac:dyDescent="0.25">
      <c r="A36" s="1">
        <v>43466</v>
      </c>
      <c r="B36" s="3" t="s">
        <v>41</v>
      </c>
      <c r="F36" s="1">
        <v>43465</v>
      </c>
      <c r="G36" s="1">
        <v>43492</v>
      </c>
      <c r="H36" t="s">
        <v>73</v>
      </c>
      <c r="I36" t="s">
        <v>17</v>
      </c>
      <c r="J36" t="s">
        <v>17</v>
      </c>
      <c r="L36" t="s">
        <v>15</v>
      </c>
      <c r="M36" s="17" t="str">
        <f t="shared" si="0"/>
        <v>currper</v>
      </c>
      <c r="N36" s="18" t="str">
        <f t="shared" si="1"/>
        <v>P</v>
      </c>
      <c r="O36" s="3" t="str">
        <f t="shared" si="2"/>
        <v>01</v>
      </c>
    </row>
    <row r="37" spans="1:18" ht="15.75" x14ac:dyDescent="0.25">
      <c r="A37" s="1">
        <v>43467</v>
      </c>
      <c r="B37" s="3" t="s">
        <v>41</v>
      </c>
      <c r="F37" s="1">
        <v>43465</v>
      </c>
      <c r="G37" s="1">
        <v>43492</v>
      </c>
      <c r="H37" t="s">
        <v>73</v>
      </c>
      <c r="I37" t="s">
        <v>17</v>
      </c>
      <c r="J37" t="s">
        <v>17</v>
      </c>
      <c r="L37" t="s">
        <v>15</v>
      </c>
      <c r="M37" s="17" t="str">
        <f t="shared" si="0"/>
        <v>currper</v>
      </c>
      <c r="N37" s="18" t="str">
        <f t="shared" si="1"/>
        <v>P</v>
      </c>
      <c r="O37" s="3" t="str">
        <f t="shared" si="2"/>
        <v>01</v>
      </c>
    </row>
    <row r="38" spans="1:18" s="27" customFormat="1" ht="15.75" x14ac:dyDescent="0.25">
      <c r="A38" s="36">
        <v>43823</v>
      </c>
      <c r="B38" s="37" t="s">
        <v>41</v>
      </c>
      <c r="F38" s="36">
        <v>43801</v>
      </c>
      <c r="G38" s="36">
        <v>43828</v>
      </c>
      <c r="H38" s="27" t="s">
        <v>73</v>
      </c>
      <c r="I38" s="27" t="s">
        <v>14</v>
      </c>
      <c r="J38" s="27" t="s">
        <v>12</v>
      </c>
      <c r="L38" s="27" t="s">
        <v>14</v>
      </c>
      <c r="M38" s="17" t="str">
        <f t="shared" si="0"/>
        <v>currper</v>
      </c>
      <c r="N38" s="18" t="str">
        <f t="shared" si="1"/>
        <v>P</v>
      </c>
      <c r="O38" s="3" t="str">
        <f t="shared" si="2"/>
        <v>13</v>
      </c>
    </row>
    <row r="39" spans="1:18" ht="15.75" x14ac:dyDescent="0.25">
      <c r="A39" s="1">
        <v>43824</v>
      </c>
      <c r="B39" s="3" t="s">
        <v>41</v>
      </c>
      <c r="F39" s="1">
        <v>43801</v>
      </c>
      <c r="G39" s="1">
        <v>43828</v>
      </c>
      <c r="H39" t="s">
        <v>73</v>
      </c>
      <c r="I39" t="s">
        <v>14</v>
      </c>
      <c r="J39" t="s">
        <v>12</v>
      </c>
      <c r="L39" t="s">
        <v>14</v>
      </c>
      <c r="M39" s="17" t="str">
        <f t="shared" si="0"/>
        <v>currper</v>
      </c>
      <c r="N39" s="18" t="str">
        <f t="shared" si="1"/>
        <v>P</v>
      </c>
      <c r="O39" s="3" t="str">
        <f t="shared" si="2"/>
        <v>13</v>
      </c>
    </row>
    <row r="40" spans="1:18" ht="15.75" x14ac:dyDescent="0.25">
      <c r="A40" s="1">
        <v>43825</v>
      </c>
      <c r="B40" s="3" t="s">
        <v>41</v>
      </c>
      <c r="F40" s="1">
        <v>43801</v>
      </c>
      <c r="G40" s="1">
        <v>43828</v>
      </c>
      <c r="H40" t="s">
        <v>73</v>
      </c>
      <c r="I40" t="s">
        <v>14</v>
      </c>
      <c r="J40" t="s">
        <v>12</v>
      </c>
      <c r="L40" t="s">
        <v>14</v>
      </c>
      <c r="M40" s="17" t="str">
        <f t="shared" si="0"/>
        <v>currper</v>
      </c>
      <c r="N40" s="18" t="str">
        <f t="shared" si="1"/>
        <v>P</v>
      </c>
      <c r="O40" s="3" t="str">
        <f t="shared" si="2"/>
        <v>13</v>
      </c>
    </row>
    <row r="41" spans="1:18" ht="15.75" x14ac:dyDescent="0.25">
      <c r="A41" s="1">
        <v>43826</v>
      </c>
      <c r="B41" s="3" t="s">
        <v>41</v>
      </c>
      <c r="F41" s="1">
        <v>43801</v>
      </c>
      <c r="G41" s="1">
        <v>43828</v>
      </c>
      <c r="H41" t="s">
        <v>73</v>
      </c>
      <c r="I41" t="s">
        <v>14</v>
      </c>
      <c r="J41" t="s">
        <v>12</v>
      </c>
      <c r="L41" t="s">
        <v>14</v>
      </c>
      <c r="M41" s="17" t="str">
        <f t="shared" si="0"/>
        <v>currper</v>
      </c>
      <c r="N41" s="18" t="str">
        <f t="shared" si="1"/>
        <v>P</v>
      </c>
      <c r="O41" s="3" t="str">
        <f t="shared" si="2"/>
        <v>13</v>
      </c>
    </row>
    <row r="42" spans="1:18" ht="15.75" x14ac:dyDescent="0.25">
      <c r="A42" s="1">
        <v>43827</v>
      </c>
      <c r="B42" s="3" t="s">
        <v>41</v>
      </c>
      <c r="F42" s="1">
        <v>43801</v>
      </c>
      <c r="G42" s="1">
        <v>43828</v>
      </c>
      <c r="H42" t="s">
        <v>73</v>
      </c>
      <c r="I42" t="s">
        <v>14</v>
      </c>
      <c r="J42" t="s">
        <v>12</v>
      </c>
      <c r="L42" t="s">
        <v>14</v>
      </c>
      <c r="M42" s="17" t="str">
        <f t="shared" si="0"/>
        <v>currper</v>
      </c>
      <c r="N42" s="18" t="str">
        <f t="shared" si="1"/>
        <v>P</v>
      </c>
      <c r="O42" s="3" t="str">
        <f t="shared" si="2"/>
        <v>13</v>
      </c>
    </row>
    <row r="43" spans="1:18" ht="15.75" x14ac:dyDescent="0.25">
      <c r="A43" s="1">
        <v>43828</v>
      </c>
      <c r="B43" s="3" t="s">
        <v>41</v>
      </c>
      <c r="F43" s="1">
        <v>43801</v>
      </c>
      <c r="G43" s="1">
        <v>43828</v>
      </c>
      <c r="H43" t="s">
        <v>73</v>
      </c>
      <c r="I43" t="s">
        <v>14</v>
      </c>
      <c r="J43" t="s">
        <v>12</v>
      </c>
      <c r="L43" t="s">
        <v>14</v>
      </c>
      <c r="M43" s="17" t="str">
        <f t="shared" si="0"/>
        <v>currper</v>
      </c>
      <c r="N43" s="18" t="str">
        <f t="shared" si="1"/>
        <v>P</v>
      </c>
      <c r="O43" s="3" t="str">
        <f t="shared" si="2"/>
        <v>13</v>
      </c>
    </row>
    <row r="44" spans="1:18" ht="15.75" x14ac:dyDescent="0.25">
      <c r="A44" s="1">
        <v>43829</v>
      </c>
      <c r="B44" s="3" t="s">
        <v>41</v>
      </c>
      <c r="F44" s="1">
        <v>43829</v>
      </c>
      <c r="G44" s="1">
        <v>43856</v>
      </c>
      <c r="H44" t="s">
        <v>55</v>
      </c>
      <c r="I44" t="s">
        <v>17</v>
      </c>
      <c r="J44" t="s">
        <v>17</v>
      </c>
      <c r="L44" t="s">
        <v>15</v>
      </c>
      <c r="M44" s="17" t="str">
        <f t="shared" si="0"/>
        <v>currper</v>
      </c>
      <c r="N44" s="18" t="str">
        <f t="shared" si="1"/>
        <v>P</v>
      </c>
      <c r="O44" s="3" t="str">
        <f t="shared" si="2"/>
        <v>01</v>
      </c>
    </row>
    <row r="45" spans="1:18" ht="15.75" x14ac:dyDescent="0.25">
      <c r="A45" s="1">
        <v>43830</v>
      </c>
      <c r="B45" s="3" t="s">
        <v>41</v>
      </c>
      <c r="F45" s="1">
        <v>43829</v>
      </c>
      <c r="G45" s="1">
        <v>43856</v>
      </c>
      <c r="H45" t="s">
        <v>55</v>
      </c>
      <c r="I45" t="s">
        <v>17</v>
      </c>
      <c r="J45" t="s">
        <v>17</v>
      </c>
      <c r="L45" s="4" t="s">
        <v>15</v>
      </c>
      <c r="M45" s="17" t="str">
        <f t="shared" si="0"/>
        <v>currper</v>
      </c>
      <c r="N45" s="18" t="str">
        <f t="shared" si="1"/>
        <v>P</v>
      </c>
      <c r="O45" s="3" t="str">
        <f t="shared" si="2"/>
        <v>01</v>
      </c>
    </row>
    <row r="46" spans="1:18" ht="15.75" x14ac:dyDescent="0.25">
      <c r="A46" s="1">
        <v>43831</v>
      </c>
      <c r="B46" s="3" t="s">
        <v>41</v>
      </c>
      <c r="F46" s="1">
        <v>43829</v>
      </c>
      <c r="G46" s="1">
        <v>43856</v>
      </c>
      <c r="H46" t="s">
        <v>55</v>
      </c>
      <c r="I46" t="s">
        <v>17</v>
      </c>
      <c r="J46" t="s">
        <v>17</v>
      </c>
      <c r="L46" s="4" t="s">
        <v>15</v>
      </c>
      <c r="M46" s="17" t="str">
        <f t="shared" si="0"/>
        <v>currper</v>
      </c>
      <c r="N46" s="18" t="str">
        <f t="shared" si="1"/>
        <v>P</v>
      </c>
      <c r="O46" s="3" t="str">
        <f t="shared" si="2"/>
        <v>01</v>
      </c>
    </row>
    <row r="47" spans="1:18" ht="15.75" x14ac:dyDescent="0.25">
      <c r="A47" s="1">
        <v>43832</v>
      </c>
      <c r="B47" s="3" t="s">
        <v>41</v>
      </c>
      <c r="F47" s="1">
        <v>43829</v>
      </c>
      <c r="G47" s="1">
        <v>43856</v>
      </c>
      <c r="H47" t="s">
        <v>55</v>
      </c>
      <c r="I47" t="s">
        <v>17</v>
      </c>
      <c r="J47" t="s">
        <v>17</v>
      </c>
      <c r="L47" s="4" t="s">
        <v>15</v>
      </c>
      <c r="M47" s="17" t="str">
        <f t="shared" si="0"/>
        <v>currper</v>
      </c>
      <c r="N47" s="18" t="str">
        <f t="shared" si="1"/>
        <v>P</v>
      </c>
      <c r="O47" s="3" t="str">
        <f t="shared" si="2"/>
        <v>01</v>
      </c>
    </row>
    <row r="48" spans="1:18" s="27" customFormat="1" ht="15.75" x14ac:dyDescent="0.25">
      <c r="A48" s="36">
        <v>44189</v>
      </c>
      <c r="B48" s="37" t="s">
        <v>41</v>
      </c>
      <c r="F48" s="36">
        <v>44165</v>
      </c>
      <c r="G48" s="36">
        <v>44192</v>
      </c>
      <c r="H48" s="27" t="s">
        <v>55</v>
      </c>
      <c r="I48" s="27" t="s">
        <v>14</v>
      </c>
      <c r="J48" s="27" t="s">
        <v>12</v>
      </c>
      <c r="L48" s="27" t="s">
        <v>14</v>
      </c>
      <c r="M48" s="17" t="str">
        <f t="shared" si="0"/>
        <v>currper</v>
      </c>
      <c r="N48" s="18" t="str">
        <f t="shared" si="1"/>
        <v>P</v>
      </c>
      <c r="O48" s="3" t="str">
        <f t="shared" si="2"/>
        <v>13</v>
      </c>
    </row>
    <row r="49" spans="1:15" ht="15.75" x14ac:dyDescent="0.25">
      <c r="A49" s="1">
        <v>44190</v>
      </c>
      <c r="B49" s="3" t="s">
        <v>41</v>
      </c>
      <c r="F49" s="1">
        <v>44165</v>
      </c>
      <c r="G49" s="1">
        <v>44192</v>
      </c>
      <c r="H49" t="s">
        <v>55</v>
      </c>
      <c r="I49" t="s">
        <v>14</v>
      </c>
      <c r="J49" t="s">
        <v>12</v>
      </c>
      <c r="L49" s="4" t="s">
        <v>14</v>
      </c>
      <c r="M49" s="17" t="str">
        <f t="shared" si="0"/>
        <v>currper</v>
      </c>
      <c r="N49" s="18" t="str">
        <f t="shared" si="1"/>
        <v>P</v>
      </c>
      <c r="O49" s="3" t="str">
        <f t="shared" si="2"/>
        <v>13</v>
      </c>
    </row>
    <row r="50" spans="1:15" ht="15.75" x14ac:dyDescent="0.25">
      <c r="A50" s="1">
        <v>44191</v>
      </c>
      <c r="B50" s="3" t="s">
        <v>41</v>
      </c>
      <c r="F50" s="1">
        <v>44165</v>
      </c>
      <c r="G50" s="1">
        <v>44192</v>
      </c>
      <c r="H50" t="s">
        <v>55</v>
      </c>
      <c r="I50" t="s">
        <v>14</v>
      </c>
      <c r="J50" t="s">
        <v>12</v>
      </c>
      <c r="L50" s="4" t="s">
        <v>14</v>
      </c>
      <c r="M50" s="17" t="str">
        <f t="shared" si="0"/>
        <v>currper</v>
      </c>
      <c r="N50" s="18" t="str">
        <f t="shared" si="1"/>
        <v>P</v>
      </c>
      <c r="O50" s="3" t="str">
        <f t="shared" si="2"/>
        <v>13</v>
      </c>
    </row>
    <row r="51" spans="1:15" ht="15.75" x14ac:dyDescent="0.25">
      <c r="A51" s="1">
        <v>44192</v>
      </c>
      <c r="B51" s="3" t="s">
        <v>41</v>
      </c>
      <c r="F51" s="1">
        <v>44165</v>
      </c>
      <c r="G51" s="1">
        <v>44192</v>
      </c>
      <c r="H51" t="s">
        <v>55</v>
      </c>
      <c r="I51" t="s">
        <v>14</v>
      </c>
      <c r="J51" t="s">
        <v>12</v>
      </c>
      <c r="L51" s="4" t="s">
        <v>14</v>
      </c>
      <c r="M51" s="17" t="str">
        <f t="shared" si="0"/>
        <v>currper</v>
      </c>
      <c r="N51" s="18" t="str">
        <f t="shared" si="1"/>
        <v>P</v>
      </c>
      <c r="O51" s="3" t="str">
        <f t="shared" si="2"/>
        <v>13</v>
      </c>
    </row>
    <row r="52" spans="1:15" ht="15.75" x14ac:dyDescent="0.25">
      <c r="A52" s="1">
        <v>44193</v>
      </c>
      <c r="B52" s="3" t="s">
        <v>41</v>
      </c>
      <c r="F52" s="1">
        <v>44193</v>
      </c>
      <c r="G52" s="1">
        <v>44220</v>
      </c>
      <c r="H52" t="s">
        <v>74</v>
      </c>
      <c r="I52" t="s">
        <v>17</v>
      </c>
      <c r="J52" t="s">
        <v>17</v>
      </c>
      <c r="L52" s="4" t="s">
        <v>15</v>
      </c>
      <c r="M52" s="17" t="str">
        <f t="shared" si="0"/>
        <v>currper</v>
      </c>
      <c r="N52" s="18" t="str">
        <f t="shared" si="1"/>
        <v>P</v>
      </c>
      <c r="O52" s="3" t="str">
        <f t="shared" si="2"/>
        <v>01</v>
      </c>
    </row>
    <row r="53" spans="1:15" ht="15.75" x14ac:dyDescent="0.25">
      <c r="A53" s="1">
        <v>44194</v>
      </c>
      <c r="B53" s="3" t="s">
        <v>41</v>
      </c>
      <c r="F53" s="1">
        <v>44193</v>
      </c>
      <c r="G53" s="1">
        <v>44220</v>
      </c>
      <c r="H53" t="s">
        <v>74</v>
      </c>
      <c r="I53" t="s">
        <v>17</v>
      </c>
      <c r="J53" t="s">
        <v>17</v>
      </c>
      <c r="L53" s="4" t="s">
        <v>15</v>
      </c>
      <c r="M53" s="17" t="str">
        <f t="shared" si="0"/>
        <v>currper</v>
      </c>
      <c r="N53" s="18" t="str">
        <f t="shared" si="1"/>
        <v>P</v>
      </c>
      <c r="O53" s="3" t="str">
        <f t="shared" si="2"/>
        <v>01</v>
      </c>
    </row>
    <row r="54" spans="1:15" ht="15.75" x14ac:dyDescent="0.25">
      <c r="A54" s="1">
        <v>44195</v>
      </c>
      <c r="B54" s="3" t="s">
        <v>41</v>
      </c>
      <c r="F54" s="1">
        <v>44193</v>
      </c>
      <c r="G54" s="1">
        <v>44220</v>
      </c>
      <c r="H54" t="s">
        <v>74</v>
      </c>
      <c r="I54" t="s">
        <v>17</v>
      </c>
      <c r="J54" t="s">
        <v>17</v>
      </c>
      <c r="L54" s="4" t="s">
        <v>15</v>
      </c>
      <c r="M54" s="17" t="str">
        <f t="shared" si="0"/>
        <v>currper</v>
      </c>
      <c r="N54" s="18" t="str">
        <f t="shared" si="1"/>
        <v>P</v>
      </c>
      <c r="O54" s="3" t="str">
        <f t="shared" si="2"/>
        <v>01</v>
      </c>
    </row>
    <row r="55" spans="1:15" ht="15.75" x14ac:dyDescent="0.25">
      <c r="A55" s="1">
        <v>44196</v>
      </c>
      <c r="B55" s="3" t="s">
        <v>41</v>
      </c>
      <c r="F55" s="1">
        <v>44193</v>
      </c>
      <c r="G55" s="1">
        <v>44220</v>
      </c>
      <c r="H55" t="s">
        <v>74</v>
      </c>
      <c r="I55" t="s">
        <v>17</v>
      </c>
      <c r="J55" t="s">
        <v>17</v>
      </c>
      <c r="L55" s="4" t="s">
        <v>15</v>
      </c>
      <c r="M55" s="17" t="str">
        <f t="shared" si="0"/>
        <v>currper</v>
      </c>
      <c r="N55" s="18" t="str">
        <f t="shared" si="1"/>
        <v>P</v>
      </c>
      <c r="O55" s="3" t="str">
        <f t="shared" si="2"/>
        <v>01</v>
      </c>
    </row>
    <row r="56" spans="1:15" ht="15.75" x14ac:dyDescent="0.25">
      <c r="A56" s="1">
        <v>44197</v>
      </c>
      <c r="B56" s="3" t="s">
        <v>41</v>
      </c>
      <c r="F56" s="1">
        <v>44193</v>
      </c>
      <c r="G56" s="1">
        <v>44220</v>
      </c>
      <c r="H56" t="s">
        <v>74</v>
      </c>
      <c r="I56" t="s">
        <v>17</v>
      </c>
      <c r="J56" t="s">
        <v>17</v>
      </c>
      <c r="L56" s="4" t="s">
        <v>15</v>
      </c>
      <c r="M56" s="17" t="str">
        <f t="shared" si="0"/>
        <v>currper</v>
      </c>
      <c r="N56" s="18" t="str">
        <f t="shared" si="1"/>
        <v>P</v>
      </c>
      <c r="O56" s="3" t="str">
        <f t="shared" si="2"/>
        <v>01</v>
      </c>
    </row>
    <row r="57" spans="1:15" ht="15.75" x14ac:dyDescent="0.25">
      <c r="A57" s="1">
        <v>44198</v>
      </c>
      <c r="B57" s="3" t="s">
        <v>41</v>
      </c>
      <c r="F57" s="1">
        <v>44193</v>
      </c>
      <c r="G57" s="1">
        <v>44220</v>
      </c>
      <c r="H57" t="s">
        <v>74</v>
      </c>
      <c r="I57" t="s">
        <v>17</v>
      </c>
      <c r="J57" t="s">
        <v>17</v>
      </c>
      <c r="L57" s="4" t="s">
        <v>15</v>
      </c>
      <c r="M57" s="17" t="str">
        <f t="shared" si="0"/>
        <v>currper</v>
      </c>
      <c r="N57" s="18" t="str">
        <f t="shared" si="1"/>
        <v>P</v>
      </c>
      <c r="O57" s="3" t="str">
        <f t="shared" si="2"/>
        <v>01</v>
      </c>
    </row>
    <row r="58" spans="1:15" s="24" customFormat="1" ht="15.75" x14ac:dyDescent="0.25">
      <c r="A58" s="39">
        <v>42728</v>
      </c>
      <c r="B58" s="40" t="s">
        <v>47</v>
      </c>
      <c r="F58" s="39">
        <v>42702</v>
      </c>
      <c r="G58" s="39">
        <v>42729</v>
      </c>
      <c r="H58" s="24" t="s">
        <v>16</v>
      </c>
      <c r="I58" s="24" t="s">
        <v>14</v>
      </c>
      <c r="J58" s="24" t="s">
        <v>12</v>
      </c>
      <c r="L58" s="24" t="s">
        <v>22</v>
      </c>
      <c r="M58" s="17" t="str">
        <f t="shared" si="0"/>
        <v>wksinprd</v>
      </c>
      <c r="N58" s="18" t="str">
        <f t="shared" si="1"/>
        <v>P</v>
      </c>
      <c r="O58" s="3">
        <f t="shared" si="2"/>
        <v>4</v>
      </c>
    </row>
    <row r="59" spans="1:15" ht="15.75" x14ac:dyDescent="0.25">
      <c r="A59" s="1">
        <v>42729</v>
      </c>
      <c r="B59" s="31" t="s">
        <v>47</v>
      </c>
      <c r="F59" s="1">
        <v>42702</v>
      </c>
      <c r="G59" s="1">
        <v>42729</v>
      </c>
      <c r="H59" t="s">
        <v>16</v>
      </c>
      <c r="I59" t="s">
        <v>14</v>
      </c>
      <c r="J59" t="s">
        <v>12</v>
      </c>
      <c r="L59" s="4" t="s">
        <v>22</v>
      </c>
      <c r="M59" s="17" t="str">
        <f t="shared" si="0"/>
        <v>wksinprd</v>
      </c>
      <c r="N59" s="18" t="str">
        <f t="shared" si="1"/>
        <v>P</v>
      </c>
      <c r="O59" s="3">
        <f t="shared" si="2"/>
        <v>4</v>
      </c>
    </row>
    <row r="60" spans="1:15" ht="15.75" x14ac:dyDescent="0.25">
      <c r="A60" s="1">
        <v>42730</v>
      </c>
      <c r="B60" s="31" t="s">
        <v>47</v>
      </c>
      <c r="F60" s="1">
        <v>42730</v>
      </c>
      <c r="G60" s="1">
        <v>42757</v>
      </c>
      <c r="H60" t="s">
        <v>70</v>
      </c>
      <c r="I60" t="s">
        <v>17</v>
      </c>
      <c r="J60" t="s">
        <v>17</v>
      </c>
      <c r="L60" s="4" t="s">
        <v>22</v>
      </c>
      <c r="M60" s="17" t="str">
        <f t="shared" si="0"/>
        <v>wksinprd</v>
      </c>
      <c r="N60" s="18" t="str">
        <f t="shared" si="1"/>
        <v>P</v>
      </c>
      <c r="O60" s="3">
        <f t="shared" si="2"/>
        <v>4</v>
      </c>
    </row>
    <row r="61" spans="1:15" ht="15.75" x14ac:dyDescent="0.25">
      <c r="A61" s="1">
        <v>42731</v>
      </c>
      <c r="B61" s="31" t="s">
        <v>47</v>
      </c>
      <c r="F61" s="1">
        <v>42730</v>
      </c>
      <c r="G61" s="1">
        <v>42757</v>
      </c>
      <c r="H61" t="s">
        <v>70</v>
      </c>
      <c r="I61" t="s">
        <v>17</v>
      </c>
      <c r="J61" t="s">
        <v>17</v>
      </c>
      <c r="L61" s="4" t="s">
        <v>22</v>
      </c>
      <c r="M61" s="17" t="str">
        <f t="shared" si="0"/>
        <v>wksinprd</v>
      </c>
      <c r="N61" s="18" t="str">
        <f t="shared" si="1"/>
        <v>P</v>
      </c>
      <c r="O61" s="3">
        <f t="shared" si="2"/>
        <v>4</v>
      </c>
    </row>
    <row r="62" spans="1:15" ht="15.75" x14ac:dyDescent="0.25">
      <c r="A62" s="1">
        <v>42732</v>
      </c>
      <c r="B62" s="31" t="s">
        <v>47</v>
      </c>
      <c r="F62" s="1">
        <v>42730</v>
      </c>
      <c r="G62" s="1">
        <v>42757</v>
      </c>
      <c r="H62" t="s">
        <v>70</v>
      </c>
      <c r="I62" t="s">
        <v>17</v>
      </c>
      <c r="J62" t="s">
        <v>17</v>
      </c>
      <c r="L62" t="s">
        <v>22</v>
      </c>
      <c r="M62" s="17" t="str">
        <f t="shared" si="0"/>
        <v>wksinprd</v>
      </c>
      <c r="N62" s="18" t="str">
        <f t="shared" si="1"/>
        <v>P</v>
      </c>
      <c r="O62" s="3">
        <f t="shared" si="2"/>
        <v>4</v>
      </c>
    </row>
    <row r="63" spans="1:15" ht="15.75" x14ac:dyDescent="0.25">
      <c r="A63" s="1">
        <v>42733</v>
      </c>
      <c r="B63" s="31" t="s">
        <v>47</v>
      </c>
      <c r="F63" s="1">
        <v>42730</v>
      </c>
      <c r="G63" s="1">
        <v>42757</v>
      </c>
      <c r="H63" t="s">
        <v>70</v>
      </c>
      <c r="I63" t="s">
        <v>17</v>
      </c>
      <c r="J63" t="s">
        <v>17</v>
      </c>
      <c r="L63" t="s">
        <v>22</v>
      </c>
      <c r="M63" s="17" t="str">
        <f t="shared" si="0"/>
        <v>wksinprd</v>
      </c>
      <c r="N63" s="18" t="str">
        <f t="shared" si="1"/>
        <v>P</v>
      </c>
      <c r="O63" s="3">
        <f t="shared" si="2"/>
        <v>4</v>
      </c>
    </row>
    <row r="64" spans="1:15" ht="15.75" x14ac:dyDescent="0.25">
      <c r="A64" s="1">
        <v>42734</v>
      </c>
      <c r="B64" s="31" t="s">
        <v>47</v>
      </c>
      <c r="F64" s="1">
        <v>42730</v>
      </c>
      <c r="G64" s="1">
        <v>42757</v>
      </c>
      <c r="H64" t="s">
        <v>70</v>
      </c>
      <c r="I64" t="s">
        <v>17</v>
      </c>
      <c r="J64" t="s">
        <v>17</v>
      </c>
      <c r="L64" t="s">
        <v>22</v>
      </c>
      <c r="M64" s="17" t="str">
        <f t="shared" si="0"/>
        <v>wksinprd</v>
      </c>
      <c r="N64" s="18" t="str">
        <f t="shared" si="1"/>
        <v>P</v>
      </c>
      <c r="O64" s="3">
        <f t="shared" si="2"/>
        <v>4</v>
      </c>
    </row>
    <row r="65" spans="1:15" ht="15.75" x14ac:dyDescent="0.25">
      <c r="A65" s="1">
        <v>42735</v>
      </c>
      <c r="B65" s="31" t="s">
        <v>47</v>
      </c>
      <c r="F65" s="1">
        <v>42730</v>
      </c>
      <c r="G65" s="1">
        <v>42757</v>
      </c>
      <c r="H65" t="s">
        <v>70</v>
      </c>
      <c r="I65" t="s">
        <v>17</v>
      </c>
      <c r="J65" t="s">
        <v>17</v>
      </c>
      <c r="L65" t="s">
        <v>22</v>
      </c>
      <c r="M65" s="17" t="str">
        <f t="shared" si="0"/>
        <v>wksinprd</v>
      </c>
      <c r="N65" s="18" t="str">
        <f t="shared" si="1"/>
        <v>P</v>
      </c>
      <c r="O65" s="3">
        <f t="shared" si="2"/>
        <v>4</v>
      </c>
    </row>
    <row r="66" spans="1:15" ht="15.75" x14ac:dyDescent="0.25">
      <c r="A66" s="1">
        <v>42736</v>
      </c>
      <c r="B66" s="31" t="s">
        <v>47</v>
      </c>
      <c r="F66" s="1">
        <v>42730</v>
      </c>
      <c r="G66" s="1">
        <v>42757</v>
      </c>
      <c r="H66" t="s">
        <v>70</v>
      </c>
      <c r="I66" t="s">
        <v>17</v>
      </c>
      <c r="J66" t="s">
        <v>17</v>
      </c>
      <c r="L66" t="s">
        <v>22</v>
      </c>
      <c r="M66" s="17" t="str">
        <f t="shared" si="0"/>
        <v>wksinprd</v>
      </c>
      <c r="N66" s="18" t="str">
        <f t="shared" si="1"/>
        <v>P</v>
      </c>
      <c r="O66" s="3">
        <f t="shared" si="2"/>
        <v>4</v>
      </c>
    </row>
    <row r="67" spans="1:15" ht="15.75" x14ac:dyDescent="0.25">
      <c r="A67" s="1">
        <v>42737</v>
      </c>
      <c r="B67" s="31" t="s">
        <v>47</v>
      </c>
      <c r="F67" s="1">
        <v>42730</v>
      </c>
      <c r="G67" s="1">
        <v>42757</v>
      </c>
      <c r="H67" t="s">
        <v>70</v>
      </c>
      <c r="I67" t="s">
        <v>17</v>
      </c>
      <c r="J67" t="s">
        <v>17</v>
      </c>
      <c r="L67" t="s">
        <v>22</v>
      </c>
      <c r="M67" s="17" t="str">
        <f t="shared" si="0"/>
        <v>wksinprd</v>
      </c>
      <c r="N67" s="18" t="str">
        <f t="shared" si="1"/>
        <v>P</v>
      </c>
      <c r="O67" s="3">
        <f t="shared" si="2"/>
        <v>4</v>
      </c>
    </row>
    <row r="68" spans="1:15" s="27" customFormat="1" ht="15.75" x14ac:dyDescent="0.25">
      <c r="A68" s="36">
        <v>43093</v>
      </c>
      <c r="B68" s="37" t="s">
        <v>47</v>
      </c>
      <c r="F68" s="36">
        <v>43066</v>
      </c>
      <c r="G68" s="36">
        <v>43100</v>
      </c>
      <c r="H68" s="27" t="s">
        <v>70</v>
      </c>
      <c r="I68" s="27" t="s">
        <v>14</v>
      </c>
      <c r="J68" s="27" t="s">
        <v>12</v>
      </c>
      <c r="L68" s="27" t="s">
        <v>21</v>
      </c>
      <c r="M68" s="17" t="str">
        <f t="shared" si="0"/>
        <v>wksinprd</v>
      </c>
      <c r="N68" s="18" t="str">
        <f t="shared" si="1"/>
        <v>P</v>
      </c>
      <c r="O68" s="3">
        <f t="shared" si="2"/>
        <v>5</v>
      </c>
    </row>
    <row r="69" spans="1:15" s="34" customFormat="1" ht="15.75" x14ac:dyDescent="0.25">
      <c r="A69" s="48">
        <v>43094</v>
      </c>
      <c r="B69" s="49" t="s">
        <v>47</v>
      </c>
      <c r="F69" s="48">
        <v>43066</v>
      </c>
      <c r="G69" s="48">
        <v>43100</v>
      </c>
      <c r="H69" s="34" t="s">
        <v>70</v>
      </c>
      <c r="I69" s="34" t="s">
        <v>14</v>
      </c>
      <c r="J69" s="34" t="s">
        <v>12</v>
      </c>
      <c r="L69" s="34" t="s">
        <v>21</v>
      </c>
      <c r="M69" s="17" t="str">
        <f t="shared" si="0"/>
        <v>wksinprd</v>
      </c>
      <c r="N69" s="18" t="str">
        <f t="shared" si="1"/>
        <v>P</v>
      </c>
      <c r="O69" s="3">
        <f t="shared" si="2"/>
        <v>5</v>
      </c>
    </row>
    <row r="70" spans="1:15" s="34" customFormat="1" ht="15.75" x14ac:dyDescent="0.25">
      <c r="A70" s="48">
        <v>43095</v>
      </c>
      <c r="B70" s="49" t="s">
        <v>47</v>
      </c>
      <c r="F70" s="48">
        <v>43066</v>
      </c>
      <c r="G70" s="48">
        <v>43100</v>
      </c>
      <c r="H70" s="34" t="s">
        <v>70</v>
      </c>
      <c r="I70" s="34" t="s">
        <v>14</v>
      </c>
      <c r="J70" s="34" t="s">
        <v>12</v>
      </c>
      <c r="L70" s="34" t="s">
        <v>21</v>
      </c>
      <c r="M70" s="17" t="str">
        <f t="shared" si="0"/>
        <v>wksinprd</v>
      </c>
      <c r="N70" s="18" t="str">
        <f t="shared" si="1"/>
        <v>P</v>
      </c>
      <c r="O70" s="3">
        <f t="shared" si="2"/>
        <v>5</v>
      </c>
    </row>
    <row r="71" spans="1:15" s="34" customFormat="1" ht="15.75" x14ac:dyDescent="0.25">
      <c r="A71" s="48">
        <v>43096</v>
      </c>
      <c r="B71" s="49" t="s">
        <v>47</v>
      </c>
      <c r="F71" s="48">
        <v>43066</v>
      </c>
      <c r="G71" s="48">
        <v>43100</v>
      </c>
      <c r="H71" s="34" t="s">
        <v>70</v>
      </c>
      <c r="I71" s="34" t="s">
        <v>14</v>
      </c>
      <c r="J71" s="34" t="s">
        <v>12</v>
      </c>
      <c r="L71" s="34" t="s">
        <v>21</v>
      </c>
      <c r="M71" s="17" t="str">
        <f t="shared" si="0"/>
        <v>wksinprd</v>
      </c>
      <c r="N71" s="18" t="str">
        <f t="shared" si="1"/>
        <v>P</v>
      </c>
      <c r="O71" s="3">
        <f t="shared" si="2"/>
        <v>5</v>
      </c>
    </row>
    <row r="72" spans="1:15" s="34" customFormat="1" ht="15.75" x14ac:dyDescent="0.25">
      <c r="A72" s="48">
        <v>43097</v>
      </c>
      <c r="B72" s="49" t="s">
        <v>47</v>
      </c>
      <c r="F72" s="48">
        <v>43066</v>
      </c>
      <c r="G72" s="48">
        <v>43100</v>
      </c>
      <c r="H72" s="34" t="s">
        <v>70</v>
      </c>
      <c r="I72" s="34" t="s">
        <v>14</v>
      </c>
      <c r="J72" s="34" t="s">
        <v>12</v>
      </c>
      <c r="L72" s="34" t="s">
        <v>21</v>
      </c>
      <c r="M72" s="17" t="str">
        <f t="shared" si="0"/>
        <v>wksinprd</v>
      </c>
      <c r="N72" s="18" t="str">
        <f t="shared" si="1"/>
        <v>P</v>
      </c>
      <c r="O72" s="3">
        <f t="shared" si="2"/>
        <v>5</v>
      </c>
    </row>
    <row r="73" spans="1:15" s="34" customFormat="1" ht="15.75" x14ac:dyDescent="0.25">
      <c r="A73" s="48">
        <v>43098</v>
      </c>
      <c r="B73" s="49" t="s">
        <v>47</v>
      </c>
      <c r="F73" s="48">
        <v>43066</v>
      </c>
      <c r="G73" s="48">
        <v>43100</v>
      </c>
      <c r="H73" s="34" t="s">
        <v>70</v>
      </c>
      <c r="I73" s="34" t="s">
        <v>14</v>
      </c>
      <c r="J73" s="34" t="s">
        <v>12</v>
      </c>
      <c r="L73" s="34" t="s">
        <v>21</v>
      </c>
      <c r="M73" s="17" t="str">
        <f t="shared" ref="M73:M117" si="3">B73</f>
        <v>wksinprd</v>
      </c>
      <c r="N73" s="18" t="str">
        <f t="shared" ref="N73:N117" si="4">IF(VALUE(O73) = VALUE(L73), "P", "F")</f>
        <v>P</v>
      </c>
      <c r="O73" s="3">
        <f t="shared" ref="O73:O117" si="5">IF(M73="currper", I73, IF(M73="wksinprd", (G73-F73 + 1)/7, IF(M73="daysinprd", (G73-F73 + 1), "F")))</f>
        <v>5</v>
      </c>
    </row>
    <row r="74" spans="1:15" s="34" customFormat="1" ht="15.75" x14ac:dyDescent="0.25">
      <c r="A74" s="48">
        <v>43099</v>
      </c>
      <c r="B74" s="49" t="s">
        <v>47</v>
      </c>
      <c r="F74" s="48">
        <v>43066</v>
      </c>
      <c r="G74" s="48">
        <v>43100</v>
      </c>
      <c r="H74" s="34" t="s">
        <v>70</v>
      </c>
      <c r="I74" s="34" t="s">
        <v>14</v>
      </c>
      <c r="J74" s="34" t="s">
        <v>12</v>
      </c>
      <c r="L74" s="34" t="s">
        <v>21</v>
      </c>
      <c r="M74" s="17" t="str">
        <f t="shared" si="3"/>
        <v>wksinprd</v>
      </c>
      <c r="N74" s="18" t="str">
        <f t="shared" si="4"/>
        <v>P</v>
      </c>
      <c r="O74" s="3">
        <f t="shared" si="5"/>
        <v>5</v>
      </c>
    </row>
    <row r="75" spans="1:15" s="34" customFormat="1" ht="15.75" x14ac:dyDescent="0.25">
      <c r="A75" s="48">
        <v>43100</v>
      </c>
      <c r="B75" s="49" t="s">
        <v>47</v>
      </c>
      <c r="F75" s="48">
        <v>43066</v>
      </c>
      <c r="G75" s="48">
        <v>43100</v>
      </c>
      <c r="H75" s="34" t="s">
        <v>70</v>
      </c>
      <c r="I75" s="34" t="s">
        <v>14</v>
      </c>
      <c r="J75" s="34" t="s">
        <v>12</v>
      </c>
      <c r="L75" s="34" t="s">
        <v>21</v>
      </c>
      <c r="M75" s="17" t="str">
        <f t="shared" si="3"/>
        <v>wksinprd</v>
      </c>
      <c r="N75" s="18" t="str">
        <f t="shared" si="4"/>
        <v>P</v>
      </c>
      <c r="O75" s="3">
        <f t="shared" si="5"/>
        <v>5</v>
      </c>
    </row>
    <row r="76" spans="1:15" s="34" customFormat="1" ht="15.75" x14ac:dyDescent="0.25">
      <c r="A76" s="48">
        <v>43101</v>
      </c>
      <c r="B76" s="49" t="s">
        <v>47</v>
      </c>
      <c r="F76" s="48">
        <v>43101</v>
      </c>
      <c r="G76" s="48">
        <v>43128</v>
      </c>
      <c r="H76" s="34" t="s">
        <v>72</v>
      </c>
      <c r="I76" s="34" t="s">
        <v>17</v>
      </c>
      <c r="J76" s="34" t="s">
        <v>17</v>
      </c>
      <c r="L76" s="34" t="s">
        <v>22</v>
      </c>
      <c r="M76" s="17" t="str">
        <f t="shared" si="3"/>
        <v>wksinprd</v>
      </c>
      <c r="N76" s="18" t="str">
        <f t="shared" si="4"/>
        <v>P</v>
      </c>
      <c r="O76" s="3">
        <f t="shared" si="5"/>
        <v>4</v>
      </c>
    </row>
    <row r="77" spans="1:15" s="34" customFormat="1" ht="15.75" x14ac:dyDescent="0.25">
      <c r="A77" s="48">
        <v>43102</v>
      </c>
      <c r="B77" s="49" t="s">
        <v>47</v>
      </c>
      <c r="F77" s="48">
        <v>43101</v>
      </c>
      <c r="G77" s="48">
        <v>43128</v>
      </c>
      <c r="H77" s="34" t="s">
        <v>72</v>
      </c>
      <c r="I77" s="34" t="s">
        <v>17</v>
      </c>
      <c r="J77" s="34" t="s">
        <v>17</v>
      </c>
      <c r="L77" s="34" t="s">
        <v>22</v>
      </c>
      <c r="M77" s="17" t="str">
        <f t="shared" si="3"/>
        <v>wksinprd</v>
      </c>
      <c r="N77" s="18" t="str">
        <f t="shared" si="4"/>
        <v>P</v>
      </c>
      <c r="O77" s="3">
        <f t="shared" si="5"/>
        <v>4</v>
      </c>
    </row>
    <row r="78" spans="1:15" s="46" customFormat="1" ht="15.75" x14ac:dyDescent="0.25">
      <c r="A78" s="45">
        <v>43458</v>
      </c>
      <c r="B78" s="47" t="s">
        <v>47</v>
      </c>
      <c r="F78" s="45">
        <v>43437</v>
      </c>
      <c r="G78" s="45">
        <v>43464</v>
      </c>
      <c r="H78" s="46" t="s">
        <v>72</v>
      </c>
      <c r="I78" s="46" t="s">
        <v>14</v>
      </c>
      <c r="J78" s="46" t="s">
        <v>12</v>
      </c>
      <c r="L78" s="46" t="s">
        <v>22</v>
      </c>
      <c r="M78" s="17" t="str">
        <f t="shared" si="3"/>
        <v>wksinprd</v>
      </c>
      <c r="N78" s="18" t="str">
        <f t="shared" si="4"/>
        <v>P</v>
      </c>
      <c r="O78" s="3">
        <f t="shared" si="5"/>
        <v>4</v>
      </c>
    </row>
    <row r="79" spans="1:15" s="4" customFormat="1" ht="15.75" x14ac:dyDescent="0.25">
      <c r="A79" s="1">
        <v>43459</v>
      </c>
      <c r="B79" s="31" t="s">
        <v>47</v>
      </c>
      <c r="E79" s="2"/>
      <c r="F79" s="30">
        <v>43437</v>
      </c>
      <c r="G79" s="30">
        <v>43464</v>
      </c>
      <c r="H79" s="4" t="s">
        <v>72</v>
      </c>
      <c r="I79" s="4" t="s">
        <v>14</v>
      </c>
      <c r="J79" s="4" t="s">
        <v>12</v>
      </c>
      <c r="K79" s="2"/>
      <c r="L79" s="4" t="s">
        <v>22</v>
      </c>
      <c r="M79" s="17" t="str">
        <f t="shared" si="3"/>
        <v>wksinprd</v>
      </c>
      <c r="N79" s="18" t="str">
        <f t="shared" si="4"/>
        <v>P</v>
      </c>
      <c r="O79" s="3">
        <f t="shared" si="5"/>
        <v>4</v>
      </c>
    </row>
    <row r="80" spans="1:15" ht="15.75" x14ac:dyDescent="0.25">
      <c r="A80" s="1">
        <v>43460</v>
      </c>
      <c r="B80" s="31" t="s">
        <v>47</v>
      </c>
      <c r="F80" s="1">
        <v>43437</v>
      </c>
      <c r="G80" s="1">
        <v>43464</v>
      </c>
      <c r="H80" t="s">
        <v>72</v>
      </c>
      <c r="I80" t="s">
        <v>14</v>
      </c>
      <c r="J80" t="s">
        <v>12</v>
      </c>
      <c r="L80" t="s">
        <v>22</v>
      </c>
      <c r="M80" s="17" t="str">
        <f t="shared" si="3"/>
        <v>wksinprd</v>
      </c>
      <c r="N80" s="18" t="str">
        <f t="shared" si="4"/>
        <v>P</v>
      </c>
      <c r="O80" s="3">
        <f t="shared" si="5"/>
        <v>4</v>
      </c>
    </row>
    <row r="81" spans="1:15" ht="15.75" x14ac:dyDescent="0.25">
      <c r="A81" s="1">
        <v>43461</v>
      </c>
      <c r="B81" s="31" t="s">
        <v>47</v>
      </c>
      <c r="F81" s="1">
        <v>43437</v>
      </c>
      <c r="G81" s="1">
        <v>43464</v>
      </c>
      <c r="H81" t="s">
        <v>72</v>
      </c>
      <c r="I81" t="s">
        <v>14</v>
      </c>
      <c r="J81" t="s">
        <v>12</v>
      </c>
      <c r="L81" t="s">
        <v>22</v>
      </c>
      <c r="M81" s="17" t="str">
        <f t="shared" si="3"/>
        <v>wksinprd</v>
      </c>
      <c r="N81" s="18" t="str">
        <f t="shared" si="4"/>
        <v>P</v>
      </c>
      <c r="O81" s="3">
        <f t="shared" si="5"/>
        <v>4</v>
      </c>
    </row>
    <row r="82" spans="1:15" ht="15.75" x14ac:dyDescent="0.25">
      <c r="A82" s="1">
        <v>43462</v>
      </c>
      <c r="B82" s="31" t="s">
        <v>47</v>
      </c>
      <c r="F82" s="1">
        <v>43437</v>
      </c>
      <c r="G82" s="1">
        <v>43464</v>
      </c>
      <c r="H82" t="s">
        <v>72</v>
      </c>
      <c r="I82" t="s">
        <v>14</v>
      </c>
      <c r="J82" t="s">
        <v>12</v>
      </c>
      <c r="L82" t="s">
        <v>22</v>
      </c>
      <c r="M82" s="17" t="str">
        <f t="shared" si="3"/>
        <v>wksinprd</v>
      </c>
      <c r="N82" s="18" t="str">
        <f t="shared" si="4"/>
        <v>P</v>
      </c>
      <c r="O82" s="3">
        <f t="shared" si="5"/>
        <v>4</v>
      </c>
    </row>
    <row r="83" spans="1:15" ht="15.75" x14ac:dyDescent="0.25">
      <c r="A83" s="1">
        <v>43463</v>
      </c>
      <c r="B83" s="31" t="s">
        <v>47</v>
      </c>
      <c r="F83" s="1">
        <v>43437</v>
      </c>
      <c r="G83" s="1">
        <v>43464</v>
      </c>
      <c r="H83" t="s">
        <v>72</v>
      </c>
      <c r="I83" t="s">
        <v>14</v>
      </c>
      <c r="J83" t="s">
        <v>12</v>
      </c>
      <c r="L83" t="s">
        <v>22</v>
      </c>
      <c r="M83" s="17" t="str">
        <f t="shared" si="3"/>
        <v>wksinprd</v>
      </c>
      <c r="N83" s="18" t="str">
        <f t="shared" si="4"/>
        <v>P</v>
      </c>
      <c r="O83" s="3">
        <f t="shared" si="5"/>
        <v>4</v>
      </c>
    </row>
    <row r="84" spans="1:15" ht="15.75" x14ac:dyDescent="0.25">
      <c r="A84" s="1">
        <v>43464</v>
      </c>
      <c r="B84" s="31" t="s">
        <v>47</v>
      </c>
      <c r="F84" s="1">
        <v>43437</v>
      </c>
      <c r="G84" s="1">
        <v>43464</v>
      </c>
      <c r="H84" t="s">
        <v>72</v>
      </c>
      <c r="I84" t="s">
        <v>14</v>
      </c>
      <c r="J84" t="s">
        <v>12</v>
      </c>
      <c r="L84" t="s">
        <v>22</v>
      </c>
      <c r="M84" s="17" t="str">
        <f t="shared" si="3"/>
        <v>wksinprd</v>
      </c>
      <c r="N84" s="18" t="str">
        <f t="shared" si="4"/>
        <v>P</v>
      </c>
      <c r="O84" s="3">
        <f t="shared" si="5"/>
        <v>4</v>
      </c>
    </row>
    <row r="85" spans="1:15" ht="15.75" x14ac:dyDescent="0.25">
      <c r="A85" s="1">
        <v>43465</v>
      </c>
      <c r="B85" s="31" t="s">
        <v>47</v>
      </c>
      <c r="F85" s="1">
        <v>43465</v>
      </c>
      <c r="G85" s="1">
        <v>43492</v>
      </c>
      <c r="H85" t="s">
        <v>73</v>
      </c>
      <c r="I85" t="s">
        <v>17</v>
      </c>
      <c r="J85" t="s">
        <v>17</v>
      </c>
      <c r="L85" t="s">
        <v>22</v>
      </c>
      <c r="M85" s="17" t="str">
        <f t="shared" si="3"/>
        <v>wksinprd</v>
      </c>
      <c r="N85" s="18" t="str">
        <f t="shared" si="4"/>
        <v>P</v>
      </c>
      <c r="O85" s="3">
        <f t="shared" si="5"/>
        <v>4</v>
      </c>
    </row>
    <row r="86" spans="1:15" ht="15.75" x14ac:dyDescent="0.25">
      <c r="A86" s="1">
        <v>43466</v>
      </c>
      <c r="B86" s="31" t="s">
        <v>47</v>
      </c>
      <c r="F86" s="1">
        <v>43465</v>
      </c>
      <c r="G86" s="1">
        <v>43492</v>
      </c>
      <c r="H86" t="s">
        <v>73</v>
      </c>
      <c r="I86" t="s">
        <v>17</v>
      </c>
      <c r="J86" t="s">
        <v>17</v>
      </c>
      <c r="L86" t="s">
        <v>22</v>
      </c>
      <c r="M86" s="17" t="str">
        <f t="shared" si="3"/>
        <v>wksinprd</v>
      </c>
      <c r="N86" s="18" t="str">
        <f t="shared" si="4"/>
        <v>P</v>
      </c>
      <c r="O86" s="3">
        <f t="shared" si="5"/>
        <v>4</v>
      </c>
    </row>
    <row r="87" spans="1:15" ht="15.75" x14ac:dyDescent="0.25">
      <c r="A87" s="1">
        <v>43467</v>
      </c>
      <c r="B87" s="31" t="s">
        <v>47</v>
      </c>
      <c r="F87" s="1">
        <v>43465</v>
      </c>
      <c r="G87" s="1">
        <v>43492</v>
      </c>
      <c r="H87" t="s">
        <v>73</v>
      </c>
      <c r="I87" t="s">
        <v>17</v>
      </c>
      <c r="J87" t="s">
        <v>17</v>
      </c>
      <c r="L87" t="s">
        <v>22</v>
      </c>
      <c r="M87" s="17" t="str">
        <f t="shared" si="3"/>
        <v>wksinprd</v>
      </c>
      <c r="N87" s="18" t="str">
        <f t="shared" si="4"/>
        <v>P</v>
      </c>
      <c r="O87" s="3">
        <f t="shared" si="5"/>
        <v>4</v>
      </c>
    </row>
    <row r="88" spans="1:15" s="27" customFormat="1" ht="15.75" x14ac:dyDescent="0.25">
      <c r="A88" s="36">
        <v>43823</v>
      </c>
      <c r="B88" s="37" t="s">
        <v>47</v>
      </c>
      <c r="F88" s="36">
        <v>43801</v>
      </c>
      <c r="G88" s="36">
        <v>43828</v>
      </c>
      <c r="H88" s="27" t="s">
        <v>73</v>
      </c>
      <c r="I88" s="27" t="s">
        <v>14</v>
      </c>
      <c r="J88" s="27" t="s">
        <v>12</v>
      </c>
      <c r="L88" s="27" t="s">
        <v>22</v>
      </c>
      <c r="M88" s="17" t="str">
        <f t="shared" si="3"/>
        <v>wksinprd</v>
      </c>
      <c r="N88" s="18" t="str">
        <f t="shared" si="4"/>
        <v>P</v>
      </c>
      <c r="O88" s="3">
        <f t="shared" si="5"/>
        <v>4</v>
      </c>
    </row>
    <row r="89" spans="1:15" ht="15.75" x14ac:dyDescent="0.25">
      <c r="A89" s="1">
        <v>43824</v>
      </c>
      <c r="B89" s="31" t="s">
        <v>47</v>
      </c>
      <c r="F89" s="1">
        <v>43801</v>
      </c>
      <c r="G89" s="1">
        <v>43828</v>
      </c>
      <c r="H89" t="s">
        <v>73</v>
      </c>
      <c r="I89" t="s">
        <v>14</v>
      </c>
      <c r="J89" t="s">
        <v>12</v>
      </c>
      <c r="L89" t="s">
        <v>22</v>
      </c>
      <c r="M89" s="17" t="str">
        <f t="shared" si="3"/>
        <v>wksinprd</v>
      </c>
      <c r="N89" s="18" t="str">
        <f t="shared" si="4"/>
        <v>P</v>
      </c>
      <c r="O89" s="3">
        <f t="shared" si="5"/>
        <v>4</v>
      </c>
    </row>
    <row r="90" spans="1:15" ht="15.75" x14ac:dyDescent="0.25">
      <c r="A90" s="1">
        <v>43825</v>
      </c>
      <c r="B90" s="31" t="s">
        <v>47</v>
      </c>
      <c r="F90" s="1">
        <v>43801</v>
      </c>
      <c r="G90" s="1">
        <v>43828</v>
      </c>
      <c r="H90" t="s">
        <v>73</v>
      </c>
      <c r="I90" t="s">
        <v>14</v>
      </c>
      <c r="J90" t="s">
        <v>12</v>
      </c>
      <c r="L90" t="s">
        <v>22</v>
      </c>
      <c r="M90" s="17" t="str">
        <f t="shared" si="3"/>
        <v>wksinprd</v>
      </c>
      <c r="N90" s="18" t="str">
        <f t="shared" si="4"/>
        <v>P</v>
      </c>
      <c r="O90" s="3">
        <f t="shared" si="5"/>
        <v>4</v>
      </c>
    </row>
    <row r="91" spans="1:15" ht="15.75" x14ac:dyDescent="0.25">
      <c r="A91" s="1">
        <v>43826</v>
      </c>
      <c r="B91" s="31" t="s">
        <v>47</v>
      </c>
      <c r="F91" s="1">
        <v>43801</v>
      </c>
      <c r="G91" s="1">
        <v>43828</v>
      </c>
      <c r="H91" t="s">
        <v>73</v>
      </c>
      <c r="I91" t="s">
        <v>14</v>
      </c>
      <c r="J91" t="s">
        <v>12</v>
      </c>
      <c r="L91" t="s">
        <v>22</v>
      </c>
      <c r="M91" s="17" t="str">
        <f t="shared" si="3"/>
        <v>wksinprd</v>
      </c>
      <c r="N91" s="18" t="str">
        <f t="shared" si="4"/>
        <v>P</v>
      </c>
      <c r="O91" s="3">
        <f t="shared" si="5"/>
        <v>4</v>
      </c>
    </row>
    <row r="92" spans="1:15" ht="15.75" x14ac:dyDescent="0.25">
      <c r="A92" s="1">
        <v>43827</v>
      </c>
      <c r="B92" s="31" t="s">
        <v>47</v>
      </c>
      <c r="F92" s="1">
        <v>43801</v>
      </c>
      <c r="G92" s="1">
        <v>43828</v>
      </c>
      <c r="H92" t="s">
        <v>73</v>
      </c>
      <c r="I92" t="s">
        <v>14</v>
      </c>
      <c r="J92" t="s">
        <v>12</v>
      </c>
      <c r="L92" t="s">
        <v>22</v>
      </c>
      <c r="M92" s="17" t="str">
        <f t="shared" si="3"/>
        <v>wksinprd</v>
      </c>
      <c r="N92" s="18" t="str">
        <f t="shared" si="4"/>
        <v>P</v>
      </c>
      <c r="O92" s="3">
        <f t="shared" si="5"/>
        <v>4</v>
      </c>
    </row>
    <row r="93" spans="1:15" ht="15.75" x14ac:dyDescent="0.25">
      <c r="A93" s="1">
        <v>43828</v>
      </c>
      <c r="B93" s="31" t="s">
        <v>47</v>
      </c>
      <c r="F93" s="1">
        <v>43801</v>
      </c>
      <c r="G93" s="1">
        <v>43828</v>
      </c>
      <c r="H93" t="s">
        <v>73</v>
      </c>
      <c r="I93" t="s">
        <v>14</v>
      </c>
      <c r="J93" t="s">
        <v>12</v>
      </c>
      <c r="L93" t="s">
        <v>22</v>
      </c>
      <c r="M93" s="17" t="str">
        <f t="shared" si="3"/>
        <v>wksinprd</v>
      </c>
      <c r="N93" s="18" t="str">
        <f t="shared" si="4"/>
        <v>P</v>
      </c>
      <c r="O93" s="3">
        <f t="shared" si="5"/>
        <v>4</v>
      </c>
    </row>
    <row r="94" spans="1:15" ht="15.75" x14ac:dyDescent="0.25">
      <c r="A94" s="1">
        <v>43829</v>
      </c>
      <c r="B94" s="31" t="s">
        <v>47</v>
      </c>
      <c r="F94" s="1">
        <v>43829</v>
      </c>
      <c r="G94" s="1">
        <v>43856</v>
      </c>
      <c r="H94" t="s">
        <v>55</v>
      </c>
      <c r="I94" t="s">
        <v>17</v>
      </c>
      <c r="J94" t="s">
        <v>17</v>
      </c>
      <c r="L94" t="s">
        <v>22</v>
      </c>
      <c r="M94" s="17" t="str">
        <f t="shared" si="3"/>
        <v>wksinprd</v>
      </c>
      <c r="N94" s="18" t="str">
        <f t="shared" si="4"/>
        <v>P</v>
      </c>
      <c r="O94" s="3">
        <f t="shared" si="5"/>
        <v>4</v>
      </c>
    </row>
    <row r="95" spans="1:15" ht="15.75" x14ac:dyDescent="0.25">
      <c r="A95" s="1">
        <v>43830</v>
      </c>
      <c r="B95" s="31" t="s">
        <v>47</v>
      </c>
      <c r="F95" s="1">
        <v>43829</v>
      </c>
      <c r="G95" s="1">
        <v>43856</v>
      </c>
      <c r="H95" t="s">
        <v>55</v>
      </c>
      <c r="I95" t="s">
        <v>17</v>
      </c>
      <c r="J95" t="s">
        <v>17</v>
      </c>
      <c r="L95" t="s">
        <v>22</v>
      </c>
      <c r="M95" s="17" t="str">
        <f t="shared" si="3"/>
        <v>wksinprd</v>
      </c>
      <c r="N95" s="18" t="str">
        <f t="shared" si="4"/>
        <v>P</v>
      </c>
      <c r="O95" s="3">
        <f t="shared" si="5"/>
        <v>4</v>
      </c>
    </row>
    <row r="96" spans="1:15" ht="15.75" x14ac:dyDescent="0.25">
      <c r="A96" s="1">
        <v>43831</v>
      </c>
      <c r="B96" s="31" t="s">
        <v>47</v>
      </c>
      <c r="F96" s="1">
        <v>43829</v>
      </c>
      <c r="G96" s="1">
        <v>43856</v>
      </c>
      <c r="H96" t="s">
        <v>55</v>
      </c>
      <c r="I96" t="s">
        <v>17</v>
      </c>
      <c r="J96" t="s">
        <v>17</v>
      </c>
      <c r="L96" s="4" t="s">
        <v>22</v>
      </c>
      <c r="M96" s="17" t="str">
        <f t="shared" si="3"/>
        <v>wksinprd</v>
      </c>
      <c r="N96" s="18" t="str">
        <f t="shared" si="4"/>
        <v>P</v>
      </c>
      <c r="O96" s="3">
        <f t="shared" si="5"/>
        <v>4</v>
      </c>
    </row>
    <row r="97" spans="1:15" ht="15.75" x14ac:dyDescent="0.25">
      <c r="A97" s="1">
        <v>43832</v>
      </c>
      <c r="B97" s="31" t="s">
        <v>47</v>
      </c>
      <c r="F97" s="1">
        <v>43829</v>
      </c>
      <c r="G97" s="1">
        <v>43856</v>
      </c>
      <c r="H97" t="s">
        <v>55</v>
      </c>
      <c r="I97" t="s">
        <v>17</v>
      </c>
      <c r="J97" t="s">
        <v>17</v>
      </c>
      <c r="L97" s="4" t="s">
        <v>22</v>
      </c>
      <c r="M97" s="17" t="str">
        <f t="shared" si="3"/>
        <v>wksinprd</v>
      </c>
      <c r="N97" s="18" t="str">
        <f t="shared" si="4"/>
        <v>P</v>
      </c>
      <c r="O97" s="3">
        <f t="shared" si="5"/>
        <v>4</v>
      </c>
    </row>
    <row r="98" spans="1:15" s="27" customFormat="1" ht="15.75" x14ac:dyDescent="0.25">
      <c r="A98" s="36">
        <v>44189</v>
      </c>
      <c r="B98" s="37" t="s">
        <v>47</v>
      </c>
      <c r="F98" s="36">
        <v>44165</v>
      </c>
      <c r="G98" s="36">
        <v>44192</v>
      </c>
      <c r="H98" s="27" t="s">
        <v>55</v>
      </c>
      <c r="I98" s="27" t="s">
        <v>14</v>
      </c>
      <c r="J98" s="27" t="s">
        <v>12</v>
      </c>
      <c r="L98" s="27" t="s">
        <v>22</v>
      </c>
      <c r="M98" s="17" t="str">
        <f t="shared" si="3"/>
        <v>wksinprd</v>
      </c>
      <c r="N98" s="18" t="str">
        <f t="shared" si="4"/>
        <v>P</v>
      </c>
      <c r="O98" s="3">
        <f t="shared" si="5"/>
        <v>4</v>
      </c>
    </row>
    <row r="99" spans="1:15" ht="15.75" x14ac:dyDescent="0.25">
      <c r="A99" s="1">
        <v>44190</v>
      </c>
      <c r="B99" s="31" t="s">
        <v>47</v>
      </c>
      <c r="F99" s="1">
        <v>44165</v>
      </c>
      <c r="G99" s="1">
        <v>44192</v>
      </c>
      <c r="H99" t="s">
        <v>55</v>
      </c>
      <c r="I99" t="s">
        <v>14</v>
      </c>
      <c r="J99" t="s">
        <v>12</v>
      </c>
      <c r="L99" s="4" t="s">
        <v>22</v>
      </c>
      <c r="M99" s="17" t="str">
        <f t="shared" si="3"/>
        <v>wksinprd</v>
      </c>
      <c r="N99" s="18" t="str">
        <f t="shared" si="4"/>
        <v>P</v>
      </c>
      <c r="O99" s="3">
        <f t="shared" si="5"/>
        <v>4</v>
      </c>
    </row>
    <row r="100" spans="1:15" ht="15.75" x14ac:dyDescent="0.25">
      <c r="A100" s="1">
        <v>44191</v>
      </c>
      <c r="B100" s="31" t="s">
        <v>47</v>
      </c>
      <c r="F100" s="1">
        <v>44165</v>
      </c>
      <c r="G100" s="1">
        <v>44192</v>
      </c>
      <c r="H100" t="s">
        <v>55</v>
      </c>
      <c r="I100" t="s">
        <v>14</v>
      </c>
      <c r="J100" t="s">
        <v>12</v>
      </c>
      <c r="L100" s="4" t="s">
        <v>22</v>
      </c>
      <c r="M100" s="17" t="str">
        <f t="shared" si="3"/>
        <v>wksinprd</v>
      </c>
      <c r="N100" s="18" t="str">
        <f t="shared" si="4"/>
        <v>P</v>
      </c>
      <c r="O100" s="3">
        <f t="shared" si="5"/>
        <v>4</v>
      </c>
    </row>
    <row r="101" spans="1:15" ht="15.75" x14ac:dyDescent="0.25">
      <c r="A101" s="1">
        <v>44192</v>
      </c>
      <c r="B101" s="31" t="s">
        <v>47</v>
      </c>
      <c r="F101" s="1">
        <v>44165</v>
      </c>
      <c r="G101" s="1">
        <v>44192</v>
      </c>
      <c r="H101" t="s">
        <v>55</v>
      </c>
      <c r="I101" t="s">
        <v>14</v>
      </c>
      <c r="J101" t="s">
        <v>12</v>
      </c>
      <c r="L101" s="4" t="s">
        <v>22</v>
      </c>
      <c r="M101" s="17" t="str">
        <f t="shared" si="3"/>
        <v>wksinprd</v>
      </c>
      <c r="N101" s="18" t="str">
        <f t="shared" si="4"/>
        <v>P</v>
      </c>
      <c r="O101" s="3">
        <f t="shared" si="5"/>
        <v>4</v>
      </c>
    </row>
    <row r="102" spans="1:15" ht="15.75" x14ac:dyDescent="0.25">
      <c r="A102" s="1">
        <v>44193</v>
      </c>
      <c r="B102" s="31" t="s">
        <v>47</v>
      </c>
      <c r="F102" s="1">
        <v>44193</v>
      </c>
      <c r="G102" s="1">
        <v>44220</v>
      </c>
      <c r="H102" t="s">
        <v>74</v>
      </c>
      <c r="I102" t="s">
        <v>17</v>
      </c>
      <c r="J102" t="s">
        <v>17</v>
      </c>
      <c r="L102" s="4" t="s">
        <v>22</v>
      </c>
      <c r="M102" s="17" t="str">
        <f t="shared" si="3"/>
        <v>wksinprd</v>
      </c>
      <c r="N102" s="18" t="str">
        <f t="shared" si="4"/>
        <v>P</v>
      </c>
      <c r="O102" s="3">
        <f t="shared" si="5"/>
        <v>4</v>
      </c>
    </row>
    <row r="103" spans="1:15" ht="15.75" x14ac:dyDescent="0.25">
      <c r="A103" s="1">
        <v>44194</v>
      </c>
      <c r="B103" s="31" t="s">
        <v>47</v>
      </c>
      <c r="F103" s="1">
        <v>44193</v>
      </c>
      <c r="G103" s="1">
        <v>44220</v>
      </c>
      <c r="H103" t="s">
        <v>74</v>
      </c>
      <c r="I103" t="s">
        <v>17</v>
      </c>
      <c r="J103" t="s">
        <v>17</v>
      </c>
      <c r="L103" s="4" t="s">
        <v>22</v>
      </c>
      <c r="M103" s="17" t="str">
        <f t="shared" si="3"/>
        <v>wksinprd</v>
      </c>
      <c r="N103" s="18" t="str">
        <f t="shared" si="4"/>
        <v>P</v>
      </c>
      <c r="O103" s="3">
        <f t="shared" si="5"/>
        <v>4</v>
      </c>
    </row>
    <row r="104" spans="1:15" ht="15.75" x14ac:dyDescent="0.25">
      <c r="A104" s="1">
        <v>44195</v>
      </c>
      <c r="B104" s="31" t="s">
        <v>47</v>
      </c>
      <c r="F104" s="1">
        <v>44193</v>
      </c>
      <c r="G104" s="1">
        <v>44220</v>
      </c>
      <c r="H104" t="s">
        <v>74</v>
      </c>
      <c r="I104" t="s">
        <v>17</v>
      </c>
      <c r="J104" t="s">
        <v>17</v>
      </c>
      <c r="L104" s="4" t="s">
        <v>22</v>
      </c>
      <c r="M104" s="17" t="str">
        <f t="shared" si="3"/>
        <v>wksinprd</v>
      </c>
      <c r="N104" s="18" t="str">
        <f t="shared" si="4"/>
        <v>P</v>
      </c>
      <c r="O104" s="3">
        <f t="shared" si="5"/>
        <v>4</v>
      </c>
    </row>
    <row r="105" spans="1:15" ht="15.75" x14ac:dyDescent="0.25">
      <c r="A105" s="1">
        <v>44196</v>
      </c>
      <c r="B105" s="31" t="s">
        <v>47</v>
      </c>
      <c r="F105" s="1">
        <v>44193</v>
      </c>
      <c r="G105" s="1">
        <v>44220</v>
      </c>
      <c r="H105" t="s">
        <v>74</v>
      </c>
      <c r="I105" t="s">
        <v>17</v>
      </c>
      <c r="J105" t="s">
        <v>17</v>
      </c>
      <c r="L105" s="4" t="s">
        <v>22</v>
      </c>
      <c r="M105" s="17" t="str">
        <f t="shared" si="3"/>
        <v>wksinprd</v>
      </c>
      <c r="N105" s="18" t="str">
        <f t="shared" si="4"/>
        <v>P</v>
      </c>
      <c r="O105" s="3">
        <f t="shared" si="5"/>
        <v>4</v>
      </c>
    </row>
    <row r="106" spans="1:15" ht="15.75" x14ac:dyDescent="0.25">
      <c r="A106" s="1">
        <v>44197</v>
      </c>
      <c r="B106" s="31" t="s">
        <v>47</v>
      </c>
      <c r="F106" s="1">
        <v>44193</v>
      </c>
      <c r="G106" s="1">
        <v>44220</v>
      </c>
      <c r="H106" t="s">
        <v>74</v>
      </c>
      <c r="I106" t="s">
        <v>17</v>
      </c>
      <c r="J106" t="s">
        <v>17</v>
      </c>
      <c r="L106" s="4" t="s">
        <v>22</v>
      </c>
      <c r="M106" s="17" t="str">
        <f t="shared" si="3"/>
        <v>wksinprd</v>
      </c>
      <c r="N106" s="18" t="str">
        <f t="shared" si="4"/>
        <v>P</v>
      </c>
      <c r="O106" s="3">
        <f t="shared" si="5"/>
        <v>4</v>
      </c>
    </row>
    <row r="107" spans="1:15" ht="15.75" x14ac:dyDescent="0.25">
      <c r="A107" s="1">
        <v>44198</v>
      </c>
      <c r="B107" s="31" t="s">
        <v>47</v>
      </c>
      <c r="F107" s="1">
        <v>44193</v>
      </c>
      <c r="G107" s="1">
        <v>44220</v>
      </c>
      <c r="H107" t="s">
        <v>74</v>
      </c>
      <c r="I107" t="s">
        <v>17</v>
      </c>
      <c r="J107" t="s">
        <v>17</v>
      </c>
      <c r="L107" s="4" t="s">
        <v>22</v>
      </c>
      <c r="M107" s="17" t="str">
        <f t="shared" si="3"/>
        <v>wksinprd</v>
      </c>
      <c r="N107" s="18" t="str">
        <f t="shared" si="4"/>
        <v>P</v>
      </c>
      <c r="O107" s="3">
        <f t="shared" si="5"/>
        <v>4</v>
      </c>
    </row>
    <row r="108" spans="1:15" s="35" customFormat="1" ht="15.75" x14ac:dyDescent="0.25">
      <c r="A108" s="41">
        <v>43093</v>
      </c>
      <c r="B108" s="42" t="s">
        <v>46</v>
      </c>
      <c r="F108" s="41">
        <v>43066</v>
      </c>
      <c r="G108" s="41">
        <v>43100</v>
      </c>
      <c r="H108" s="35" t="s">
        <v>70</v>
      </c>
      <c r="I108" s="35" t="s">
        <v>14</v>
      </c>
      <c r="J108" s="35" t="s">
        <v>12</v>
      </c>
      <c r="L108" s="35" t="s">
        <v>75</v>
      </c>
      <c r="M108" s="17" t="str">
        <f t="shared" si="3"/>
        <v>daysinprd</v>
      </c>
      <c r="N108" s="18" t="str">
        <f t="shared" si="4"/>
        <v>P</v>
      </c>
      <c r="O108" s="3">
        <f t="shared" si="5"/>
        <v>35</v>
      </c>
    </row>
    <row r="109" spans="1:15" ht="15.75" x14ac:dyDescent="0.25">
      <c r="A109" s="1">
        <v>43094</v>
      </c>
      <c r="B109" s="3" t="s">
        <v>46</v>
      </c>
      <c r="F109" s="1">
        <v>43066</v>
      </c>
      <c r="G109" s="1">
        <v>43100</v>
      </c>
      <c r="H109" t="s">
        <v>70</v>
      </c>
      <c r="I109" t="s">
        <v>14</v>
      </c>
      <c r="J109" t="s">
        <v>12</v>
      </c>
      <c r="L109" s="4" t="s">
        <v>75</v>
      </c>
      <c r="M109" s="17" t="str">
        <f t="shared" si="3"/>
        <v>daysinprd</v>
      </c>
      <c r="N109" s="18" t="str">
        <f t="shared" si="4"/>
        <v>P</v>
      </c>
      <c r="O109" s="3">
        <f t="shared" si="5"/>
        <v>35</v>
      </c>
    </row>
    <row r="110" spans="1:15" ht="15.75" x14ac:dyDescent="0.25">
      <c r="A110" s="1">
        <v>43095</v>
      </c>
      <c r="B110" s="3" t="s">
        <v>46</v>
      </c>
      <c r="F110" s="1">
        <v>43066</v>
      </c>
      <c r="G110" s="1">
        <v>43100</v>
      </c>
      <c r="H110" t="s">
        <v>70</v>
      </c>
      <c r="I110" t="s">
        <v>14</v>
      </c>
      <c r="J110" t="s">
        <v>12</v>
      </c>
      <c r="L110" s="4" t="s">
        <v>75</v>
      </c>
      <c r="M110" s="17" t="str">
        <f t="shared" si="3"/>
        <v>daysinprd</v>
      </c>
      <c r="N110" s="18" t="str">
        <f t="shared" si="4"/>
        <v>P</v>
      </c>
      <c r="O110" s="3">
        <f t="shared" si="5"/>
        <v>35</v>
      </c>
    </row>
    <row r="111" spans="1:15" ht="15.75" x14ac:dyDescent="0.25">
      <c r="A111" s="1">
        <v>43096</v>
      </c>
      <c r="B111" s="3" t="s">
        <v>46</v>
      </c>
      <c r="F111" s="1">
        <v>43066</v>
      </c>
      <c r="G111" s="1">
        <v>43100</v>
      </c>
      <c r="H111" t="s">
        <v>70</v>
      </c>
      <c r="I111" t="s">
        <v>14</v>
      </c>
      <c r="J111" t="s">
        <v>12</v>
      </c>
      <c r="L111" s="4" t="s">
        <v>75</v>
      </c>
      <c r="M111" s="17" t="str">
        <f t="shared" si="3"/>
        <v>daysinprd</v>
      </c>
      <c r="N111" s="18" t="str">
        <f t="shared" si="4"/>
        <v>P</v>
      </c>
      <c r="O111" s="3">
        <f t="shared" si="5"/>
        <v>35</v>
      </c>
    </row>
    <row r="112" spans="1:15" ht="15.75" x14ac:dyDescent="0.25">
      <c r="A112" s="1">
        <v>43097</v>
      </c>
      <c r="B112" s="3" t="s">
        <v>46</v>
      </c>
      <c r="F112" s="1">
        <v>43066</v>
      </c>
      <c r="G112" s="1">
        <v>43100</v>
      </c>
      <c r="H112" t="s">
        <v>70</v>
      </c>
      <c r="I112" t="s">
        <v>14</v>
      </c>
      <c r="J112" t="s">
        <v>12</v>
      </c>
      <c r="L112" s="4" t="s">
        <v>75</v>
      </c>
      <c r="M112" s="17" t="str">
        <f t="shared" si="3"/>
        <v>daysinprd</v>
      </c>
      <c r="N112" s="18" t="str">
        <f t="shared" si="4"/>
        <v>P</v>
      </c>
      <c r="O112" s="3">
        <f t="shared" si="5"/>
        <v>35</v>
      </c>
    </row>
    <row r="113" spans="1:15" ht="15.75" x14ac:dyDescent="0.25">
      <c r="A113" s="1">
        <v>43098</v>
      </c>
      <c r="B113" s="3" t="s">
        <v>46</v>
      </c>
      <c r="F113" s="1">
        <v>43066</v>
      </c>
      <c r="G113" s="1">
        <v>43100</v>
      </c>
      <c r="H113" t="s">
        <v>70</v>
      </c>
      <c r="I113" t="s">
        <v>14</v>
      </c>
      <c r="J113" t="s">
        <v>12</v>
      </c>
      <c r="L113" t="s">
        <v>75</v>
      </c>
      <c r="M113" s="17" t="str">
        <f t="shared" si="3"/>
        <v>daysinprd</v>
      </c>
      <c r="N113" s="18" t="str">
        <f t="shared" si="4"/>
        <v>P</v>
      </c>
      <c r="O113" s="3">
        <f t="shared" si="5"/>
        <v>35</v>
      </c>
    </row>
    <row r="114" spans="1:15" ht="15.75" x14ac:dyDescent="0.25">
      <c r="A114" s="1">
        <v>43099</v>
      </c>
      <c r="B114" s="3" t="s">
        <v>46</v>
      </c>
      <c r="F114" s="1">
        <v>43066</v>
      </c>
      <c r="G114" s="1">
        <v>43100</v>
      </c>
      <c r="H114" t="s">
        <v>70</v>
      </c>
      <c r="I114" t="s">
        <v>14</v>
      </c>
      <c r="J114" t="s">
        <v>12</v>
      </c>
      <c r="L114" t="s">
        <v>75</v>
      </c>
      <c r="M114" s="17" t="str">
        <f t="shared" si="3"/>
        <v>daysinprd</v>
      </c>
      <c r="N114" s="18" t="str">
        <f t="shared" si="4"/>
        <v>P</v>
      </c>
      <c r="O114" s="3">
        <f t="shared" si="5"/>
        <v>35</v>
      </c>
    </row>
    <row r="115" spans="1:15" ht="15.75" x14ac:dyDescent="0.25">
      <c r="A115" s="1">
        <v>43100</v>
      </c>
      <c r="B115" s="3" t="s">
        <v>46</v>
      </c>
      <c r="F115" s="1">
        <v>43066</v>
      </c>
      <c r="G115" s="1">
        <v>43100</v>
      </c>
      <c r="H115" t="s">
        <v>70</v>
      </c>
      <c r="I115" t="s">
        <v>14</v>
      </c>
      <c r="J115" t="s">
        <v>12</v>
      </c>
      <c r="L115" t="s">
        <v>75</v>
      </c>
      <c r="M115" s="17" t="str">
        <f t="shared" si="3"/>
        <v>daysinprd</v>
      </c>
      <c r="N115" s="18" t="str">
        <f t="shared" si="4"/>
        <v>P</v>
      </c>
      <c r="O115" s="3">
        <f t="shared" si="5"/>
        <v>35</v>
      </c>
    </row>
    <row r="116" spans="1:15" ht="15.75" x14ac:dyDescent="0.25">
      <c r="A116" s="1">
        <v>43101</v>
      </c>
      <c r="B116" s="3" t="s">
        <v>46</v>
      </c>
      <c r="F116" s="1">
        <v>43101</v>
      </c>
      <c r="G116" s="1">
        <v>43128</v>
      </c>
      <c r="H116" t="s">
        <v>72</v>
      </c>
      <c r="I116" t="s">
        <v>17</v>
      </c>
      <c r="J116" t="s">
        <v>17</v>
      </c>
      <c r="L116" t="s">
        <v>48</v>
      </c>
      <c r="M116" s="17" t="str">
        <f t="shared" si="3"/>
        <v>daysinprd</v>
      </c>
      <c r="N116" s="18" t="str">
        <f t="shared" si="4"/>
        <v>P</v>
      </c>
      <c r="O116" s="3">
        <f t="shared" si="5"/>
        <v>28</v>
      </c>
    </row>
    <row r="117" spans="1:15" ht="15.75" x14ac:dyDescent="0.25">
      <c r="A117" s="1">
        <v>43102</v>
      </c>
      <c r="B117" s="3" t="s">
        <v>46</v>
      </c>
      <c r="F117" s="1">
        <v>43101</v>
      </c>
      <c r="G117" s="1">
        <v>43128</v>
      </c>
      <c r="H117" t="s">
        <v>72</v>
      </c>
      <c r="I117" t="s">
        <v>17</v>
      </c>
      <c r="J117" t="s">
        <v>17</v>
      </c>
      <c r="L117" t="s">
        <v>48</v>
      </c>
      <c r="M117" s="17" t="str">
        <f t="shared" si="3"/>
        <v>daysinprd</v>
      </c>
      <c r="N117" s="18" t="str">
        <f t="shared" si="4"/>
        <v>P</v>
      </c>
      <c r="O117" s="3">
        <f t="shared" si="5"/>
        <v>28</v>
      </c>
    </row>
    <row r="118" spans="1:15" ht="15.75" x14ac:dyDescent="0.25">
      <c r="A118" s="1"/>
      <c r="B118" s="3"/>
      <c r="F118" s="1"/>
      <c r="G118" s="1"/>
      <c r="M118" s="17"/>
      <c r="N118" s="18"/>
      <c r="O118" s="3"/>
    </row>
    <row r="119" spans="1:15" ht="15.75" x14ac:dyDescent="0.25">
      <c r="A119" s="1"/>
      <c r="B119" s="3"/>
      <c r="F119" s="1"/>
      <c r="G119" s="1"/>
      <c r="M119" s="17"/>
      <c r="N119" s="19"/>
    </row>
    <row r="120" spans="1:15" ht="15.75" x14ac:dyDescent="0.25">
      <c r="A120" s="1"/>
      <c r="B120" s="3"/>
      <c r="F120" s="1"/>
      <c r="G120" s="1"/>
      <c r="M120" s="17"/>
      <c r="N120" s="19"/>
    </row>
    <row r="121" spans="1:15" ht="15.75" x14ac:dyDescent="0.25">
      <c r="A121" s="1"/>
      <c r="B121" s="3"/>
      <c r="F121" s="1"/>
      <c r="G121" s="1"/>
      <c r="M121" s="17"/>
      <c r="N121" s="19"/>
    </row>
    <row r="122" spans="1:15" ht="15.75" x14ac:dyDescent="0.25">
      <c r="A122" s="1"/>
      <c r="B122" s="3"/>
      <c r="F122" s="1"/>
      <c r="G122" s="1"/>
      <c r="M122" s="17"/>
      <c r="N122" s="19"/>
    </row>
    <row r="123" spans="1:15" ht="15.75" x14ac:dyDescent="0.25">
      <c r="A123" s="1"/>
      <c r="B123" s="3"/>
      <c r="F123" s="1"/>
      <c r="G123" s="1"/>
      <c r="M123" s="17"/>
      <c r="N123" s="19"/>
    </row>
    <row r="124" spans="1:15" ht="15.75" x14ac:dyDescent="0.25">
      <c r="A124" s="1"/>
      <c r="B124" s="1"/>
      <c r="F124" s="1"/>
      <c r="G124" s="1"/>
      <c r="M124" s="17"/>
      <c r="N124" s="19"/>
    </row>
    <row r="125" spans="1:15" ht="15.75" x14ac:dyDescent="0.25">
      <c r="A125" s="1"/>
      <c r="B125" s="1"/>
      <c r="F125" s="1"/>
      <c r="G125" s="1"/>
      <c r="M125" s="17"/>
      <c r="N125" s="19"/>
    </row>
    <row r="126" spans="1:15" ht="15.75" x14ac:dyDescent="0.25">
      <c r="A126" s="1"/>
      <c r="B126" s="1"/>
      <c r="F126" s="1"/>
      <c r="G126" s="1"/>
      <c r="M126" s="17"/>
      <c r="N126" s="19"/>
    </row>
    <row r="127" spans="1:15" ht="15.75" x14ac:dyDescent="0.25">
      <c r="A127" s="1"/>
      <c r="B127" s="1"/>
      <c r="F127" s="1"/>
      <c r="G127" s="1"/>
      <c r="M127" s="17"/>
      <c r="N127" s="19"/>
    </row>
    <row r="128" spans="1:15" ht="15.75" x14ac:dyDescent="0.25">
      <c r="A128" s="1"/>
      <c r="B128" s="1"/>
      <c r="F128" s="1"/>
      <c r="G128" s="1"/>
      <c r="M128" s="17"/>
      <c r="N128" s="19"/>
    </row>
    <row r="129" spans="1:14" ht="15.75" x14ac:dyDescent="0.25">
      <c r="A129" s="1"/>
      <c r="B129" s="1"/>
      <c r="F129" s="1"/>
      <c r="G129" s="1"/>
      <c r="M129" s="17"/>
      <c r="N129" s="19"/>
    </row>
    <row r="130" spans="1:14" ht="15.75" x14ac:dyDescent="0.25">
      <c r="A130" s="1"/>
      <c r="B130" s="1"/>
      <c r="F130" s="1"/>
      <c r="G130" s="1"/>
      <c r="M130" s="17"/>
      <c r="N130" s="19"/>
    </row>
    <row r="131" spans="1:14" ht="15.75" x14ac:dyDescent="0.25">
      <c r="A131" s="1"/>
      <c r="B131" s="1"/>
      <c r="F131" s="1"/>
      <c r="G131" s="1"/>
      <c r="M131" s="17"/>
      <c r="N131" s="19"/>
    </row>
    <row r="132" spans="1:14" ht="15.75" x14ac:dyDescent="0.25">
      <c r="A132" s="1"/>
      <c r="B132" s="1"/>
      <c r="F132" s="1"/>
      <c r="G132" s="1"/>
      <c r="M132" s="17"/>
      <c r="N132" s="19"/>
    </row>
    <row r="133" spans="1:14" ht="15.75" x14ac:dyDescent="0.25">
      <c r="A133" s="1"/>
      <c r="B133" s="1"/>
      <c r="F133" s="1"/>
      <c r="G133" s="1"/>
      <c r="M133" s="17"/>
      <c r="N133" s="19"/>
    </row>
    <row r="134" spans="1:14" ht="15.75" x14ac:dyDescent="0.25">
      <c r="A134" s="1"/>
      <c r="B134" s="1"/>
      <c r="F134" s="1"/>
      <c r="G134" s="1"/>
      <c r="M134" s="17"/>
      <c r="N134" s="19"/>
    </row>
    <row r="135" spans="1:14" ht="15.75" x14ac:dyDescent="0.25">
      <c r="A135" s="1"/>
      <c r="B135" s="1"/>
      <c r="F135" s="1"/>
      <c r="G135" s="1"/>
      <c r="M135" s="17"/>
      <c r="N135" s="19"/>
    </row>
    <row r="136" spans="1:14" ht="15.75" x14ac:dyDescent="0.25">
      <c r="A136" s="1"/>
      <c r="B136" s="1"/>
      <c r="F136" s="1"/>
      <c r="G136" s="1"/>
      <c r="M136" s="17"/>
      <c r="N136" s="19"/>
    </row>
    <row r="137" spans="1:14" ht="15.75" x14ac:dyDescent="0.25">
      <c r="A137" s="1"/>
      <c r="B137" s="1"/>
      <c r="F137" s="1"/>
      <c r="G137" s="1"/>
      <c r="M137" s="17"/>
      <c r="N137" s="19"/>
    </row>
    <row r="138" spans="1:14" ht="15.75" x14ac:dyDescent="0.25">
      <c r="A138" s="1"/>
      <c r="B138" s="1"/>
      <c r="F138" s="1"/>
      <c r="G138" s="1"/>
      <c r="M138" s="17"/>
      <c r="N138" s="19"/>
    </row>
    <row r="139" spans="1:14" ht="15.75" x14ac:dyDescent="0.25">
      <c r="A139" s="1"/>
      <c r="B139" s="1"/>
      <c r="F139" s="1"/>
      <c r="G139" s="1"/>
      <c r="M139" s="17"/>
      <c r="N139" s="19"/>
    </row>
    <row r="140" spans="1:14" ht="15.75" x14ac:dyDescent="0.25">
      <c r="A140" s="1"/>
      <c r="B140" s="1"/>
      <c r="F140" s="1"/>
      <c r="G140" s="1"/>
      <c r="M140" s="17"/>
      <c r="N140" s="19"/>
    </row>
    <row r="141" spans="1:14" ht="15.75" x14ac:dyDescent="0.25">
      <c r="A141" s="1"/>
      <c r="B141" s="1"/>
      <c r="F141" s="1"/>
      <c r="G141" s="1"/>
      <c r="M141" s="17"/>
      <c r="N141" s="19"/>
    </row>
    <row r="142" spans="1:14" ht="15.75" x14ac:dyDescent="0.25">
      <c r="A142" s="1"/>
      <c r="B142" s="1"/>
      <c r="F142" s="1"/>
      <c r="G142" s="1"/>
      <c r="M142" s="17"/>
      <c r="N142" s="19"/>
    </row>
    <row r="143" spans="1:14" ht="15.75" x14ac:dyDescent="0.25">
      <c r="A143" s="1"/>
      <c r="B143" s="1"/>
      <c r="F143" s="1"/>
      <c r="G143" s="1"/>
      <c r="M143" s="17"/>
      <c r="N143" s="19"/>
    </row>
    <row r="144" spans="1:14" ht="15.75" x14ac:dyDescent="0.25">
      <c r="A144" s="1"/>
      <c r="B144" s="1"/>
      <c r="F144" s="1"/>
      <c r="G144" s="1"/>
      <c r="M144" s="17"/>
      <c r="N144" s="19"/>
    </row>
    <row r="145" spans="1:14" ht="15.75" x14ac:dyDescent="0.25">
      <c r="A145" s="1"/>
      <c r="B145" s="1"/>
      <c r="F145" s="1"/>
      <c r="G145" s="1"/>
      <c r="M145" s="17"/>
      <c r="N145" s="19"/>
    </row>
    <row r="146" spans="1:14" ht="15.75" x14ac:dyDescent="0.25">
      <c r="A146" s="1"/>
      <c r="B146" s="1"/>
      <c r="F146" s="1"/>
      <c r="G146" s="1"/>
      <c r="M146" s="17"/>
      <c r="N146" s="19"/>
    </row>
    <row r="147" spans="1:14" ht="15.75" x14ac:dyDescent="0.25">
      <c r="A147" s="1"/>
      <c r="B147" s="1"/>
      <c r="F147" s="1"/>
      <c r="G147" s="1"/>
      <c r="M147" s="17"/>
      <c r="N147" s="19"/>
    </row>
    <row r="148" spans="1:14" ht="15.75" x14ac:dyDescent="0.25">
      <c r="A148" s="1"/>
      <c r="B148" s="1"/>
      <c r="F148" s="1"/>
      <c r="G148" s="1"/>
      <c r="M148" s="17"/>
      <c r="N148" s="19"/>
    </row>
    <row r="149" spans="1:14" ht="15.75" x14ac:dyDescent="0.25">
      <c r="A149" s="1"/>
      <c r="B149" s="1"/>
      <c r="F149" s="1"/>
      <c r="G149" s="1"/>
      <c r="M149" s="17"/>
      <c r="N149" s="19"/>
    </row>
    <row r="150" spans="1:14" ht="15.75" x14ac:dyDescent="0.25">
      <c r="A150" s="1"/>
      <c r="B150" s="1"/>
      <c r="F150" s="1"/>
      <c r="G150" s="1"/>
      <c r="M150" s="17"/>
      <c r="N150" s="19"/>
    </row>
    <row r="151" spans="1:14" ht="15.75" x14ac:dyDescent="0.25">
      <c r="A151" s="1"/>
      <c r="B151" s="1"/>
      <c r="F151" s="1"/>
      <c r="G151" s="1"/>
      <c r="M151" s="17"/>
      <c r="N151" s="19"/>
    </row>
    <row r="152" spans="1:14" ht="15.75" x14ac:dyDescent="0.25">
      <c r="A152" s="1"/>
      <c r="B152" s="1"/>
      <c r="F152" s="1"/>
      <c r="G152" s="1"/>
      <c r="M152" s="17"/>
      <c r="N152" s="19"/>
    </row>
    <row r="153" spans="1:14" ht="15.75" x14ac:dyDescent="0.25">
      <c r="A153" s="1"/>
      <c r="B153" s="1"/>
      <c r="F153" s="1"/>
      <c r="G153" s="1"/>
      <c r="M153" s="17"/>
      <c r="N153" s="19"/>
    </row>
    <row r="154" spans="1:14" ht="15.75" x14ac:dyDescent="0.25">
      <c r="A154" s="1"/>
      <c r="B154" s="1"/>
      <c r="F154" s="1"/>
      <c r="G154" s="1"/>
      <c r="M154" s="17"/>
      <c r="N154" s="19"/>
    </row>
    <row r="155" spans="1:14" ht="15.75" x14ac:dyDescent="0.25">
      <c r="A155" s="1"/>
      <c r="B155" s="1"/>
      <c r="F155" s="1"/>
      <c r="G155" s="1"/>
      <c r="M155" s="17"/>
      <c r="N155" s="19"/>
    </row>
    <row r="156" spans="1:14" ht="15.75" x14ac:dyDescent="0.25">
      <c r="A156" s="1"/>
      <c r="B156" s="1"/>
      <c r="F156" s="1"/>
      <c r="G156" s="1"/>
      <c r="M156" s="17"/>
      <c r="N156" s="19"/>
    </row>
    <row r="157" spans="1:14" ht="15.75" x14ac:dyDescent="0.25">
      <c r="A157" s="1"/>
      <c r="B157" s="1"/>
      <c r="F157" s="1"/>
      <c r="G157" s="1"/>
      <c r="M157" s="17"/>
      <c r="N157" s="19"/>
    </row>
    <row r="158" spans="1:14" ht="15.75" x14ac:dyDescent="0.25">
      <c r="A158" s="1"/>
      <c r="B158" s="1"/>
      <c r="F158" s="1"/>
      <c r="G158" s="1"/>
      <c r="M158" s="17"/>
      <c r="N158" s="19"/>
    </row>
    <row r="159" spans="1:14" ht="15.75" x14ac:dyDescent="0.25">
      <c r="A159" s="1"/>
      <c r="B159" s="1"/>
      <c r="F159" s="1"/>
      <c r="G159" s="1"/>
      <c r="M159" s="17"/>
      <c r="N159" s="19"/>
    </row>
    <row r="160" spans="1:14" ht="15.75" x14ac:dyDescent="0.25">
      <c r="A160" s="1"/>
      <c r="B160" s="1"/>
      <c r="F160" s="1"/>
      <c r="G160" s="1"/>
      <c r="M160" s="17"/>
      <c r="N160" s="19"/>
    </row>
    <row r="161" spans="1:14" ht="15.75" x14ac:dyDescent="0.25">
      <c r="A161" s="1"/>
      <c r="B161" s="1"/>
      <c r="F161" s="1"/>
      <c r="G161" s="1"/>
      <c r="M161" s="17"/>
      <c r="N161" s="19"/>
    </row>
    <row r="162" spans="1:14" ht="15.75" x14ac:dyDescent="0.25">
      <c r="A162" s="1"/>
      <c r="B162" s="1"/>
      <c r="F162" s="1"/>
      <c r="G162" s="1"/>
      <c r="M162" s="17"/>
      <c r="N162" s="19"/>
    </row>
    <row r="163" spans="1:14" ht="15.75" x14ac:dyDescent="0.25">
      <c r="A163" s="1"/>
      <c r="B163" s="1"/>
      <c r="F163" s="1"/>
      <c r="G163" s="1"/>
      <c r="M163" s="17"/>
      <c r="N163" s="19"/>
    </row>
    <row r="164" spans="1:14" ht="15.75" x14ac:dyDescent="0.25">
      <c r="A164" s="1"/>
      <c r="B164" s="1"/>
      <c r="F164" s="1"/>
      <c r="G164" s="1"/>
      <c r="M164" s="17"/>
      <c r="N164" s="19"/>
    </row>
    <row r="165" spans="1:14" ht="15.75" x14ac:dyDescent="0.25">
      <c r="A165" s="1"/>
      <c r="B165" s="1"/>
      <c r="F165" s="1"/>
      <c r="G165" s="1"/>
      <c r="M165" s="17"/>
      <c r="N165" s="19"/>
    </row>
    <row r="166" spans="1:14" ht="15.75" x14ac:dyDescent="0.25">
      <c r="A166" s="1"/>
      <c r="B166" s="1"/>
      <c r="F166" s="1"/>
      <c r="G166" s="1"/>
      <c r="M166" s="17"/>
      <c r="N166" s="19"/>
    </row>
    <row r="167" spans="1:14" ht="15.75" x14ac:dyDescent="0.25">
      <c r="A167" s="1"/>
      <c r="B167" s="1"/>
      <c r="F167" s="1"/>
      <c r="G167" s="1"/>
      <c r="M167" s="17"/>
      <c r="N167" s="19"/>
    </row>
    <row r="168" spans="1:14" ht="15.75" x14ac:dyDescent="0.25">
      <c r="A168" s="1"/>
      <c r="B168" s="1"/>
      <c r="F168" s="1"/>
      <c r="G168" s="1"/>
      <c r="M168" s="17"/>
      <c r="N168" s="19"/>
    </row>
    <row r="169" spans="1:14" ht="15.75" x14ac:dyDescent="0.25">
      <c r="A169" s="1"/>
      <c r="B169" s="1"/>
      <c r="F169" s="1"/>
      <c r="G169" s="1"/>
      <c r="M169" s="17"/>
      <c r="N169" s="19"/>
    </row>
    <row r="170" spans="1:14" ht="15.75" x14ac:dyDescent="0.25">
      <c r="A170" s="1"/>
      <c r="B170" s="1"/>
      <c r="F170" s="1"/>
      <c r="G170" s="1"/>
      <c r="M170" s="17"/>
      <c r="N170" s="19"/>
    </row>
    <row r="171" spans="1:14" ht="15.75" x14ac:dyDescent="0.25">
      <c r="A171" s="1"/>
      <c r="B171" s="1"/>
      <c r="F171" s="1"/>
      <c r="G171" s="1"/>
      <c r="M171" s="17"/>
      <c r="N171" s="19"/>
    </row>
    <row r="172" spans="1:14" ht="15.75" x14ac:dyDescent="0.25">
      <c r="A172" s="1"/>
      <c r="B172" s="1"/>
      <c r="F172" s="1"/>
      <c r="G172" s="1"/>
      <c r="M172" s="17"/>
      <c r="N172" s="19"/>
    </row>
    <row r="173" spans="1:14" ht="15.75" x14ac:dyDescent="0.25">
      <c r="A173" s="1"/>
      <c r="B173" s="1"/>
      <c r="F173" s="1"/>
      <c r="G173" s="1"/>
      <c r="M173" s="17"/>
      <c r="N173" s="19"/>
    </row>
    <row r="174" spans="1:14" ht="15.75" x14ac:dyDescent="0.25">
      <c r="A174" s="1"/>
      <c r="B174" s="1"/>
      <c r="F174" s="1"/>
      <c r="G174" s="1"/>
      <c r="M174" s="17"/>
      <c r="N174" s="19"/>
    </row>
    <row r="175" spans="1:14" ht="15.75" x14ac:dyDescent="0.25">
      <c r="A175" s="1"/>
      <c r="B175" s="1"/>
      <c r="F175" s="1"/>
      <c r="G175" s="1"/>
      <c r="M175" s="17"/>
      <c r="N175" s="19"/>
    </row>
    <row r="176" spans="1:14" ht="15.75" x14ac:dyDescent="0.25">
      <c r="A176" s="1"/>
      <c r="B176" s="1"/>
      <c r="F176" s="1"/>
      <c r="G176" s="1"/>
      <c r="M176" s="17"/>
      <c r="N176" s="19"/>
    </row>
    <row r="177" spans="1:14" ht="15.75" x14ac:dyDescent="0.25">
      <c r="A177" s="1"/>
      <c r="B177" s="1"/>
      <c r="F177" s="1"/>
      <c r="G177" s="1"/>
      <c r="M177" s="17"/>
      <c r="N177" s="19"/>
    </row>
    <row r="178" spans="1:14" ht="15.75" x14ac:dyDescent="0.25">
      <c r="A178" s="1"/>
      <c r="B178" s="1"/>
      <c r="F178" s="1"/>
      <c r="G178" s="1"/>
      <c r="M178" s="17"/>
      <c r="N178" s="19"/>
    </row>
    <row r="179" spans="1:14" ht="15.75" x14ac:dyDescent="0.25">
      <c r="A179" s="1"/>
      <c r="B179" s="1"/>
      <c r="F179" s="1"/>
      <c r="G179" s="1"/>
      <c r="M179" s="17"/>
      <c r="N179" s="19"/>
    </row>
    <row r="180" spans="1:14" ht="15.75" x14ac:dyDescent="0.25">
      <c r="A180" s="1"/>
      <c r="B180" s="1"/>
      <c r="F180" s="1"/>
      <c r="G180" s="1"/>
      <c r="M180" s="17"/>
      <c r="N180" s="19"/>
    </row>
    <row r="181" spans="1:14" ht="15.75" x14ac:dyDescent="0.25">
      <c r="A181" s="1"/>
      <c r="B181" s="1"/>
      <c r="F181" s="1"/>
      <c r="G181" s="1"/>
      <c r="M181" s="17"/>
      <c r="N181" s="19"/>
    </row>
    <row r="182" spans="1:14" ht="15.75" x14ac:dyDescent="0.25">
      <c r="A182" s="1"/>
      <c r="B182" s="1"/>
      <c r="F182" s="1"/>
      <c r="G182" s="1"/>
      <c r="M182" s="17"/>
      <c r="N182" s="19"/>
    </row>
    <row r="183" spans="1:14" ht="15.75" x14ac:dyDescent="0.25">
      <c r="A183" s="1"/>
      <c r="B183" s="1"/>
      <c r="F183" s="1"/>
      <c r="G183" s="1"/>
      <c r="M183" s="17"/>
      <c r="N183" s="19"/>
    </row>
    <row r="184" spans="1:14" ht="15.75" x14ac:dyDescent="0.25">
      <c r="A184" s="1"/>
      <c r="B184" s="1"/>
      <c r="F184" s="1"/>
      <c r="G184" s="1"/>
      <c r="M184" s="17"/>
      <c r="N184" s="19"/>
    </row>
    <row r="185" spans="1:14" ht="15.75" x14ac:dyDescent="0.25">
      <c r="A185" s="1"/>
      <c r="B185" s="1"/>
      <c r="F185" s="1"/>
      <c r="G185" s="1"/>
      <c r="M185" s="17"/>
      <c r="N185" s="19"/>
    </row>
    <row r="186" spans="1:14" ht="15.75" x14ac:dyDescent="0.25">
      <c r="A186" s="1"/>
      <c r="B186" s="1"/>
      <c r="F186" s="1"/>
      <c r="G186" s="1"/>
      <c r="M186" s="17"/>
      <c r="N186" s="19"/>
    </row>
    <row r="187" spans="1:14" ht="15.75" x14ac:dyDescent="0.25">
      <c r="A187" s="1"/>
      <c r="B187" s="1"/>
      <c r="F187" s="1"/>
      <c r="G187" s="1"/>
      <c r="M187" s="17"/>
      <c r="N187" s="19"/>
    </row>
    <row r="188" spans="1:14" ht="15.75" x14ac:dyDescent="0.25">
      <c r="A188" s="1"/>
      <c r="B188" s="1"/>
      <c r="F188" s="1"/>
      <c r="G188" s="1"/>
      <c r="M188" s="17"/>
      <c r="N188" s="19"/>
    </row>
    <row r="189" spans="1:14" ht="15.75" x14ac:dyDescent="0.25">
      <c r="A189" s="1"/>
      <c r="B189" s="1"/>
      <c r="F189" s="1"/>
      <c r="G189" s="1"/>
      <c r="M189" s="17"/>
      <c r="N189" s="19"/>
    </row>
    <row r="190" spans="1:14" ht="15.75" x14ac:dyDescent="0.25">
      <c r="A190" s="1"/>
      <c r="B190" s="1"/>
      <c r="F190" s="1"/>
      <c r="G190" s="1"/>
      <c r="M190" s="17"/>
      <c r="N190" s="19"/>
    </row>
    <row r="191" spans="1:14" ht="15.75" x14ac:dyDescent="0.25">
      <c r="A191" s="1"/>
      <c r="B191" s="1"/>
      <c r="F191" s="1"/>
      <c r="G191" s="1"/>
      <c r="M191" s="17"/>
      <c r="N191" s="19"/>
    </row>
    <row r="192" spans="1:14" ht="15.75" x14ac:dyDescent="0.25">
      <c r="A192" s="1"/>
      <c r="B192" s="1"/>
      <c r="F192" s="1"/>
      <c r="G192" s="1"/>
      <c r="M192" s="17"/>
      <c r="N192" s="19"/>
    </row>
    <row r="193" spans="1:14" ht="15.75" x14ac:dyDescent="0.25">
      <c r="A193" s="1"/>
      <c r="B193" s="1"/>
      <c r="F193" s="1"/>
      <c r="G193" s="1"/>
      <c r="M193" s="17"/>
      <c r="N193" s="19"/>
    </row>
    <row r="194" spans="1:14" ht="15.75" x14ac:dyDescent="0.25">
      <c r="A194" s="1"/>
      <c r="B194" s="1"/>
      <c r="F194" s="1"/>
      <c r="G194" s="1"/>
      <c r="M194" s="17"/>
      <c r="N194" s="19"/>
    </row>
    <row r="195" spans="1:14" ht="15.75" x14ac:dyDescent="0.25">
      <c r="A195" s="1"/>
      <c r="B195" s="1"/>
      <c r="F195" s="1"/>
      <c r="G195" s="1"/>
      <c r="M195" s="17"/>
      <c r="N195" s="19"/>
    </row>
    <row r="196" spans="1:14" ht="15.75" x14ac:dyDescent="0.25">
      <c r="A196" s="1"/>
      <c r="B196" s="1"/>
      <c r="F196" s="1"/>
      <c r="G196" s="1"/>
      <c r="M196" s="17"/>
      <c r="N196" s="19"/>
    </row>
    <row r="197" spans="1:14" ht="15.75" x14ac:dyDescent="0.25">
      <c r="A197" s="1"/>
      <c r="B197" s="1"/>
      <c r="F197" s="1"/>
      <c r="G197" s="1"/>
      <c r="M197" s="17"/>
      <c r="N197" s="19"/>
    </row>
    <row r="198" spans="1:14" ht="15.75" x14ac:dyDescent="0.25">
      <c r="A198" s="1"/>
      <c r="B198" s="1"/>
      <c r="F198" s="1"/>
      <c r="G198" s="1"/>
      <c r="M198" s="17"/>
      <c r="N198" s="19"/>
    </row>
    <row r="199" spans="1:14" ht="15.75" x14ac:dyDescent="0.25">
      <c r="A199" s="1"/>
      <c r="B199" s="1"/>
      <c r="F199" s="1"/>
      <c r="G199" s="1"/>
      <c r="M199" s="17"/>
      <c r="N199" s="19"/>
    </row>
    <row r="200" spans="1:14" ht="15.75" x14ac:dyDescent="0.25">
      <c r="A200" s="1"/>
      <c r="B200" s="1"/>
      <c r="F200" s="1"/>
      <c r="G200" s="1"/>
      <c r="M200" s="17"/>
      <c r="N200" s="19"/>
    </row>
    <row r="201" spans="1:14" ht="15.75" x14ac:dyDescent="0.25">
      <c r="A201" s="1"/>
      <c r="B201" s="1"/>
      <c r="F201" s="1"/>
      <c r="G201" s="1"/>
      <c r="M201" s="17"/>
      <c r="N201" s="19"/>
    </row>
    <row r="202" spans="1:14" ht="15.75" x14ac:dyDescent="0.25">
      <c r="A202" s="1"/>
      <c r="B202" s="1"/>
      <c r="F202" s="1"/>
      <c r="G202" s="1"/>
      <c r="M202" s="17"/>
      <c r="N202" s="19"/>
    </row>
    <row r="203" spans="1:14" ht="15.75" x14ac:dyDescent="0.25">
      <c r="A203" s="1"/>
      <c r="B203" s="1"/>
      <c r="F203" s="1"/>
      <c r="G203" s="1"/>
      <c r="M203" s="17"/>
      <c r="N203" s="19"/>
    </row>
    <row r="204" spans="1:14" ht="15.75" x14ac:dyDescent="0.25">
      <c r="A204" s="1"/>
      <c r="B204" s="1"/>
      <c r="F204" s="1"/>
      <c r="G204" s="1"/>
      <c r="M204" s="17"/>
      <c r="N204" s="19"/>
    </row>
    <row r="205" spans="1:14" ht="15.75" x14ac:dyDescent="0.25">
      <c r="A205" s="1"/>
      <c r="B205" s="1"/>
      <c r="F205" s="1"/>
      <c r="G205" s="1"/>
      <c r="M205" s="17"/>
      <c r="N205" s="19"/>
    </row>
    <row r="206" spans="1:14" ht="15.75" x14ac:dyDescent="0.25">
      <c r="A206" s="1"/>
      <c r="B206" s="1"/>
      <c r="F206" s="1"/>
      <c r="G206" s="1"/>
      <c r="M206" s="17"/>
      <c r="N206" s="19"/>
    </row>
    <row r="207" spans="1:14" ht="15.75" x14ac:dyDescent="0.25">
      <c r="A207" s="1"/>
      <c r="B207" s="1"/>
      <c r="F207" s="1"/>
      <c r="G207" s="1"/>
      <c r="M207" s="17"/>
      <c r="N207" s="19"/>
    </row>
    <row r="208" spans="1:14" ht="15.75" x14ac:dyDescent="0.25">
      <c r="A208" s="1"/>
      <c r="B208" s="1"/>
      <c r="F208" s="1"/>
      <c r="G208" s="1"/>
      <c r="M208" s="17"/>
      <c r="N208" s="19"/>
    </row>
    <row r="209" spans="1:14" ht="15.75" x14ac:dyDescent="0.25">
      <c r="A209" s="1"/>
      <c r="B209" s="1"/>
      <c r="F209" s="1"/>
      <c r="G209" s="1"/>
      <c r="M209" s="17"/>
      <c r="N209" s="19"/>
    </row>
    <row r="210" spans="1:14" ht="15.75" x14ac:dyDescent="0.25">
      <c r="A210" s="1"/>
      <c r="B210" s="1"/>
      <c r="F210" s="1"/>
      <c r="G210" s="1"/>
      <c r="M210" s="17"/>
      <c r="N210" s="19"/>
    </row>
    <row r="211" spans="1:14" ht="15.75" x14ac:dyDescent="0.25">
      <c r="A211" s="1"/>
      <c r="B211" s="1"/>
      <c r="F211" s="1"/>
      <c r="G211" s="1"/>
      <c r="M211" s="17"/>
      <c r="N211" s="19"/>
    </row>
    <row r="212" spans="1:14" ht="15.75" x14ac:dyDescent="0.25">
      <c r="A212" s="1"/>
      <c r="B212" s="1"/>
      <c r="F212" s="1"/>
      <c r="G212" s="1"/>
      <c r="M212" s="17"/>
      <c r="N212" s="19"/>
    </row>
    <row r="213" spans="1:14" ht="15.75" x14ac:dyDescent="0.25">
      <c r="A213" s="1"/>
      <c r="B213" s="1"/>
      <c r="F213" s="1"/>
      <c r="G213" s="1"/>
      <c r="M213" s="17"/>
      <c r="N213" s="19"/>
    </row>
    <row r="214" spans="1:14" ht="15.75" x14ac:dyDescent="0.25">
      <c r="A214" s="1"/>
      <c r="B214" s="1"/>
      <c r="F214" s="1"/>
      <c r="G214" s="1"/>
      <c r="M214" s="17"/>
      <c r="N214" s="19"/>
    </row>
    <row r="215" spans="1:14" ht="15.75" x14ac:dyDescent="0.25">
      <c r="A215" s="1"/>
      <c r="B215" s="1"/>
      <c r="F215" s="1"/>
      <c r="G215" s="1"/>
      <c r="M215" s="17"/>
      <c r="N215" s="19"/>
    </row>
    <row r="216" spans="1:14" ht="15.75" x14ac:dyDescent="0.25">
      <c r="A216" s="1"/>
      <c r="B216" s="1"/>
      <c r="F216" s="1"/>
      <c r="G216" s="1"/>
      <c r="M216" s="17"/>
      <c r="N216" s="19"/>
    </row>
    <row r="217" spans="1:14" ht="15.75" x14ac:dyDescent="0.25">
      <c r="A217" s="1"/>
      <c r="B217" s="1"/>
      <c r="F217" s="1"/>
      <c r="G217" s="1"/>
      <c r="M217" s="17"/>
      <c r="N217" s="19"/>
    </row>
    <row r="218" spans="1:14" ht="15.75" x14ac:dyDescent="0.25">
      <c r="A218" s="1"/>
      <c r="B218" s="1"/>
      <c r="F218" s="1"/>
      <c r="G218" s="1"/>
      <c r="M218" s="17"/>
      <c r="N218" s="19"/>
    </row>
    <row r="219" spans="1:14" ht="15.75" x14ac:dyDescent="0.25">
      <c r="A219" s="1"/>
      <c r="B219" s="1"/>
      <c r="F219" s="1"/>
      <c r="G219" s="1"/>
      <c r="M219" s="17"/>
      <c r="N219" s="19"/>
    </row>
    <row r="220" spans="1:14" ht="15.75" x14ac:dyDescent="0.25">
      <c r="A220" s="1"/>
      <c r="B220" s="1"/>
      <c r="F220" s="1"/>
      <c r="G220" s="1"/>
      <c r="M220" s="17"/>
      <c r="N220" s="19"/>
    </row>
    <row r="221" spans="1:14" ht="15.75" x14ac:dyDescent="0.25">
      <c r="A221" s="1"/>
      <c r="B221" s="1"/>
      <c r="F221" s="1"/>
      <c r="G221" s="1"/>
      <c r="M221" s="17"/>
      <c r="N221" s="19"/>
    </row>
    <row r="222" spans="1:14" ht="15.75" x14ac:dyDescent="0.25">
      <c r="A222" s="1"/>
      <c r="B222" s="1"/>
      <c r="F222" s="1"/>
      <c r="G222" s="1"/>
      <c r="M222" s="17"/>
      <c r="N222" s="19"/>
    </row>
    <row r="223" spans="1:14" ht="15.75" x14ac:dyDescent="0.25">
      <c r="A223" s="1"/>
      <c r="B223" s="1"/>
      <c r="F223" s="1"/>
      <c r="G223" s="1"/>
      <c r="M223" s="17"/>
      <c r="N223" s="19"/>
    </row>
    <row r="224" spans="1:14" ht="15.75" x14ac:dyDescent="0.25">
      <c r="A224" s="1"/>
      <c r="B224" s="1"/>
      <c r="F224" s="1"/>
      <c r="G224" s="1"/>
      <c r="M224" s="17"/>
      <c r="N224" s="19"/>
    </row>
    <row r="225" spans="1:14" ht="15.75" x14ac:dyDescent="0.25">
      <c r="A225" s="1"/>
      <c r="B225" s="1"/>
      <c r="F225" s="1"/>
      <c r="G225" s="1"/>
      <c r="M225" s="17"/>
      <c r="N225" s="19"/>
    </row>
    <row r="226" spans="1:14" ht="15.75" x14ac:dyDescent="0.25">
      <c r="A226" s="1"/>
      <c r="B226" s="1"/>
      <c r="F226" s="1"/>
      <c r="G226" s="1"/>
      <c r="M226" s="17"/>
      <c r="N226" s="19"/>
    </row>
    <row r="227" spans="1:14" ht="15.75" x14ac:dyDescent="0.25">
      <c r="A227" s="1"/>
      <c r="B227" s="1"/>
      <c r="F227" s="1"/>
      <c r="G227" s="1"/>
      <c r="M227" s="17"/>
      <c r="N227" s="19"/>
    </row>
    <row r="228" spans="1:14" ht="15.75" x14ac:dyDescent="0.25">
      <c r="A228" s="1"/>
      <c r="B228" s="1"/>
      <c r="F228" s="1"/>
      <c r="G228" s="1"/>
      <c r="M228" s="17"/>
      <c r="N228" s="19"/>
    </row>
    <row r="229" spans="1:14" ht="15.75" x14ac:dyDescent="0.25">
      <c r="A229" s="1"/>
      <c r="B229" s="1"/>
      <c r="F229" s="1"/>
      <c r="G229" s="1"/>
      <c r="M229" s="17"/>
      <c r="N229" s="19"/>
    </row>
    <row r="230" spans="1:14" ht="15.75" x14ac:dyDescent="0.25">
      <c r="A230" s="1"/>
      <c r="B230" s="1"/>
      <c r="F230" s="1"/>
      <c r="G230" s="1"/>
      <c r="M230" s="17"/>
      <c r="N230" s="19"/>
    </row>
    <row r="231" spans="1:14" ht="15.75" x14ac:dyDescent="0.25">
      <c r="A231" s="1"/>
      <c r="B231" s="1"/>
      <c r="F231" s="1"/>
      <c r="G231" s="1"/>
      <c r="M231" s="17"/>
      <c r="N231" s="19"/>
    </row>
    <row r="232" spans="1:14" ht="15.75" x14ac:dyDescent="0.25">
      <c r="A232" s="1"/>
      <c r="B232" s="1"/>
      <c r="F232" s="1"/>
      <c r="G232" s="1"/>
      <c r="M232" s="17"/>
      <c r="N232" s="19"/>
    </row>
    <row r="233" spans="1:14" ht="15.75" x14ac:dyDescent="0.25">
      <c r="A233" s="1"/>
      <c r="B233" s="1"/>
      <c r="F233" s="1"/>
      <c r="G233" s="1"/>
      <c r="M233" s="17"/>
      <c r="N233" s="19"/>
    </row>
    <row r="234" spans="1:14" ht="15.75" x14ac:dyDescent="0.25">
      <c r="A234" s="1"/>
      <c r="B234" s="1"/>
      <c r="F234" s="1"/>
      <c r="G234" s="1"/>
      <c r="M234" s="17"/>
      <c r="N234" s="19"/>
    </row>
    <row r="235" spans="1:14" ht="15.75" x14ac:dyDescent="0.25">
      <c r="A235" s="1"/>
      <c r="B235" s="1"/>
      <c r="F235" s="1"/>
      <c r="G235" s="1"/>
      <c r="M235" s="17"/>
      <c r="N235" s="19"/>
    </row>
    <row r="236" spans="1:14" ht="15.75" x14ac:dyDescent="0.25">
      <c r="A236" s="1"/>
      <c r="B236" s="1"/>
      <c r="F236" s="1"/>
      <c r="G236" s="1"/>
      <c r="M236" s="17"/>
      <c r="N236" s="19"/>
    </row>
    <row r="237" spans="1:14" ht="15.75" x14ac:dyDescent="0.25">
      <c r="A237" s="1"/>
      <c r="B237" s="1"/>
      <c r="F237" s="1"/>
      <c r="G237" s="1"/>
      <c r="M237" s="17"/>
      <c r="N237" s="19"/>
    </row>
    <row r="238" spans="1:14" ht="15.75" x14ac:dyDescent="0.25">
      <c r="A238" s="1"/>
      <c r="B238" s="1"/>
      <c r="F238" s="1"/>
      <c r="G238" s="1"/>
      <c r="M238" s="17"/>
      <c r="N238" s="19"/>
    </row>
    <row r="239" spans="1:14" ht="15.75" x14ac:dyDescent="0.25">
      <c r="A239" s="1"/>
      <c r="B239" s="1"/>
      <c r="F239" s="1"/>
      <c r="G239" s="1"/>
      <c r="M239" s="17"/>
      <c r="N239" s="19"/>
    </row>
    <row r="240" spans="1:14" ht="15.75" x14ac:dyDescent="0.25">
      <c r="A240" s="1"/>
      <c r="B240" s="1"/>
      <c r="F240" s="1"/>
      <c r="G240" s="1"/>
      <c r="M240" s="17"/>
      <c r="N240" s="19"/>
    </row>
    <row r="241" spans="1:14" ht="15.75" x14ac:dyDescent="0.25">
      <c r="A241" s="1"/>
      <c r="B241" s="1"/>
      <c r="F241" s="1"/>
      <c r="G241" s="1"/>
      <c r="M241" s="17"/>
      <c r="N241" s="19"/>
    </row>
    <row r="242" spans="1:14" ht="15.75" x14ac:dyDescent="0.25">
      <c r="A242" s="1"/>
      <c r="B242" s="1"/>
      <c r="F242" s="1"/>
      <c r="G242" s="1"/>
      <c r="M242" s="17"/>
      <c r="N242" s="19"/>
    </row>
    <row r="243" spans="1:14" ht="15.75" x14ac:dyDescent="0.25">
      <c r="A243" s="1"/>
      <c r="B243" s="1"/>
      <c r="F243" s="1"/>
      <c r="G243" s="1"/>
      <c r="M243" s="17"/>
      <c r="N243" s="19"/>
    </row>
    <row r="244" spans="1:14" ht="15.75" x14ac:dyDescent="0.25">
      <c r="A244" s="1"/>
      <c r="B244" s="1"/>
      <c r="F244" s="1"/>
      <c r="G244" s="1"/>
      <c r="M244" s="17"/>
      <c r="N244" s="19"/>
    </row>
    <row r="245" spans="1:14" ht="15.75" x14ac:dyDescent="0.25">
      <c r="A245" s="1"/>
      <c r="B245" s="1"/>
      <c r="F245" s="1"/>
      <c r="G245" s="1"/>
      <c r="M245" s="17"/>
      <c r="N245" s="19"/>
    </row>
    <row r="246" spans="1:14" ht="15.75" x14ac:dyDescent="0.25">
      <c r="A246" s="1"/>
      <c r="B246" s="1"/>
      <c r="F246" s="1"/>
      <c r="G246" s="1"/>
      <c r="M246" s="17"/>
      <c r="N246" s="19"/>
    </row>
    <row r="247" spans="1:14" ht="15.75" x14ac:dyDescent="0.25">
      <c r="A247" s="1"/>
      <c r="B247" s="1"/>
      <c r="F247" s="1"/>
      <c r="G247" s="1"/>
      <c r="M247" s="17"/>
      <c r="N247" s="19"/>
    </row>
    <row r="248" spans="1:14" ht="15.75" x14ac:dyDescent="0.25">
      <c r="A248" s="1"/>
      <c r="B248" s="1"/>
      <c r="F248" s="1"/>
      <c r="G248" s="1"/>
      <c r="M248" s="17"/>
      <c r="N248" s="19"/>
    </row>
    <row r="249" spans="1:14" ht="15.75" x14ac:dyDescent="0.25">
      <c r="A249" s="1"/>
      <c r="B249" s="1"/>
      <c r="F249" s="1"/>
      <c r="G249" s="1"/>
      <c r="M249" s="17"/>
      <c r="N249" s="19"/>
    </row>
    <row r="250" spans="1:14" ht="15.75" x14ac:dyDescent="0.25">
      <c r="A250" s="1"/>
      <c r="B250" s="1"/>
      <c r="F250" s="1"/>
      <c r="G250" s="1"/>
      <c r="M250" s="17"/>
      <c r="N250" s="19"/>
    </row>
    <row r="251" spans="1:14" ht="15.75" x14ac:dyDescent="0.25">
      <c r="A251" s="1"/>
      <c r="B251" s="1"/>
      <c r="F251" s="1"/>
      <c r="G251" s="1"/>
      <c r="M251" s="17"/>
      <c r="N251" s="19"/>
    </row>
    <row r="252" spans="1:14" ht="15.75" x14ac:dyDescent="0.25">
      <c r="A252" s="1"/>
      <c r="B252" s="1"/>
      <c r="F252" s="1"/>
      <c r="G252" s="1"/>
      <c r="M252" s="17"/>
      <c r="N252" s="19"/>
    </row>
    <row r="253" spans="1:14" ht="15.75" x14ac:dyDescent="0.25">
      <c r="A253" s="1"/>
      <c r="B253" s="1"/>
      <c r="F253" s="1"/>
      <c r="G253" s="1"/>
      <c r="M253" s="17"/>
      <c r="N253" s="19"/>
    </row>
    <row r="254" spans="1:14" ht="15.75" x14ac:dyDescent="0.25">
      <c r="A254" s="1"/>
      <c r="B254" s="1"/>
      <c r="F254" s="1"/>
      <c r="G254" s="1"/>
      <c r="M254" s="17"/>
      <c r="N254" s="19"/>
    </row>
    <row r="255" spans="1:14" ht="15.75" x14ac:dyDescent="0.25">
      <c r="A255" s="1"/>
      <c r="B255" s="1"/>
      <c r="F255" s="1"/>
      <c r="G255" s="1"/>
      <c r="M255" s="17"/>
      <c r="N255" s="19"/>
    </row>
    <row r="256" spans="1:14" ht="15.75" x14ac:dyDescent="0.25">
      <c r="A256" s="1"/>
      <c r="B256" s="1"/>
      <c r="F256" s="1"/>
      <c r="G256" s="1"/>
      <c r="M256" s="17"/>
      <c r="N256" s="19"/>
    </row>
    <row r="257" spans="1:14" ht="15.75" x14ac:dyDescent="0.25">
      <c r="A257" s="1"/>
      <c r="B257" s="1"/>
      <c r="F257" s="1"/>
      <c r="G257" s="1"/>
      <c r="M257" s="17"/>
      <c r="N257" s="19"/>
    </row>
    <row r="258" spans="1:14" ht="15.75" x14ac:dyDescent="0.25">
      <c r="A258" s="1"/>
      <c r="B258" s="1"/>
      <c r="F258" s="1"/>
      <c r="G258" s="1"/>
      <c r="M258" s="17"/>
      <c r="N258" s="19"/>
    </row>
    <row r="259" spans="1:14" ht="15.75" x14ac:dyDescent="0.25">
      <c r="A259" s="1"/>
      <c r="B259" s="1"/>
      <c r="F259" s="1"/>
      <c r="G259" s="1"/>
      <c r="M259" s="17"/>
      <c r="N259" s="19"/>
    </row>
    <row r="260" spans="1:14" ht="15.75" x14ac:dyDescent="0.25">
      <c r="A260" s="1"/>
      <c r="B260" s="1"/>
      <c r="F260" s="1"/>
      <c r="G260" s="1"/>
      <c r="M260" s="17"/>
      <c r="N260" s="19"/>
    </row>
    <row r="261" spans="1:14" ht="15.75" x14ac:dyDescent="0.25">
      <c r="A261" s="1"/>
      <c r="B261" s="1"/>
      <c r="F261" s="1"/>
      <c r="G261" s="1"/>
      <c r="M261" s="17"/>
      <c r="N261" s="19"/>
    </row>
    <row r="262" spans="1:14" ht="15.75" x14ac:dyDescent="0.25">
      <c r="A262" s="1"/>
      <c r="B262" s="1"/>
      <c r="F262" s="1"/>
      <c r="G262" s="1"/>
      <c r="M262" s="17"/>
      <c r="N262" s="19"/>
    </row>
    <row r="263" spans="1:14" ht="15.75" x14ac:dyDescent="0.25">
      <c r="A263" s="1"/>
      <c r="B263" s="1"/>
      <c r="F263" s="1"/>
      <c r="G263" s="1"/>
      <c r="M263" s="17"/>
      <c r="N263" s="19"/>
    </row>
    <row r="264" spans="1:14" ht="15.75" x14ac:dyDescent="0.25">
      <c r="A264" s="1"/>
      <c r="B264" s="1"/>
      <c r="F264" s="1"/>
      <c r="G264" s="1"/>
      <c r="M264" s="17"/>
      <c r="N264" s="19"/>
    </row>
    <row r="265" spans="1:14" ht="15.75" x14ac:dyDescent="0.25">
      <c r="A265" s="1"/>
      <c r="B265" s="1"/>
      <c r="F265" s="1"/>
      <c r="G265" s="1"/>
      <c r="M265" s="17"/>
      <c r="N265" s="19"/>
    </row>
    <row r="266" spans="1:14" ht="15.75" x14ac:dyDescent="0.25">
      <c r="A266" s="1"/>
      <c r="B266" s="1"/>
      <c r="F266" s="1"/>
      <c r="G266" s="1"/>
      <c r="M266" s="17"/>
      <c r="N266" s="19"/>
    </row>
    <row r="267" spans="1:14" ht="15.75" x14ac:dyDescent="0.25">
      <c r="A267" s="1"/>
      <c r="B267" s="1"/>
      <c r="F267" s="1"/>
      <c r="G267" s="1"/>
      <c r="M267" s="17"/>
      <c r="N267" s="19"/>
    </row>
    <row r="268" spans="1:14" ht="15.75" x14ac:dyDescent="0.25">
      <c r="A268" s="1"/>
      <c r="B268" s="1"/>
      <c r="F268" s="1"/>
      <c r="G268" s="1"/>
      <c r="M268" s="17"/>
      <c r="N268" s="19"/>
    </row>
    <row r="269" spans="1:14" ht="15.75" x14ac:dyDescent="0.25">
      <c r="A269" s="1"/>
      <c r="B269" s="1"/>
      <c r="F269" s="1"/>
      <c r="G269" s="1"/>
      <c r="M269" s="17"/>
      <c r="N269" s="19"/>
    </row>
    <row r="270" spans="1:14" ht="15.75" x14ac:dyDescent="0.25">
      <c r="A270" s="1"/>
      <c r="B270" s="1"/>
      <c r="F270" s="1"/>
      <c r="G270" s="1"/>
      <c r="M270" s="17"/>
      <c r="N270" s="19"/>
    </row>
    <row r="271" spans="1:14" ht="15.75" x14ac:dyDescent="0.25">
      <c r="A271" s="1"/>
      <c r="B271" s="1"/>
      <c r="F271" s="1"/>
      <c r="G271" s="1"/>
      <c r="M271" s="17"/>
      <c r="N271" s="19"/>
    </row>
    <row r="272" spans="1:14" ht="15.75" x14ac:dyDescent="0.25">
      <c r="A272" s="1"/>
      <c r="B272" s="1"/>
      <c r="F272" s="1"/>
      <c r="G272" s="1"/>
      <c r="M272" s="17"/>
      <c r="N272" s="19"/>
    </row>
    <row r="273" spans="1:14" ht="15.75" x14ac:dyDescent="0.25">
      <c r="A273" s="1"/>
      <c r="B273" s="1"/>
      <c r="F273" s="1"/>
      <c r="G273" s="1"/>
      <c r="M273" s="17"/>
      <c r="N273" s="19"/>
    </row>
    <row r="274" spans="1:14" ht="15.75" x14ac:dyDescent="0.25">
      <c r="A274" s="1"/>
      <c r="B274" s="1"/>
      <c r="F274" s="1"/>
      <c r="G274" s="1"/>
      <c r="M274" s="17"/>
      <c r="N274" s="19"/>
    </row>
    <row r="275" spans="1:14" ht="15.75" x14ac:dyDescent="0.25">
      <c r="A275" s="1"/>
      <c r="B275" s="1"/>
      <c r="F275" s="1"/>
      <c r="G275" s="1"/>
      <c r="M275" s="17"/>
      <c r="N275" s="19"/>
    </row>
    <row r="276" spans="1:14" ht="15.75" x14ac:dyDescent="0.25">
      <c r="A276" s="1"/>
      <c r="B276" s="1"/>
      <c r="F276" s="1"/>
      <c r="G276" s="1"/>
      <c r="M276" s="17"/>
      <c r="N276" s="19"/>
    </row>
    <row r="277" spans="1:14" ht="15.75" x14ac:dyDescent="0.25">
      <c r="A277" s="1"/>
      <c r="B277" s="1"/>
      <c r="F277" s="1"/>
      <c r="G277" s="1"/>
      <c r="M277" s="17"/>
      <c r="N277" s="19"/>
    </row>
    <row r="278" spans="1:14" ht="15.75" x14ac:dyDescent="0.25">
      <c r="A278" s="1"/>
      <c r="B278" s="1"/>
      <c r="F278" s="1"/>
      <c r="G278" s="1"/>
      <c r="M278" s="17"/>
      <c r="N278" s="19"/>
    </row>
    <row r="279" spans="1:14" ht="15.75" x14ac:dyDescent="0.25">
      <c r="A279" s="1"/>
      <c r="B279" s="1"/>
      <c r="F279" s="1"/>
      <c r="G279" s="1"/>
      <c r="M279" s="17"/>
      <c r="N279" s="19"/>
    </row>
    <row r="280" spans="1:14" ht="15.75" x14ac:dyDescent="0.25">
      <c r="A280" s="1"/>
      <c r="B280" s="1"/>
      <c r="F280" s="1"/>
      <c r="G280" s="1"/>
      <c r="M280" s="17"/>
      <c r="N280" s="19"/>
    </row>
    <row r="281" spans="1:14" ht="15.75" x14ac:dyDescent="0.25">
      <c r="A281" s="1"/>
      <c r="B281" s="1"/>
      <c r="F281" s="1"/>
      <c r="G281" s="1"/>
      <c r="M281" s="17"/>
      <c r="N281" s="19"/>
    </row>
    <row r="282" spans="1:14" x14ac:dyDescent="0.25">
      <c r="A282" s="1"/>
      <c r="B282" s="1"/>
      <c r="F282" s="1"/>
      <c r="G282" s="1"/>
    </row>
    <row r="283" spans="1:14" x14ac:dyDescent="0.25">
      <c r="A283" s="1"/>
      <c r="B283" s="1"/>
      <c r="F283" s="1"/>
      <c r="G283" s="1"/>
    </row>
    <row r="284" spans="1:14" x14ac:dyDescent="0.25">
      <c r="A284" s="1"/>
      <c r="B284" s="1"/>
      <c r="F284" s="1"/>
      <c r="G284" s="1"/>
    </row>
    <row r="285" spans="1:14" x14ac:dyDescent="0.25">
      <c r="A285" s="1"/>
      <c r="B285" s="1"/>
      <c r="F285" s="1"/>
      <c r="G285" s="1"/>
    </row>
    <row r="286" spans="1:14" x14ac:dyDescent="0.25">
      <c r="A286" s="1"/>
      <c r="B286" s="1"/>
      <c r="F286" s="1"/>
      <c r="G286" s="1"/>
    </row>
    <row r="287" spans="1:14" x14ac:dyDescent="0.25">
      <c r="A287" s="1"/>
      <c r="B287" s="1"/>
      <c r="F287" s="1"/>
      <c r="G287" s="1"/>
    </row>
    <row r="288" spans="1:14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G404" s="1"/>
    </row>
    <row r="405" spans="1:7" x14ac:dyDescent="0.25">
      <c r="A405" s="1"/>
      <c r="B405" s="1"/>
      <c r="G405" s="1"/>
    </row>
    <row r="406" spans="1:7" x14ac:dyDescent="0.25">
      <c r="A406" s="1"/>
      <c r="B406" s="1"/>
      <c r="G406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8194" r:id="rId4" name="ClearBtn"/>
      </mc:Fallback>
    </mc:AlternateContent>
    <mc:AlternateContent xmlns:mc="http://schemas.openxmlformats.org/markup-compatibility/2006">
      <mc:Choice Requires="x14">
        <control shapeId="8193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8193" r:id="rId6" name="ExecuteQueries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C000"/>
  </sheetPr>
  <dimension ref="A1:AF408"/>
  <sheetViews>
    <sheetView workbookViewId="0">
      <selection activeCell="N17" sqref="N17"/>
    </sheetView>
  </sheetViews>
  <sheetFormatPr defaultRowHeight="15" x14ac:dyDescent="0.25"/>
  <cols>
    <col min="1" max="1" width="10.7109375" bestFit="1" customWidth="1"/>
    <col min="2" max="2" width="25.140625" customWidth="1"/>
    <col min="3" max="3" width="20.140625" customWidth="1"/>
    <col min="4" max="4" width="4.570312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9.85546875" bestFit="1" customWidth="1"/>
    <col min="15" max="15" width="14.140625" customWidth="1"/>
    <col min="16" max="16" width="14" customWidth="1"/>
    <col min="17" max="17" width="13.85546875" style="127" customWidth="1"/>
    <col min="18" max="18" width="21.5703125" style="127" customWidth="1"/>
    <col min="19" max="19" width="11.140625" bestFit="1" customWidth="1"/>
    <col min="20" max="20" width="10.7109375" bestFit="1" customWidth="1"/>
    <col min="21" max="21" width="11.140625" bestFit="1" customWidth="1"/>
    <col min="22" max="22" width="11.28515625" bestFit="1" customWidth="1"/>
    <col min="23" max="23" width="11" bestFit="1" customWidth="1"/>
    <col min="24" max="24" width="11.5703125" bestFit="1" customWidth="1"/>
    <col min="25" max="25" width="10.85546875" bestFit="1" customWidth="1"/>
    <col min="26" max="26" width="10.28515625" bestFit="1" customWidth="1"/>
    <col min="27" max="27" width="11.28515625" bestFit="1" customWidth="1"/>
    <col min="28" max="28" width="11.140625" bestFit="1" customWidth="1"/>
    <col min="29" max="29" width="10.28515625" bestFit="1" customWidth="1"/>
    <col min="30" max="30" width="10.85546875" bestFit="1" customWidth="1"/>
    <col min="31" max="31" width="11.42578125" bestFit="1" customWidth="1"/>
  </cols>
  <sheetData>
    <row r="1" spans="1:32" ht="43.5" customHeight="1" x14ac:dyDescent="0.25">
      <c r="E1"/>
      <c r="K1"/>
    </row>
    <row r="2" spans="1:32" x14ac:dyDescent="0.25">
      <c r="E2"/>
      <c r="H2" t="s">
        <v>20</v>
      </c>
      <c r="I2" s="5">
        <v>61</v>
      </c>
      <c r="K2"/>
    </row>
    <row r="3" spans="1:32" x14ac:dyDescent="0.25">
      <c r="E3"/>
      <c r="K3"/>
    </row>
    <row r="4" spans="1:32" s="2" customFormat="1" ht="15.75" thickBot="1" x14ac:dyDescent="0.3">
      <c r="Q4" s="128"/>
      <c r="R4" s="128"/>
    </row>
    <row r="5" spans="1:32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  <c r="Q5" s="134"/>
      <c r="R5" s="134"/>
    </row>
    <row r="6" spans="1:32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1234</v>
      </c>
      <c r="P6" s="10" t="s">
        <v>1231</v>
      </c>
      <c r="Q6" s="135" t="s">
        <v>1233</v>
      </c>
      <c r="R6" s="135" t="s">
        <v>1232</v>
      </c>
      <c r="S6" s="136" t="s">
        <v>584</v>
      </c>
      <c r="T6" s="136" t="s">
        <v>575</v>
      </c>
      <c r="U6" s="136" t="s">
        <v>576</v>
      </c>
      <c r="V6" s="136" t="s">
        <v>577</v>
      </c>
      <c r="W6" s="136" t="s">
        <v>585</v>
      </c>
      <c r="X6" s="136" t="s">
        <v>578</v>
      </c>
      <c r="Y6" s="136" t="s">
        <v>579</v>
      </c>
      <c r="Z6" s="136" t="s">
        <v>587</v>
      </c>
      <c r="AA6" s="136" t="s">
        <v>580</v>
      </c>
      <c r="AB6" s="136" t="s">
        <v>581</v>
      </c>
      <c r="AC6" s="136" t="s">
        <v>586</v>
      </c>
      <c r="AD6" s="136" t="s">
        <v>582</v>
      </c>
      <c r="AE6" s="136" t="s">
        <v>583</v>
      </c>
      <c r="AF6" s="137" t="s">
        <v>725</v>
      </c>
    </row>
    <row r="7" spans="1:32" s="2" customFormat="1" ht="15.75" thickBot="1" x14ac:dyDescent="0.3">
      <c r="F7" s="6"/>
      <c r="G7" s="6"/>
      <c r="M7" s="15"/>
      <c r="N7" s="16"/>
      <c r="Q7" s="128"/>
      <c r="R7" s="128"/>
    </row>
    <row r="8" spans="1:32" ht="15.75" x14ac:dyDescent="0.25">
      <c r="A8" s="55">
        <v>37953</v>
      </c>
      <c r="B8" s="56" t="s">
        <v>1141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s="50" t="s">
        <v>188</v>
      </c>
      <c r="M8" s="17" t="str">
        <f>B8</f>
        <v>PrevPerStart</v>
      </c>
      <c r="N8" s="133" t="str">
        <f>IF((MID(L8,1,11))=(R8), "P","F")</f>
        <v>P</v>
      </c>
      <c r="O8" s="140">
        <f>IF((M8) = "PrevPerStart", VALUE(I8) - 1, IF((M8) = "PrevPerEnd", VALUE(I8), "F"))</f>
        <v>11</v>
      </c>
      <c r="P8" s="141" t="str">
        <f>IF(VALUE(O8) = 1, S8, IF(VALUE(O8) = 2, T8,IF(VALUE(O8) = 3, U8,IF(VALUE(O8) = 4, V8, IF(VALUE(O8) = 5, W8,IF(VALUE(O8) = 6, X8,IF(VALUE(O8) = 7, Y8,IF(VALUE(O8) = 8, Z8,IF(VALUE(O8) = 9, AA8,IF(VALUE(O8) = 10, AB8,IF(VALUE(O8) = 11, AC8,IF(VALUE(O8) = 12, AD8,IF(VALUE(O8) = 13, AE8, "FAIL")))))))))))))</f>
        <v>Oct  6 2003</v>
      </c>
      <c r="Q8" s="142" t="str">
        <f>IF(MID(P8,1,3)="Jan",1, IF(MID(P8,1,3)="Feb",2, IF(MID(P8,1,3)="Mar",3, IF(MID(P8,1,3)="Apr",4,IF(MID(P8,1,3)="May",5, IF(MID(P8,1,3)="Jun",6,IF(MID(P8,1,3)="Jul",7, IF(MID(P8,1,3)="Aug",8,IF(MID(P8,1,3)="Sep",9,IF(MID(P8,1,3)="Oct",10,IF(MID(P8,1,3)="Nov",11,IF(MID(P8,1,3)="Dec",12, ) ) ) )) ) ))) )))&amp;"/" &amp; MID(P8,5,2)&amp;"/"&amp;MID(P8,8,4)</f>
        <v>10/ 6/2003</v>
      </c>
      <c r="R8" s="147" t="str">
        <f>IF(M8="prevPerStart", P8, Q8 - 1)</f>
        <v>Oct  6 2003</v>
      </c>
      <c r="S8" s="127" t="s">
        <v>353</v>
      </c>
      <c r="T8" s="127" t="s">
        <v>354</v>
      </c>
      <c r="U8" s="127" t="s">
        <v>355</v>
      </c>
      <c r="V8" s="127" t="s">
        <v>356</v>
      </c>
      <c r="W8" s="127" t="s">
        <v>357</v>
      </c>
      <c r="X8" s="127" t="s">
        <v>358</v>
      </c>
      <c r="Y8" s="127" t="s">
        <v>359</v>
      </c>
      <c r="Z8" s="127" t="s">
        <v>360</v>
      </c>
      <c r="AA8" s="127" t="s">
        <v>361</v>
      </c>
      <c r="AB8" s="127" t="s">
        <v>362</v>
      </c>
      <c r="AC8" s="127" t="s">
        <v>363</v>
      </c>
      <c r="AD8" s="127" t="s">
        <v>364</v>
      </c>
      <c r="AE8" s="127" t="s">
        <v>365</v>
      </c>
    </row>
    <row r="9" spans="1:32" ht="15.75" x14ac:dyDescent="0.25">
      <c r="A9" s="55">
        <v>37954</v>
      </c>
      <c r="B9" s="56" t="s">
        <v>1141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s="50" t="s">
        <v>188</v>
      </c>
      <c r="M9" s="132" t="str">
        <f t="shared" ref="M9:M65" si="0">B9</f>
        <v>PrevPerStart</v>
      </c>
      <c r="N9" s="133" t="str">
        <f t="shared" ref="N9:N57" si="1">IF((MID(L9,1,11))=(R9), "P","F")</f>
        <v>P</v>
      </c>
      <c r="O9" s="140">
        <f t="shared" ref="O9:O65" si="2">IF((M9) = "PrevPerStart", VALUE(I9) - 1, IF((M9) = "PrevPerEnd", VALUE(I9), "F"))</f>
        <v>11</v>
      </c>
      <c r="P9" s="143" t="str">
        <f t="shared" ref="P9:P65" si="3">IF(VALUE(O9) = 1, S9, IF(VALUE(O9) = 2, T9,IF(VALUE(O9) = 3, U9,IF(VALUE(O9) = 4, V9, IF(VALUE(O9) = 5, W9,IF(VALUE(O9) = 6, X9,IF(VALUE(O9) = 7, Y9,IF(VALUE(O9) = 8, Z9,IF(VALUE(O9) = 9, AA9,IF(VALUE(O9) = 10, AB9,IF(VALUE(O9) = 11, AC9,IF(VALUE(O9) = 12, AD9,IF(VALUE(O9) = 13, AE9, "FAIL")))))))))))))</f>
        <v>Oct  6 2003</v>
      </c>
      <c r="Q9" s="144" t="str">
        <f t="shared" ref="Q9:Q65" si="4">IF(MID(P9,1,3)="Jan",1, IF(MID(P9,1,3)="Feb",2, IF(MID(P9,1,3)="Mar",3, IF(MID(P9,1,3)="Apr",4,IF(MID(P9,1,3)="May",5, IF(MID(P9,1,3)="Jun",6,IF(MID(P9,1,3)="Jul",7, IF(MID(P9,1,3)="Aug",8,IF(MID(P9,1,3)="Sep",9,IF(MID(P9,1,3)="Oct",10,IF(MID(P9,1,3)="Nov",11,IF(MID(P9,1,3)="Dec",12, ) ) ) )) ) ))) )))&amp;"/" &amp; MID(P9,5,2)&amp;"/"&amp;MID(P9,8,4)</f>
        <v>10/ 6/2003</v>
      </c>
      <c r="R9" s="147" t="str">
        <f t="shared" ref="R9:R65" si="5">IF(M9="prevPerStart", P9, Q9 - 1)</f>
        <v>Oct  6 2003</v>
      </c>
      <c r="S9" s="127" t="s">
        <v>353</v>
      </c>
      <c r="T9" s="127" t="s">
        <v>354</v>
      </c>
      <c r="U9" s="127" t="s">
        <v>355</v>
      </c>
      <c r="V9" s="127" t="s">
        <v>356</v>
      </c>
      <c r="W9" s="127" t="s">
        <v>357</v>
      </c>
      <c r="X9" s="127" t="s">
        <v>358</v>
      </c>
      <c r="Y9" s="127" t="s">
        <v>359</v>
      </c>
      <c r="Z9" s="127" t="s">
        <v>360</v>
      </c>
      <c r="AA9" s="127" t="s">
        <v>361</v>
      </c>
      <c r="AB9" s="127" t="s">
        <v>362</v>
      </c>
      <c r="AC9" s="127" t="s">
        <v>363</v>
      </c>
      <c r="AD9" s="127" t="s">
        <v>364</v>
      </c>
      <c r="AE9" s="127" t="s">
        <v>365</v>
      </c>
    </row>
    <row r="10" spans="1:32" ht="15.75" x14ac:dyDescent="0.25">
      <c r="A10" s="55">
        <v>37955</v>
      </c>
      <c r="B10" s="56" t="s">
        <v>1141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s="50" t="s">
        <v>188</v>
      </c>
      <c r="M10" s="132" t="str">
        <f t="shared" si="0"/>
        <v>PrevPerStart</v>
      </c>
      <c r="N10" s="133" t="str">
        <f t="shared" si="1"/>
        <v>P</v>
      </c>
      <c r="O10" s="140">
        <f t="shared" si="2"/>
        <v>11</v>
      </c>
      <c r="P10" s="143" t="str">
        <f t="shared" si="3"/>
        <v>Oct  6 2003</v>
      </c>
      <c r="Q10" s="144" t="str">
        <f t="shared" si="4"/>
        <v>10/ 6/2003</v>
      </c>
      <c r="R10" s="147" t="str">
        <f t="shared" si="5"/>
        <v>Oct  6 2003</v>
      </c>
      <c r="S10" s="127" t="s">
        <v>353</v>
      </c>
      <c r="T10" s="127" t="s">
        <v>354</v>
      </c>
      <c r="U10" s="127" t="s">
        <v>355</v>
      </c>
      <c r="V10" s="127" t="s">
        <v>356</v>
      </c>
      <c r="W10" s="127" t="s">
        <v>357</v>
      </c>
      <c r="X10" s="127" t="s">
        <v>358</v>
      </c>
      <c r="Y10" s="127" t="s">
        <v>359</v>
      </c>
      <c r="Z10" s="127" t="s">
        <v>360</v>
      </c>
      <c r="AA10" s="127" t="s">
        <v>361</v>
      </c>
      <c r="AB10" s="127" t="s">
        <v>362</v>
      </c>
      <c r="AC10" s="127" t="s">
        <v>363</v>
      </c>
      <c r="AD10" s="127" t="s">
        <v>364</v>
      </c>
      <c r="AE10" s="127" t="s">
        <v>365</v>
      </c>
    </row>
    <row r="11" spans="1:32" ht="15.75" x14ac:dyDescent="0.25">
      <c r="A11" s="55">
        <v>37956</v>
      </c>
      <c r="B11" s="56" t="s">
        <v>1141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s="50" t="s">
        <v>110</v>
      </c>
      <c r="M11" s="132" t="str">
        <f t="shared" si="0"/>
        <v>PrevPerStart</v>
      </c>
      <c r="N11" s="133" t="str">
        <f t="shared" si="1"/>
        <v>P</v>
      </c>
      <c r="O11" s="140">
        <f t="shared" si="2"/>
        <v>12</v>
      </c>
      <c r="P11" s="143" t="str">
        <f t="shared" si="3"/>
        <v>Nov  3 2003</v>
      </c>
      <c r="Q11" s="144" t="str">
        <f t="shared" si="4"/>
        <v>11/ 3/2003</v>
      </c>
      <c r="R11" s="147" t="str">
        <f t="shared" si="5"/>
        <v>Nov  3 2003</v>
      </c>
      <c r="S11" s="127" t="s">
        <v>353</v>
      </c>
      <c r="T11" s="127" t="s">
        <v>354</v>
      </c>
      <c r="U11" s="127" t="s">
        <v>355</v>
      </c>
      <c r="V11" s="127" t="s">
        <v>356</v>
      </c>
      <c r="W11" s="127" t="s">
        <v>357</v>
      </c>
      <c r="X11" s="127" t="s">
        <v>358</v>
      </c>
      <c r="Y11" s="127" t="s">
        <v>359</v>
      </c>
      <c r="Z11" s="127" t="s">
        <v>360</v>
      </c>
      <c r="AA11" s="127" t="s">
        <v>361</v>
      </c>
      <c r="AB11" s="127" t="s">
        <v>362</v>
      </c>
      <c r="AC11" s="127" t="s">
        <v>363</v>
      </c>
      <c r="AD11" s="127" t="s">
        <v>364</v>
      </c>
      <c r="AE11" s="127" t="s">
        <v>365</v>
      </c>
    </row>
    <row r="12" spans="1:32" ht="15.75" x14ac:dyDescent="0.25">
      <c r="A12" s="55">
        <v>38320</v>
      </c>
      <c r="B12" s="56" t="s">
        <v>1141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s="50" t="s">
        <v>1144</v>
      </c>
      <c r="M12" s="132" t="str">
        <f t="shared" si="0"/>
        <v>PrevPerStart</v>
      </c>
      <c r="N12" s="133" t="str">
        <f t="shared" si="1"/>
        <v>P</v>
      </c>
      <c r="O12" s="140">
        <f t="shared" si="2"/>
        <v>12</v>
      </c>
      <c r="P12" s="143" t="str">
        <f t="shared" si="3"/>
        <v>Nov  1 2004</v>
      </c>
      <c r="Q12" s="144" t="str">
        <f t="shared" si="4"/>
        <v>11/ 1/2004</v>
      </c>
      <c r="R12" s="147" t="str">
        <f t="shared" si="5"/>
        <v>Nov  1 2004</v>
      </c>
      <c r="S12" s="127" t="s">
        <v>548</v>
      </c>
      <c r="T12" s="127" t="s">
        <v>549</v>
      </c>
      <c r="U12" s="127" t="s">
        <v>550</v>
      </c>
      <c r="V12" s="127" t="s">
        <v>551</v>
      </c>
      <c r="W12" s="127" t="s">
        <v>552</v>
      </c>
      <c r="X12" s="127" t="s">
        <v>553</v>
      </c>
      <c r="Y12" s="127" t="s">
        <v>554</v>
      </c>
      <c r="Z12" s="127" t="s">
        <v>555</v>
      </c>
      <c r="AA12" s="127" t="s">
        <v>556</v>
      </c>
      <c r="AB12" s="127" t="s">
        <v>557</v>
      </c>
      <c r="AC12" s="127" t="s">
        <v>558</v>
      </c>
      <c r="AD12" s="127" t="s">
        <v>559</v>
      </c>
      <c r="AE12" s="127" t="s">
        <v>560</v>
      </c>
    </row>
    <row r="13" spans="1:32" ht="15.75" x14ac:dyDescent="0.25">
      <c r="A13" s="55">
        <v>38684</v>
      </c>
      <c r="B13" s="56" t="s">
        <v>1141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s="50" t="s">
        <v>1145</v>
      </c>
      <c r="M13" s="132" t="str">
        <f t="shared" si="0"/>
        <v>PrevPerStart</v>
      </c>
      <c r="N13" s="133" t="str">
        <f t="shared" si="1"/>
        <v>P</v>
      </c>
      <c r="O13" s="140">
        <f t="shared" si="2"/>
        <v>12</v>
      </c>
      <c r="P13" s="143" t="str">
        <f t="shared" si="3"/>
        <v>Oct 31 2005</v>
      </c>
      <c r="Q13" s="144" t="str">
        <f t="shared" si="4"/>
        <v>10/31/2005</v>
      </c>
      <c r="R13" s="147" t="str">
        <f t="shared" si="5"/>
        <v>Oct 31 2005</v>
      </c>
      <c r="S13" s="127" t="s">
        <v>366</v>
      </c>
      <c r="T13" s="127" t="s">
        <v>367</v>
      </c>
      <c r="U13" s="127" t="s">
        <v>368</v>
      </c>
      <c r="V13" s="127" t="s">
        <v>369</v>
      </c>
      <c r="W13" s="127" t="s">
        <v>370</v>
      </c>
      <c r="X13" s="127" t="s">
        <v>371</v>
      </c>
      <c r="Y13" s="127" t="s">
        <v>372</v>
      </c>
      <c r="Z13" s="127" t="s">
        <v>373</v>
      </c>
      <c r="AA13" s="127" t="s">
        <v>374</v>
      </c>
      <c r="AB13" s="127" t="s">
        <v>375</v>
      </c>
      <c r="AC13" s="127" t="s">
        <v>376</v>
      </c>
      <c r="AD13" s="127" t="s">
        <v>377</v>
      </c>
      <c r="AE13" s="127" t="s">
        <v>378</v>
      </c>
    </row>
    <row r="14" spans="1:32" ht="15.75" x14ac:dyDescent="0.25">
      <c r="A14" s="55">
        <v>46356</v>
      </c>
      <c r="B14" s="56" t="s">
        <v>1141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s="50" t="s">
        <v>1146</v>
      </c>
      <c r="M14" s="132" t="str">
        <f t="shared" si="0"/>
        <v>PrevPerStart</v>
      </c>
      <c r="N14" s="133" t="str">
        <f t="shared" si="1"/>
        <v>P</v>
      </c>
      <c r="O14" s="140">
        <f t="shared" si="2"/>
        <v>12</v>
      </c>
      <c r="P14" s="143" t="str">
        <f t="shared" si="3"/>
        <v>Nov  2 2026</v>
      </c>
      <c r="Q14" s="144" t="str">
        <f t="shared" si="4"/>
        <v>11/ 2/2026</v>
      </c>
      <c r="R14" s="147" t="str">
        <f t="shared" si="5"/>
        <v>Nov  2 2026</v>
      </c>
      <c r="S14" s="127" t="s">
        <v>535</v>
      </c>
      <c r="T14" s="127" t="s">
        <v>536</v>
      </c>
      <c r="U14" s="127" t="s">
        <v>537</v>
      </c>
      <c r="V14" s="127" t="s">
        <v>538</v>
      </c>
      <c r="W14" s="127" t="s">
        <v>539</v>
      </c>
      <c r="X14" s="127" t="s">
        <v>540</v>
      </c>
      <c r="Y14" s="127" t="s">
        <v>541</v>
      </c>
      <c r="Z14" s="127" t="s">
        <v>542</v>
      </c>
      <c r="AA14" s="127" t="s">
        <v>543</v>
      </c>
      <c r="AB14" s="127" t="s">
        <v>544</v>
      </c>
      <c r="AC14" s="127" t="s">
        <v>545</v>
      </c>
      <c r="AD14" s="127" t="s">
        <v>546</v>
      </c>
      <c r="AE14" s="127" t="s">
        <v>547</v>
      </c>
    </row>
    <row r="15" spans="1:32" ht="15.75" x14ac:dyDescent="0.25">
      <c r="A15" s="55">
        <v>46720</v>
      </c>
      <c r="B15" s="56" t="s">
        <v>1141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s="50" t="s">
        <v>1147</v>
      </c>
      <c r="M15" s="132" t="str">
        <f t="shared" si="0"/>
        <v>PrevPerStart</v>
      </c>
      <c r="N15" s="133" t="str">
        <f t="shared" si="1"/>
        <v>P</v>
      </c>
      <c r="O15" s="140">
        <f t="shared" si="2"/>
        <v>12</v>
      </c>
      <c r="P15" s="143" t="str">
        <f t="shared" si="3"/>
        <v>Nov  1 2027</v>
      </c>
      <c r="Q15" s="144" t="str">
        <f t="shared" si="4"/>
        <v>11/ 1/2027</v>
      </c>
      <c r="R15" s="147" t="str">
        <f t="shared" si="5"/>
        <v>Nov  1 2027</v>
      </c>
      <c r="S15" s="127" t="s">
        <v>610</v>
      </c>
      <c r="T15" s="127" t="s">
        <v>611</v>
      </c>
      <c r="U15" s="127" t="s">
        <v>612</v>
      </c>
      <c r="V15" s="127" t="s">
        <v>613</v>
      </c>
      <c r="W15" s="127" t="s">
        <v>614</v>
      </c>
      <c r="X15" s="127" t="s">
        <v>615</v>
      </c>
      <c r="Y15" s="127" t="s">
        <v>616</v>
      </c>
      <c r="Z15" s="127" t="s">
        <v>617</v>
      </c>
      <c r="AA15" s="127" t="s">
        <v>618</v>
      </c>
      <c r="AB15" s="127" t="s">
        <v>619</v>
      </c>
      <c r="AC15" s="127" t="s">
        <v>620</v>
      </c>
      <c r="AD15" s="127" t="s">
        <v>621</v>
      </c>
      <c r="AE15" s="127" t="s">
        <v>622</v>
      </c>
    </row>
    <row r="16" spans="1:32" ht="15.75" x14ac:dyDescent="0.25">
      <c r="A16" s="55">
        <v>47084</v>
      </c>
      <c r="B16" s="56" t="s">
        <v>1141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s="50" t="s">
        <v>1148</v>
      </c>
      <c r="M16" s="132" t="str">
        <f t="shared" si="0"/>
        <v>PrevPerStart</v>
      </c>
      <c r="N16" s="133" t="str">
        <f t="shared" si="1"/>
        <v>P</v>
      </c>
      <c r="O16" s="140">
        <f t="shared" si="2"/>
        <v>12</v>
      </c>
      <c r="P16" s="143" t="str">
        <f t="shared" si="3"/>
        <v>Oct 30 2028</v>
      </c>
      <c r="Q16" s="144" t="str">
        <f t="shared" si="4"/>
        <v>10/30/2028</v>
      </c>
      <c r="R16" s="147" t="str">
        <f t="shared" si="5"/>
        <v>Oct 30 2028</v>
      </c>
      <c r="S16" s="127" t="s">
        <v>623</v>
      </c>
      <c r="T16" s="127" t="s">
        <v>624</v>
      </c>
      <c r="U16" s="127" t="s">
        <v>625</v>
      </c>
      <c r="V16" s="127" t="s">
        <v>626</v>
      </c>
      <c r="W16" s="127" t="s">
        <v>627</v>
      </c>
      <c r="X16" s="127" t="s">
        <v>628</v>
      </c>
      <c r="Y16" s="127" t="s">
        <v>629</v>
      </c>
      <c r="Z16" s="127" t="s">
        <v>630</v>
      </c>
      <c r="AA16" s="127" t="s">
        <v>631</v>
      </c>
      <c r="AB16" s="127" t="s">
        <v>632</v>
      </c>
      <c r="AC16" s="127" t="s">
        <v>633</v>
      </c>
      <c r="AD16" s="127" t="s">
        <v>634</v>
      </c>
      <c r="AE16" s="127" t="s">
        <v>635</v>
      </c>
    </row>
    <row r="17" spans="1:31" ht="15.75" x14ac:dyDescent="0.25">
      <c r="A17" s="55">
        <v>47455</v>
      </c>
      <c r="B17" s="56" t="s">
        <v>1141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s="50" t="s">
        <v>1149</v>
      </c>
      <c r="M17" s="132" t="str">
        <f t="shared" si="0"/>
        <v>PrevPerStart</v>
      </c>
      <c r="N17" s="133" t="str">
        <f t="shared" si="1"/>
        <v>P</v>
      </c>
      <c r="O17" s="140">
        <f t="shared" si="2"/>
        <v>12</v>
      </c>
      <c r="P17" s="143" t="str">
        <f t="shared" si="3"/>
        <v>Nov  5 2029</v>
      </c>
      <c r="Q17" s="144" t="str">
        <f t="shared" si="4"/>
        <v>11/ 5/2029</v>
      </c>
      <c r="R17" s="147" t="str">
        <f t="shared" si="5"/>
        <v>Nov  5 2029</v>
      </c>
      <c r="S17" s="127" t="s">
        <v>483</v>
      </c>
      <c r="T17" s="127" t="s">
        <v>484</v>
      </c>
      <c r="U17" s="127" t="s">
        <v>485</v>
      </c>
      <c r="V17" s="127" t="s">
        <v>486</v>
      </c>
      <c r="W17" s="127" t="s">
        <v>487</v>
      </c>
      <c r="X17" s="127" t="s">
        <v>488</v>
      </c>
      <c r="Y17" s="127" t="s">
        <v>489</v>
      </c>
      <c r="Z17" s="127" t="s">
        <v>490</v>
      </c>
      <c r="AA17" s="127" t="s">
        <v>491</v>
      </c>
      <c r="AB17" s="127" t="s">
        <v>492</v>
      </c>
      <c r="AC17" s="127" t="s">
        <v>493</v>
      </c>
      <c r="AD17" s="127" t="s">
        <v>494</v>
      </c>
      <c r="AE17" s="127" t="s">
        <v>495</v>
      </c>
    </row>
    <row r="18" spans="1:31" ht="15.75" x14ac:dyDescent="0.25">
      <c r="A18" s="55">
        <v>47819</v>
      </c>
      <c r="B18" s="56" t="s">
        <v>1141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s="50" t="s">
        <v>1150</v>
      </c>
      <c r="M18" s="132" t="str">
        <f t="shared" si="0"/>
        <v>PrevPerStart</v>
      </c>
      <c r="N18" s="133" t="str">
        <f t="shared" si="1"/>
        <v>P</v>
      </c>
      <c r="O18" s="140">
        <f t="shared" si="2"/>
        <v>12</v>
      </c>
      <c r="P18" s="143" t="str">
        <f t="shared" si="3"/>
        <v>Nov  4 2030</v>
      </c>
      <c r="Q18" s="144" t="str">
        <f t="shared" si="4"/>
        <v>11/ 4/2030</v>
      </c>
      <c r="R18" s="147" t="str">
        <f t="shared" si="5"/>
        <v>Nov  4 2030</v>
      </c>
      <c r="S18" s="127" t="s">
        <v>636</v>
      </c>
      <c r="T18" s="127" t="s">
        <v>637</v>
      </c>
      <c r="U18" s="127" t="s">
        <v>638</v>
      </c>
      <c r="V18" s="127" t="s">
        <v>639</v>
      </c>
      <c r="W18" s="127" t="s">
        <v>640</v>
      </c>
      <c r="X18" s="127" t="s">
        <v>641</v>
      </c>
      <c r="Y18" s="127" t="s">
        <v>642</v>
      </c>
      <c r="Z18" s="127" t="s">
        <v>643</v>
      </c>
      <c r="AA18" s="127" t="s">
        <v>644</v>
      </c>
      <c r="AB18" s="127" t="s">
        <v>645</v>
      </c>
      <c r="AC18" s="127" t="s">
        <v>646</v>
      </c>
      <c r="AD18" s="127" t="s">
        <v>647</v>
      </c>
      <c r="AE18" s="127" t="s">
        <v>648</v>
      </c>
    </row>
    <row r="19" spans="1:31" ht="15.75" x14ac:dyDescent="0.25">
      <c r="A19" s="55">
        <v>37255</v>
      </c>
      <c r="B19" s="56" t="s">
        <v>1142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s="50" t="s">
        <v>1151</v>
      </c>
      <c r="M19" s="132" t="str">
        <f t="shared" si="0"/>
        <v>prevPerEnd</v>
      </c>
      <c r="N19" s="133" t="s">
        <v>1280</v>
      </c>
      <c r="O19" s="140">
        <f t="shared" si="2"/>
        <v>13</v>
      </c>
      <c r="P19" s="143" t="str">
        <f t="shared" si="3"/>
        <v>Dec  3 2001</v>
      </c>
      <c r="Q19" s="144" t="str">
        <f t="shared" si="4"/>
        <v>12/ 3/2001</v>
      </c>
      <c r="R19" s="147">
        <f t="shared" si="5"/>
        <v>37227</v>
      </c>
      <c r="S19" s="127" t="s">
        <v>496</v>
      </c>
      <c r="T19" s="127" t="s">
        <v>497</v>
      </c>
      <c r="U19" s="127" t="s">
        <v>498</v>
      </c>
      <c r="V19" s="127" t="s">
        <v>499</v>
      </c>
      <c r="W19" s="127" t="s">
        <v>500</v>
      </c>
      <c r="X19" s="127" t="s">
        <v>501</v>
      </c>
      <c r="Y19" s="127" t="s">
        <v>502</v>
      </c>
      <c r="Z19" s="127" t="s">
        <v>503</v>
      </c>
      <c r="AA19" s="127" t="s">
        <v>504</v>
      </c>
      <c r="AB19" s="127" t="s">
        <v>505</v>
      </c>
      <c r="AC19" s="127" t="s">
        <v>506</v>
      </c>
      <c r="AD19" s="127" t="s">
        <v>507</v>
      </c>
      <c r="AE19" s="127" t="s">
        <v>508</v>
      </c>
    </row>
    <row r="20" spans="1:31" ht="15.75" x14ac:dyDescent="0.25">
      <c r="A20" s="55">
        <v>37619</v>
      </c>
      <c r="B20" s="56" t="s">
        <v>1142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s="50" t="s">
        <v>691</v>
      </c>
      <c r="M20" s="132" t="str">
        <f t="shared" si="0"/>
        <v>prevPerEnd</v>
      </c>
      <c r="N20" s="133" t="s">
        <v>1280</v>
      </c>
      <c r="O20" s="140">
        <f t="shared" si="2"/>
        <v>13</v>
      </c>
      <c r="P20" s="143" t="str">
        <f t="shared" si="3"/>
        <v>Dec  2 2002</v>
      </c>
      <c r="Q20" s="144" t="str">
        <f t="shared" si="4"/>
        <v>12/ 2/2002</v>
      </c>
      <c r="R20" s="147">
        <f t="shared" si="5"/>
        <v>37591</v>
      </c>
      <c r="S20" s="127" t="s">
        <v>444</v>
      </c>
      <c r="T20" s="127" t="s">
        <v>445</v>
      </c>
      <c r="U20" s="127" t="s">
        <v>446</v>
      </c>
      <c r="V20" s="127" t="s">
        <v>447</v>
      </c>
      <c r="W20" s="127" t="s">
        <v>448</v>
      </c>
      <c r="X20" s="127" t="s">
        <v>449</v>
      </c>
      <c r="Y20" s="127" t="s">
        <v>450</v>
      </c>
      <c r="Z20" s="127" t="s">
        <v>451</v>
      </c>
      <c r="AA20" s="127" t="s">
        <v>452</v>
      </c>
      <c r="AB20" s="127" t="s">
        <v>453</v>
      </c>
      <c r="AC20" s="127" t="s">
        <v>454</v>
      </c>
      <c r="AD20" s="127" t="s">
        <v>455</v>
      </c>
      <c r="AE20" s="127" t="s">
        <v>456</v>
      </c>
    </row>
    <row r="21" spans="1:31" ht="15.75" x14ac:dyDescent="0.25">
      <c r="A21" s="55">
        <v>37983</v>
      </c>
      <c r="B21" s="56" t="s">
        <v>1142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s="50" t="s">
        <v>689</v>
      </c>
      <c r="M21" s="132" t="str">
        <f t="shared" si="0"/>
        <v>prevPerEnd</v>
      </c>
      <c r="N21" s="133" t="s">
        <v>1280</v>
      </c>
      <c r="O21" s="140">
        <f t="shared" si="2"/>
        <v>13</v>
      </c>
      <c r="P21" s="143" t="str">
        <f t="shared" si="3"/>
        <v>Dec  1 2003</v>
      </c>
      <c r="Q21" s="144" t="str">
        <f t="shared" si="4"/>
        <v>12/ 1/2003</v>
      </c>
      <c r="R21" s="147">
        <f t="shared" si="5"/>
        <v>37955</v>
      </c>
      <c r="S21" s="127" t="s">
        <v>353</v>
      </c>
      <c r="T21" s="127" t="s">
        <v>354</v>
      </c>
      <c r="U21" s="127" t="s">
        <v>355</v>
      </c>
      <c r="V21" s="127" t="s">
        <v>356</v>
      </c>
      <c r="W21" s="127" t="s">
        <v>357</v>
      </c>
      <c r="X21" s="127" t="s">
        <v>358</v>
      </c>
      <c r="Y21" s="127" t="s">
        <v>359</v>
      </c>
      <c r="Z21" s="127" t="s">
        <v>360</v>
      </c>
      <c r="AA21" s="127" t="s">
        <v>361</v>
      </c>
      <c r="AB21" s="127" t="s">
        <v>362</v>
      </c>
      <c r="AC21" s="127" t="s">
        <v>363</v>
      </c>
      <c r="AD21" s="127" t="s">
        <v>364</v>
      </c>
      <c r="AE21" s="127" t="s">
        <v>365</v>
      </c>
    </row>
    <row r="22" spans="1:31" ht="15.75" x14ac:dyDescent="0.25">
      <c r="A22" s="55">
        <v>38347</v>
      </c>
      <c r="B22" s="56" t="s">
        <v>1142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s="50" t="s">
        <v>1152</v>
      </c>
      <c r="M22" s="132" t="str">
        <f t="shared" si="0"/>
        <v>prevPerEnd</v>
      </c>
      <c r="N22" s="133" t="s">
        <v>1280</v>
      </c>
      <c r="O22" s="140">
        <f t="shared" si="2"/>
        <v>13</v>
      </c>
      <c r="P22" s="143" t="str">
        <f t="shared" si="3"/>
        <v>Nov 29 2004</v>
      </c>
      <c r="Q22" s="144" t="str">
        <f t="shared" si="4"/>
        <v>11/29/2004</v>
      </c>
      <c r="R22" s="147">
        <f>IF(M22="prevPerStart", P22, Q22 - 1)</f>
        <v>38319</v>
      </c>
      <c r="S22" s="127" t="s">
        <v>548</v>
      </c>
      <c r="T22" s="127" t="s">
        <v>549</v>
      </c>
      <c r="U22" s="127" t="s">
        <v>550</v>
      </c>
      <c r="V22" s="127" t="s">
        <v>551</v>
      </c>
      <c r="W22" s="127" t="s">
        <v>552</v>
      </c>
      <c r="X22" s="127" t="s">
        <v>553</v>
      </c>
      <c r="Y22" s="127" t="s">
        <v>554</v>
      </c>
      <c r="Z22" s="127" t="s">
        <v>555</v>
      </c>
      <c r="AA22" s="127" t="s">
        <v>556</v>
      </c>
      <c r="AB22" s="127" t="s">
        <v>557</v>
      </c>
      <c r="AC22" s="127" t="s">
        <v>558</v>
      </c>
      <c r="AD22" s="127" t="s">
        <v>559</v>
      </c>
      <c r="AE22" s="127" t="s">
        <v>560</v>
      </c>
    </row>
    <row r="23" spans="1:31" ht="15.75" x14ac:dyDescent="0.25">
      <c r="A23" s="55">
        <v>38711</v>
      </c>
      <c r="B23" s="56" t="s">
        <v>1142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s="50" t="s">
        <v>1153</v>
      </c>
      <c r="M23" s="132" t="str">
        <f t="shared" si="0"/>
        <v>prevPerEnd</v>
      </c>
      <c r="N23" s="133" t="s">
        <v>1280</v>
      </c>
      <c r="O23" s="140">
        <f t="shared" si="2"/>
        <v>13</v>
      </c>
      <c r="P23" s="143" t="str">
        <f t="shared" si="3"/>
        <v>Nov 28 2005</v>
      </c>
      <c r="Q23" s="144" t="str">
        <f t="shared" si="4"/>
        <v>11/28/2005</v>
      </c>
      <c r="R23" s="147">
        <f t="shared" si="5"/>
        <v>38683</v>
      </c>
      <c r="S23" s="127" t="s">
        <v>366</v>
      </c>
      <c r="T23" s="127" t="s">
        <v>367</v>
      </c>
      <c r="U23" s="127" t="s">
        <v>368</v>
      </c>
      <c r="V23" s="127" t="s">
        <v>369</v>
      </c>
      <c r="W23" s="127" t="s">
        <v>370</v>
      </c>
      <c r="X23" s="127" t="s">
        <v>371</v>
      </c>
      <c r="Y23" s="127" t="s">
        <v>372</v>
      </c>
      <c r="Z23" s="127" t="s">
        <v>373</v>
      </c>
      <c r="AA23" s="127" t="s">
        <v>374</v>
      </c>
      <c r="AB23" s="127" t="s">
        <v>375</v>
      </c>
      <c r="AC23" s="127" t="s">
        <v>376</v>
      </c>
      <c r="AD23" s="127" t="s">
        <v>377</v>
      </c>
      <c r="AE23" s="127" t="s">
        <v>378</v>
      </c>
    </row>
    <row r="24" spans="1:31" ht="15.75" x14ac:dyDescent="0.25">
      <c r="A24" s="55">
        <v>39082</v>
      </c>
      <c r="B24" s="56" t="s">
        <v>1142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s="50" t="s">
        <v>1154</v>
      </c>
      <c r="M24" s="132" t="str">
        <f t="shared" si="0"/>
        <v>prevPerEnd</v>
      </c>
      <c r="N24" s="133" t="s">
        <v>1280</v>
      </c>
      <c r="O24" s="140">
        <f t="shared" si="2"/>
        <v>13</v>
      </c>
      <c r="P24" s="143" t="str">
        <f t="shared" si="3"/>
        <v>Nov 27 2006</v>
      </c>
      <c r="Q24" s="144" t="str">
        <f t="shared" si="4"/>
        <v>11/27/2006</v>
      </c>
      <c r="R24" s="147">
        <f t="shared" si="5"/>
        <v>39047</v>
      </c>
      <c r="S24" s="127" t="s">
        <v>649</v>
      </c>
      <c r="T24" s="127" t="s">
        <v>650</v>
      </c>
      <c r="U24" s="127" t="s">
        <v>651</v>
      </c>
      <c r="V24" s="127" t="s">
        <v>652</v>
      </c>
      <c r="W24" s="127" t="s">
        <v>653</v>
      </c>
      <c r="X24" s="127" t="s">
        <v>654</v>
      </c>
      <c r="Y24" s="127" t="s">
        <v>655</v>
      </c>
      <c r="Z24" s="127" t="s">
        <v>656</v>
      </c>
      <c r="AA24" s="127" t="s">
        <v>657</v>
      </c>
      <c r="AB24" s="127" t="s">
        <v>658</v>
      </c>
      <c r="AC24" s="127" t="s">
        <v>659</v>
      </c>
      <c r="AD24" s="127" t="s">
        <v>660</v>
      </c>
      <c r="AE24" s="127" t="s">
        <v>661</v>
      </c>
    </row>
    <row r="25" spans="1:31" ht="15.75" x14ac:dyDescent="0.25">
      <c r="A25" s="55">
        <v>39446</v>
      </c>
      <c r="B25" s="56" t="s">
        <v>1142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s="50" t="s">
        <v>1155</v>
      </c>
      <c r="M25" s="132" t="str">
        <f t="shared" si="0"/>
        <v>prevPerEnd</v>
      </c>
      <c r="N25" s="133" t="s">
        <v>1280</v>
      </c>
      <c r="O25" s="140">
        <f t="shared" si="2"/>
        <v>13</v>
      </c>
      <c r="P25" s="143" t="str">
        <f t="shared" si="3"/>
        <v>Dec  3 2007</v>
      </c>
      <c r="Q25" s="144" t="str">
        <f t="shared" si="4"/>
        <v>12/ 3/2007</v>
      </c>
      <c r="R25" s="147">
        <f t="shared" si="5"/>
        <v>39418</v>
      </c>
      <c r="S25" s="127" t="s">
        <v>431</v>
      </c>
      <c r="T25" s="127" t="s">
        <v>432</v>
      </c>
      <c r="U25" s="127" t="s">
        <v>433</v>
      </c>
      <c r="V25" s="127" t="s">
        <v>434</v>
      </c>
      <c r="W25" s="127" t="s">
        <v>435</v>
      </c>
      <c r="X25" s="127" t="s">
        <v>436</v>
      </c>
      <c r="Y25" s="127" t="s">
        <v>437</v>
      </c>
      <c r="Z25" s="127" t="s">
        <v>438</v>
      </c>
      <c r="AA25" s="127" t="s">
        <v>439</v>
      </c>
      <c r="AB25" s="127" t="s">
        <v>440</v>
      </c>
      <c r="AC25" s="127" t="s">
        <v>441</v>
      </c>
      <c r="AD25" s="127" t="s">
        <v>442</v>
      </c>
      <c r="AE25" s="127" t="s">
        <v>443</v>
      </c>
    </row>
    <row r="26" spans="1:31" ht="15.75" x14ac:dyDescent="0.25">
      <c r="A26" s="55">
        <v>39810</v>
      </c>
      <c r="B26" s="56" t="s">
        <v>1142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s="50" t="s">
        <v>1156</v>
      </c>
      <c r="M26" s="132" t="str">
        <f t="shared" si="0"/>
        <v>prevPerEnd</v>
      </c>
      <c r="N26" s="133" t="s">
        <v>1280</v>
      </c>
      <c r="O26" s="140">
        <f t="shared" si="2"/>
        <v>13</v>
      </c>
      <c r="P26" s="143" t="str">
        <f t="shared" si="3"/>
        <v>Dec  1 2008</v>
      </c>
      <c r="Q26" s="144" t="str">
        <f t="shared" si="4"/>
        <v>12/ 1/2008</v>
      </c>
      <c r="R26" s="147">
        <f t="shared" si="5"/>
        <v>39782</v>
      </c>
      <c r="S26" s="127" t="s">
        <v>470</v>
      </c>
      <c r="T26" s="127" t="s">
        <v>471</v>
      </c>
      <c r="U26" s="127" t="s">
        <v>472</v>
      </c>
      <c r="V26" s="127" t="s">
        <v>473</v>
      </c>
      <c r="W26" s="127" t="s">
        <v>474</v>
      </c>
      <c r="X26" s="127" t="s">
        <v>475</v>
      </c>
      <c r="Y26" s="127" t="s">
        <v>476</v>
      </c>
      <c r="Z26" s="127" t="s">
        <v>477</v>
      </c>
      <c r="AA26" s="127" t="s">
        <v>478</v>
      </c>
      <c r="AB26" s="127" t="s">
        <v>479</v>
      </c>
      <c r="AC26" s="127" t="s">
        <v>480</v>
      </c>
      <c r="AD26" s="127" t="s">
        <v>481</v>
      </c>
      <c r="AE26" s="127" t="s">
        <v>482</v>
      </c>
    </row>
    <row r="27" spans="1:31" ht="15.75" x14ac:dyDescent="0.25">
      <c r="A27" s="55">
        <v>40174</v>
      </c>
      <c r="B27" s="56" t="s">
        <v>1142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s="50" t="s">
        <v>1157</v>
      </c>
      <c r="M27" s="132" t="str">
        <f t="shared" si="0"/>
        <v>prevPerEnd</v>
      </c>
      <c r="N27" s="133" t="s">
        <v>1280</v>
      </c>
      <c r="O27" s="140">
        <f t="shared" si="2"/>
        <v>13</v>
      </c>
      <c r="P27" s="143" t="str">
        <f t="shared" si="3"/>
        <v>Nov 30 2009</v>
      </c>
      <c r="Q27" s="144" t="str">
        <f t="shared" si="4"/>
        <v>11/30/2009</v>
      </c>
      <c r="R27" s="147">
        <f t="shared" si="5"/>
        <v>40146</v>
      </c>
      <c r="S27" s="127" t="s">
        <v>457</v>
      </c>
      <c r="T27" s="127" t="s">
        <v>458</v>
      </c>
      <c r="U27" s="127" t="s">
        <v>459</v>
      </c>
      <c r="V27" s="127" t="s">
        <v>460</v>
      </c>
      <c r="W27" s="127" t="s">
        <v>461</v>
      </c>
      <c r="X27" s="127" t="s">
        <v>462</v>
      </c>
      <c r="Y27" s="127" t="s">
        <v>463</v>
      </c>
      <c r="Z27" s="127" t="s">
        <v>464</v>
      </c>
      <c r="AA27" s="127" t="s">
        <v>465</v>
      </c>
      <c r="AB27" s="127" t="s">
        <v>466</v>
      </c>
      <c r="AC27" s="127" t="s">
        <v>467</v>
      </c>
      <c r="AD27" s="127" t="s">
        <v>468</v>
      </c>
      <c r="AE27" s="127" t="s">
        <v>469</v>
      </c>
    </row>
    <row r="28" spans="1:31" ht="15.75" x14ac:dyDescent="0.25">
      <c r="A28" s="55">
        <v>40538</v>
      </c>
      <c r="B28" s="56" t="s">
        <v>1142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s="50" t="s">
        <v>692</v>
      </c>
      <c r="M28" s="132" t="str">
        <f t="shared" si="0"/>
        <v>prevPerEnd</v>
      </c>
      <c r="N28" s="133" t="s">
        <v>1280</v>
      </c>
      <c r="O28" s="140">
        <f t="shared" si="2"/>
        <v>13</v>
      </c>
      <c r="P28" s="143" t="str">
        <f t="shared" si="3"/>
        <v>Nov 29 2010</v>
      </c>
      <c r="Q28" s="144" t="str">
        <f t="shared" si="4"/>
        <v>11/29/2010</v>
      </c>
      <c r="R28" s="147">
        <f t="shared" si="5"/>
        <v>40510</v>
      </c>
      <c r="S28" s="127" t="s">
        <v>509</v>
      </c>
      <c r="T28" s="127" t="s">
        <v>510</v>
      </c>
      <c r="U28" s="127" t="s">
        <v>511</v>
      </c>
      <c r="V28" s="127" t="s">
        <v>512</v>
      </c>
      <c r="W28" s="127" t="s">
        <v>513</v>
      </c>
      <c r="X28" s="127" t="s">
        <v>514</v>
      </c>
      <c r="Y28" s="127" t="s">
        <v>515</v>
      </c>
      <c r="Z28" s="127" t="s">
        <v>516</v>
      </c>
      <c r="AA28" s="127" t="s">
        <v>517</v>
      </c>
      <c r="AB28" s="127" t="s">
        <v>518</v>
      </c>
      <c r="AC28" s="127" t="s">
        <v>519</v>
      </c>
      <c r="AD28" s="127" t="s">
        <v>520</v>
      </c>
      <c r="AE28" s="127" t="s">
        <v>521</v>
      </c>
    </row>
    <row r="29" spans="1:31" ht="15.75" x14ac:dyDescent="0.25">
      <c r="A29" s="55">
        <v>40902</v>
      </c>
      <c r="B29" s="56" t="s">
        <v>1142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s="50" t="s">
        <v>690</v>
      </c>
      <c r="M29" s="132" t="str">
        <f t="shared" si="0"/>
        <v>prevPerEnd</v>
      </c>
      <c r="N29" s="133" t="s">
        <v>1280</v>
      </c>
      <c r="O29" s="140">
        <f t="shared" si="2"/>
        <v>13</v>
      </c>
      <c r="P29" s="143" t="str">
        <f t="shared" si="3"/>
        <v>Nov 28 2011</v>
      </c>
      <c r="Q29" s="144" t="str">
        <f t="shared" si="4"/>
        <v>11/28/2011</v>
      </c>
      <c r="R29" s="147">
        <f t="shared" si="5"/>
        <v>40874</v>
      </c>
      <c r="S29" s="127" t="s">
        <v>340</v>
      </c>
      <c r="T29" s="127" t="s">
        <v>341</v>
      </c>
      <c r="U29" s="127" t="s">
        <v>342</v>
      </c>
      <c r="V29" s="127" t="s">
        <v>343</v>
      </c>
      <c r="W29" s="127" t="s">
        <v>344</v>
      </c>
      <c r="X29" s="127" t="s">
        <v>345</v>
      </c>
      <c r="Y29" s="127" t="s">
        <v>346</v>
      </c>
      <c r="Z29" s="127" t="s">
        <v>347</v>
      </c>
      <c r="AA29" s="127" t="s">
        <v>348</v>
      </c>
      <c r="AB29" s="127" t="s">
        <v>349</v>
      </c>
      <c r="AC29" s="127" t="s">
        <v>350</v>
      </c>
      <c r="AD29" s="127" t="s">
        <v>351</v>
      </c>
      <c r="AE29" s="127" t="s">
        <v>352</v>
      </c>
    </row>
    <row r="30" spans="1:31" ht="15.75" x14ac:dyDescent="0.25">
      <c r="A30" s="55">
        <v>41273</v>
      </c>
      <c r="B30" s="56" t="s">
        <v>1142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s="50" t="s">
        <v>1158</v>
      </c>
      <c r="M30" s="132" t="str">
        <f t="shared" si="0"/>
        <v>prevPerEnd</v>
      </c>
      <c r="N30" s="133" t="s">
        <v>1280</v>
      </c>
      <c r="O30" s="140">
        <f t="shared" si="2"/>
        <v>13</v>
      </c>
      <c r="P30" s="143" t="str">
        <f t="shared" si="3"/>
        <v>Nov 26 2012</v>
      </c>
      <c r="Q30" s="144" t="str">
        <f t="shared" si="4"/>
        <v>11/26/2012</v>
      </c>
      <c r="R30" s="147">
        <f t="shared" si="5"/>
        <v>41238</v>
      </c>
      <c r="S30" s="127" t="s">
        <v>1179</v>
      </c>
      <c r="T30" s="127" t="s">
        <v>1180</v>
      </c>
      <c r="U30" s="127" t="s">
        <v>1181</v>
      </c>
      <c r="V30" s="127" t="s">
        <v>1182</v>
      </c>
      <c r="W30" s="127" t="s">
        <v>1183</v>
      </c>
      <c r="X30" s="127" t="s">
        <v>1184</v>
      </c>
      <c r="Y30" s="127" t="s">
        <v>1185</v>
      </c>
      <c r="Z30" s="127" t="s">
        <v>1186</v>
      </c>
      <c r="AA30" s="127" t="s">
        <v>1187</v>
      </c>
      <c r="AB30" s="127" t="s">
        <v>1188</v>
      </c>
      <c r="AC30" s="127" t="s">
        <v>1189</v>
      </c>
      <c r="AD30" s="127" t="s">
        <v>1190</v>
      </c>
      <c r="AE30" s="127" t="s">
        <v>1191</v>
      </c>
    </row>
    <row r="31" spans="1:31" ht="15.75" x14ac:dyDescent="0.25">
      <c r="A31" s="55">
        <v>41637</v>
      </c>
      <c r="B31" s="56" t="s">
        <v>1142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s="50" t="s">
        <v>1159</v>
      </c>
      <c r="M31" s="132" t="str">
        <f t="shared" si="0"/>
        <v>prevPerEnd</v>
      </c>
      <c r="N31" s="133" t="s">
        <v>1280</v>
      </c>
      <c r="O31" s="140">
        <f t="shared" si="2"/>
        <v>13</v>
      </c>
      <c r="P31" s="143" t="str">
        <f t="shared" si="3"/>
        <v>Dec  2 2013</v>
      </c>
      <c r="Q31" s="144" t="str">
        <f t="shared" si="4"/>
        <v>12/ 2/2013</v>
      </c>
      <c r="R31" s="147">
        <f t="shared" si="5"/>
        <v>41609</v>
      </c>
      <c r="S31" s="127" t="s">
        <v>275</v>
      </c>
      <c r="T31" s="127" t="s">
        <v>276</v>
      </c>
      <c r="U31" s="127" t="s">
        <v>277</v>
      </c>
      <c r="V31" s="127" t="s">
        <v>278</v>
      </c>
      <c r="W31" s="127" t="s">
        <v>279</v>
      </c>
      <c r="X31" s="127" t="s">
        <v>280</v>
      </c>
      <c r="Y31" s="127" t="s">
        <v>281</v>
      </c>
      <c r="Z31" s="127" t="s">
        <v>282</v>
      </c>
      <c r="AA31" s="127" t="s">
        <v>283</v>
      </c>
      <c r="AB31" s="127" t="s">
        <v>284</v>
      </c>
      <c r="AC31" s="127" t="s">
        <v>285</v>
      </c>
      <c r="AD31" s="127" t="s">
        <v>286</v>
      </c>
      <c r="AE31" s="127" t="s">
        <v>287</v>
      </c>
    </row>
    <row r="32" spans="1:31" ht="15.75" x14ac:dyDescent="0.25">
      <c r="A32" s="55">
        <v>42001</v>
      </c>
      <c r="B32" s="56" t="s">
        <v>1142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s="50" t="s">
        <v>1160</v>
      </c>
      <c r="M32" s="132" t="str">
        <f t="shared" si="0"/>
        <v>prevPerEnd</v>
      </c>
      <c r="N32" s="133" t="s">
        <v>1280</v>
      </c>
      <c r="O32" s="140">
        <f t="shared" si="2"/>
        <v>13</v>
      </c>
      <c r="P32" s="143" t="str">
        <f t="shared" si="3"/>
        <v>Dec  1 2014</v>
      </c>
      <c r="Q32" s="144" t="str">
        <f t="shared" si="4"/>
        <v>12/ 1/2014</v>
      </c>
      <c r="R32" s="147">
        <f t="shared" si="5"/>
        <v>41973</v>
      </c>
      <c r="S32" s="127" t="s">
        <v>288</v>
      </c>
      <c r="T32" s="127" t="s">
        <v>289</v>
      </c>
      <c r="U32" s="127" t="s">
        <v>290</v>
      </c>
      <c r="V32" s="127" t="s">
        <v>291</v>
      </c>
      <c r="W32" s="127" t="s">
        <v>292</v>
      </c>
      <c r="X32" s="127" t="s">
        <v>293</v>
      </c>
      <c r="Y32" s="127" t="s">
        <v>294</v>
      </c>
      <c r="Z32" s="127" t="s">
        <v>295</v>
      </c>
      <c r="AA32" s="127" t="s">
        <v>296</v>
      </c>
      <c r="AB32" s="127" t="s">
        <v>297</v>
      </c>
      <c r="AC32" s="127" t="s">
        <v>298</v>
      </c>
      <c r="AD32" s="127" t="s">
        <v>299</v>
      </c>
      <c r="AE32" s="127" t="s">
        <v>300</v>
      </c>
    </row>
    <row r="33" spans="1:31" ht="15.75" x14ac:dyDescent="0.25">
      <c r="A33" s="55">
        <v>42365</v>
      </c>
      <c r="B33" s="56" t="s">
        <v>1142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s="50" t="s">
        <v>1161</v>
      </c>
      <c r="M33" s="132" t="str">
        <f t="shared" si="0"/>
        <v>prevPerEnd</v>
      </c>
      <c r="N33" s="133" t="s">
        <v>1280</v>
      </c>
      <c r="O33" s="140">
        <f t="shared" si="2"/>
        <v>13</v>
      </c>
      <c r="P33" s="143" t="str">
        <f t="shared" si="3"/>
        <v>Nov 30 2015</v>
      </c>
      <c r="Q33" s="144" t="str">
        <f t="shared" si="4"/>
        <v>11/30/2015</v>
      </c>
      <c r="R33" s="147">
        <f t="shared" si="5"/>
        <v>42337</v>
      </c>
      <c r="S33" s="127" t="s">
        <v>405</v>
      </c>
      <c r="T33" s="127" t="s">
        <v>406</v>
      </c>
      <c r="U33" s="127" t="s">
        <v>407</v>
      </c>
      <c r="V33" s="127" t="s">
        <v>408</v>
      </c>
      <c r="W33" s="127" t="s">
        <v>409</v>
      </c>
      <c r="X33" s="127" t="s">
        <v>410</v>
      </c>
      <c r="Y33" s="127" t="s">
        <v>411</v>
      </c>
      <c r="Z33" s="127" t="s">
        <v>412</v>
      </c>
      <c r="AA33" s="127" t="s">
        <v>413</v>
      </c>
      <c r="AB33" s="127" t="s">
        <v>414</v>
      </c>
      <c r="AC33" s="127" t="s">
        <v>415</v>
      </c>
      <c r="AD33" s="127" t="s">
        <v>416</v>
      </c>
      <c r="AE33" s="127" t="s">
        <v>417</v>
      </c>
    </row>
    <row r="34" spans="1:31" ht="15.75" x14ac:dyDescent="0.25">
      <c r="A34" s="55">
        <v>42729</v>
      </c>
      <c r="B34" s="56" t="s">
        <v>1142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s="50" t="s">
        <v>172</v>
      </c>
      <c r="M34" s="132" t="str">
        <f t="shared" si="0"/>
        <v>prevPerEnd</v>
      </c>
      <c r="N34" s="133" t="s">
        <v>1280</v>
      </c>
      <c r="O34" s="140">
        <f t="shared" si="2"/>
        <v>13</v>
      </c>
      <c r="P34" s="143" t="str">
        <f t="shared" si="3"/>
        <v>Nov 28 2016</v>
      </c>
      <c r="Q34" s="144" t="str">
        <f t="shared" si="4"/>
        <v>11/28/2016</v>
      </c>
      <c r="R34" s="147">
        <f t="shared" si="5"/>
        <v>42701</v>
      </c>
      <c r="S34" s="127" t="s">
        <v>301</v>
      </c>
      <c r="T34" s="127" t="s">
        <v>302</v>
      </c>
      <c r="U34" s="127" t="s">
        <v>303</v>
      </c>
      <c r="V34" s="127" t="s">
        <v>304</v>
      </c>
      <c r="W34" s="127" t="s">
        <v>305</v>
      </c>
      <c r="X34" s="127" t="s">
        <v>306</v>
      </c>
      <c r="Y34" s="127" t="s">
        <v>307</v>
      </c>
      <c r="Z34" s="127" t="s">
        <v>308</v>
      </c>
      <c r="AA34" s="127" t="s">
        <v>309</v>
      </c>
      <c r="AB34" s="127" t="s">
        <v>310</v>
      </c>
      <c r="AC34" s="127" t="s">
        <v>311</v>
      </c>
      <c r="AD34" s="127" t="s">
        <v>312</v>
      </c>
      <c r="AE34" s="127" t="s">
        <v>313</v>
      </c>
    </row>
    <row r="35" spans="1:31" ht="15.75" x14ac:dyDescent="0.25">
      <c r="A35" s="55">
        <v>39048</v>
      </c>
      <c r="B35" s="56" t="s">
        <v>1141</v>
      </c>
      <c r="C35" s="56" t="s">
        <v>111</v>
      </c>
      <c r="F35" s="1">
        <v>39048</v>
      </c>
      <c r="G35" s="1">
        <v>39082</v>
      </c>
      <c r="H35" t="s">
        <v>86</v>
      </c>
      <c r="I35" t="s">
        <v>14</v>
      </c>
      <c r="J35" t="s">
        <v>12</v>
      </c>
      <c r="L35" s="50" t="s">
        <v>1163</v>
      </c>
      <c r="M35" s="132" t="str">
        <f t="shared" si="0"/>
        <v>PrevPerStart</v>
      </c>
      <c r="N35" s="133" t="str">
        <f t="shared" si="1"/>
        <v>P</v>
      </c>
      <c r="O35" s="140">
        <f t="shared" si="2"/>
        <v>12</v>
      </c>
      <c r="P35" s="143" t="str">
        <f t="shared" si="3"/>
        <v>Oct 30 2006</v>
      </c>
      <c r="Q35" s="144" t="str">
        <f t="shared" si="4"/>
        <v>10/30/2006</v>
      </c>
      <c r="R35" s="147" t="str">
        <f t="shared" si="5"/>
        <v>Oct 30 2006</v>
      </c>
      <c r="S35" s="127" t="s">
        <v>649</v>
      </c>
      <c r="T35" s="127" t="s">
        <v>650</v>
      </c>
      <c r="U35" s="127" t="s">
        <v>651</v>
      </c>
      <c r="V35" s="127" t="s">
        <v>652</v>
      </c>
      <c r="W35" s="127" t="s">
        <v>653</v>
      </c>
      <c r="X35" s="127" t="s">
        <v>654</v>
      </c>
      <c r="Y35" s="127" t="s">
        <v>655</v>
      </c>
      <c r="Z35" s="127" t="s">
        <v>656</v>
      </c>
      <c r="AA35" s="127" t="s">
        <v>657</v>
      </c>
      <c r="AB35" s="127" t="s">
        <v>658</v>
      </c>
      <c r="AC35" s="127" t="s">
        <v>659</v>
      </c>
      <c r="AD35" s="127" t="s">
        <v>660</v>
      </c>
      <c r="AE35" s="127" t="s">
        <v>661</v>
      </c>
    </row>
    <row r="36" spans="1:31" ht="15.75" x14ac:dyDescent="0.25">
      <c r="A36" s="55">
        <v>43066</v>
      </c>
      <c r="B36" s="56" t="s">
        <v>1141</v>
      </c>
      <c r="C36" s="56" t="s">
        <v>111</v>
      </c>
      <c r="F36" s="1">
        <v>43066</v>
      </c>
      <c r="G36" s="1">
        <v>43100</v>
      </c>
      <c r="H36" t="s">
        <v>70</v>
      </c>
      <c r="I36" t="s">
        <v>14</v>
      </c>
      <c r="J36" t="s">
        <v>12</v>
      </c>
      <c r="L36" s="50" t="s">
        <v>1164</v>
      </c>
      <c r="M36" s="132" t="str">
        <f t="shared" si="0"/>
        <v>PrevPerStart</v>
      </c>
      <c r="N36" s="133" t="str">
        <f t="shared" si="1"/>
        <v>P</v>
      </c>
      <c r="O36" s="140">
        <f t="shared" si="2"/>
        <v>12</v>
      </c>
      <c r="P36" s="143" t="str">
        <f t="shared" si="3"/>
        <v>Oct 30 2017</v>
      </c>
      <c r="Q36" s="144" t="str">
        <f t="shared" si="4"/>
        <v>10/30/2017</v>
      </c>
      <c r="R36" s="147" t="str">
        <f t="shared" si="5"/>
        <v>Oct 30 2017</v>
      </c>
      <c r="S36" s="127" t="s">
        <v>314</v>
      </c>
      <c r="T36" s="127" t="s">
        <v>315</v>
      </c>
      <c r="U36" s="127" t="s">
        <v>316</v>
      </c>
      <c r="V36" s="127" t="s">
        <v>317</v>
      </c>
      <c r="W36" s="127" t="s">
        <v>318</v>
      </c>
      <c r="X36" s="127" t="s">
        <v>319</v>
      </c>
      <c r="Y36" s="127" t="s">
        <v>320</v>
      </c>
      <c r="Z36" s="127" t="s">
        <v>321</v>
      </c>
      <c r="AA36" s="127" t="s">
        <v>322</v>
      </c>
      <c r="AB36" s="127" t="s">
        <v>323</v>
      </c>
      <c r="AC36" s="127" t="s">
        <v>324</v>
      </c>
      <c r="AD36" s="127" t="s">
        <v>325</v>
      </c>
      <c r="AE36" s="127" t="s">
        <v>326</v>
      </c>
    </row>
    <row r="37" spans="1:31" ht="15.75" x14ac:dyDescent="0.25">
      <c r="A37" s="55">
        <v>47084</v>
      </c>
      <c r="B37" s="56" t="s">
        <v>1141</v>
      </c>
      <c r="C37" s="56" t="s">
        <v>111</v>
      </c>
      <c r="F37" s="1">
        <v>47084</v>
      </c>
      <c r="G37" s="1">
        <v>47118</v>
      </c>
      <c r="H37" t="s">
        <v>103</v>
      </c>
      <c r="I37" t="s">
        <v>14</v>
      </c>
      <c r="J37" t="s">
        <v>12</v>
      </c>
      <c r="L37" s="50" t="s">
        <v>1148</v>
      </c>
      <c r="M37" s="132" t="str">
        <f t="shared" si="0"/>
        <v>PrevPerStart</v>
      </c>
      <c r="N37" s="133" t="str">
        <f t="shared" si="1"/>
        <v>P</v>
      </c>
      <c r="O37" s="140">
        <f t="shared" si="2"/>
        <v>12</v>
      </c>
      <c r="P37" s="143" t="str">
        <f t="shared" si="3"/>
        <v>Oct 30 2028</v>
      </c>
      <c r="Q37" s="144" t="str">
        <f t="shared" si="4"/>
        <v>10/30/2028</v>
      </c>
      <c r="R37" s="147" t="str">
        <f t="shared" si="5"/>
        <v>Oct 30 2028</v>
      </c>
      <c r="S37" s="127" t="s">
        <v>623</v>
      </c>
      <c r="T37" s="127" t="s">
        <v>624</v>
      </c>
      <c r="U37" s="127" t="s">
        <v>625</v>
      </c>
      <c r="V37" s="127" t="s">
        <v>626</v>
      </c>
      <c r="W37" s="127" t="s">
        <v>627</v>
      </c>
      <c r="X37" s="127" t="s">
        <v>628</v>
      </c>
      <c r="Y37" s="127" t="s">
        <v>629</v>
      </c>
      <c r="Z37" s="127" t="s">
        <v>630</v>
      </c>
      <c r="AA37" s="127" t="s">
        <v>631</v>
      </c>
      <c r="AB37" s="127" t="s">
        <v>632</v>
      </c>
      <c r="AC37" s="127" t="s">
        <v>633</v>
      </c>
      <c r="AD37" s="127" t="s">
        <v>634</v>
      </c>
      <c r="AE37" s="127" t="s">
        <v>635</v>
      </c>
    </row>
    <row r="38" spans="1:31" ht="15.75" x14ac:dyDescent="0.25">
      <c r="A38" s="55">
        <v>36891</v>
      </c>
      <c r="B38" s="56" t="s">
        <v>1141</v>
      </c>
      <c r="C38" s="56" t="s">
        <v>112</v>
      </c>
      <c r="F38" s="1">
        <v>36864</v>
      </c>
      <c r="G38" s="1">
        <v>36891</v>
      </c>
      <c r="H38" t="s">
        <v>76</v>
      </c>
      <c r="I38" t="s">
        <v>14</v>
      </c>
      <c r="J38" t="s">
        <v>12</v>
      </c>
      <c r="L38" s="50" t="s">
        <v>1162</v>
      </c>
      <c r="M38" s="132" t="str">
        <f t="shared" si="0"/>
        <v>PrevPerStart</v>
      </c>
      <c r="N38" s="133" t="str">
        <f t="shared" si="1"/>
        <v>P</v>
      </c>
      <c r="O38" s="140">
        <f t="shared" si="2"/>
        <v>12</v>
      </c>
      <c r="P38" s="143" t="str">
        <f t="shared" si="3"/>
        <v>Oct 30 2000</v>
      </c>
      <c r="Q38" s="144" t="str">
        <f t="shared" si="4"/>
        <v>10/30/2000</v>
      </c>
      <c r="R38" s="147" t="str">
        <f t="shared" si="5"/>
        <v>Oct 30 2000</v>
      </c>
      <c r="S38" s="127" t="s">
        <v>1192</v>
      </c>
      <c r="T38" s="127" t="s">
        <v>1193</v>
      </c>
      <c r="U38" s="127" t="s">
        <v>1194</v>
      </c>
      <c r="V38" s="127" t="s">
        <v>1195</v>
      </c>
      <c r="W38" s="127" t="s">
        <v>1196</v>
      </c>
      <c r="X38" s="127" t="s">
        <v>1197</v>
      </c>
      <c r="Y38" s="127" t="s">
        <v>1198</v>
      </c>
      <c r="Z38" s="127" t="s">
        <v>1199</v>
      </c>
      <c r="AA38" s="127" t="s">
        <v>1200</v>
      </c>
      <c r="AB38" s="127" t="s">
        <v>1201</v>
      </c>
      <c r="AC38" s="127" t="s">
        <v>1202</v>
      </c>
      <c r="AD38" s="127" t="s">
        <v>1203</v>
      </c>
      <c r="AE38" s="127" t="s">
        <v>1204</v>
      </c>
    </row>
    <row r="39" spans="1:31" ht="15.75" x14ac:dyDescent="0.25">
      <c r="A39" s="55">
        <v>39082</v>
      </c>
      <c r="B39" s="56" t="s">
        <v>1141</v>
      </c>
      <c r="C39" s="56" t="s">
        <v>112</v>
      </c>
      <c r="F39" s="1">
        <v>39048</v>
      </c>
      <c r="G39" s="1">
        <v>39082</v>
      </c>
      <c r="H39" t="s">
        <v>86</v>
      </c>
      <c r="I39" t="s">
        <v>14</v>
      </c>
      <c r="J39" t="s">
        <v>12</v>
      </c>
      <c r="L39" s="50" t="s">
        <v>1163</v>
      </c>
      <c r="M39" s="132" t="str">
        <f t="shared" si="0"/>
        <v>PrevPerStart</v>
      </c>
      <c r="N39" s="133" t="str">
        <f t="shared" si="1"/>
        <v>P</v>
      </c>
      <c r="O39" s="140">
        <f t="shared" si="2"/>
        <v>12</v>
      </c>
      <c r="P39" s="143" t="str">
        <f t="shared" si="3"/>
        <v>Oct 30 2006</v>
      </c>
      <c r="Q39" s="144" t="str">
        <f t="shared" si="4"/>
        <v>10/30/2006</v>
      </c>
      <c r="R39" s="147" t="str">
        <f t="shared" si="5"/>
        <v>Oct 30 2006</v>
      </c>
      <c r="S39" s="127" t="s">
        <v>649</v>
      </c>
      <c r="T39" s="127" t="s">
        <v>650</v>
      </c>
      <c r="U39" s="127" t="s">
        <v>651</v>
      </c>
      <c r="V39" s="127" t="s">
        <v>652</v>
      </c>
      <c r="W39" s="127" t="s">
        <v>653</v>
      </c>
      <c r="X39" s="127" t="s">
        <v>654</v>
      </c>
      <c r="Y39" s="127" t="s">
        <v>655</v>
      </c>
      <c r="Z39" s="127" t="s">
        <v>656</v>
      </c>
      <c r="AA39" s="127" t="s">
        <v>657</v>
      </c>
      <c r="AB39" s="127" t="s">
        <v>658</v>
      </c>
      <c r="AC39" s="127" t="s">
        <v>659</v>
      </c>
      <c r="AD39" s="127" t="s">
        <v>660</v>
      </c>
      <c r="AE39" s="127" t="s">
        <v>661</v>
      </c>
    </row>
    <row r="40" spans="1:31" ht="15.75" x14ac:dyDescent="0.25">
      <c r="A40" s="55">
        <v>43100</v>
      </c>
      <c r="B40" s="56" t="s">
        <v>1141</v>
      </c>
      <c r="C40" s="56" t="s">
        <v>112</v>
      </c>
      <c r="F40" s="1">
        <v>43066</v>
      </c>
      <c r="G40" s="1">
        <v>43100</v>
      </c>
      <c r="H40" t="s">
        <v>70</v>
      </c>
      <c r="I40" t="s">
        <v>14</v>
      </c>
      <c r="J40" t="s">
        <v>12</v>
      </c>
      <c r="L40" s="50" t="s">
        <v>1164</v>
      </c>
      <c r="M40" s="132" t="str">
        <f t="shared" si="0"/>
        <v>PrevPerStart</v>
      </c>
      <c r="N40" s="133" t="str">
        <f t="shared" si="1"/>
        <v>P</v>
      </c>
      <c r="O40" s="140">
        <f t="shared" si="2"/>
        <v>12</v>
      </c>
      <c r="P40" s="143" t="str">
        <f t="shared" si="3"/>
        <v>Oct 30 2017</v>
      </c>
      <c r="Q40" s="144" t="str">
        <f t="shared" si="4"/>
        <v>10/30/2017</v>
      </c>
      <c r="R40" s="147" t="str">
        <f t="shared" si="5"/>
        <v>Oct 30 2017</v>
      </c>
      <c r="S40" s="127" t="s">
        <v>314</v>
      </c>
      <c r="T40" s="127" t="s">
        <v>315</v>
      </c>
      <c r="U40" s="127" t="s">
        <v>316</v>
      </c>
      <c r="V40" s="127" t="s">
        <v>317</v>
      </c>
      <c r="W40" s="127" t="s">
        <v>318</v>
      </c>
      <c r="X40" s="127" t="s">
        <v>319</v>
      </c>
      <c r="Y40" s="127" t="s">
        <v>320</v>
      </c>
      <c r="Z40" s="127" t="s">
        <v>321</v>
      </c>
      <c r="AA40" s="127" t="s">
        <v>322</v>
      </c>
      <c r="AB40" s="127" t="s">
        <v>323</v>
      </c>
      <c r="AC40" s="127" t="s">
        <v>324</v>
      </c>
      <c r="AD40" s="127" t="s">
        <v>325</v>
      </c>
      <c r="AE40" s="127" t="s">
        <v>326</v>
      </c>
    </row>
    <row r="41" spans="1:31" ht="15.75" x14ac:dyDescent="0.25">
      <c r="A41" s="55">
        <v>47118</v>
      </c>
      <c r="B41" s="56" t="s">
        <v>1141</v>
      </c>
      <c r="C41" s="56" t="s">
        <v>112</v>
      </c>
      <c r="E41" s="2" t="s">
        <v>71</v>
      </c>
      <c r="F41" s="1">
        <v>47084</v>
      </c>
      <c r="G41" s="1">
        <v>47118</v>
      </c>
      <c r="H41" t="s">
        <v>103</v>
      </c>
      <c r="I41" t="s">
        <v>14</v>
      </c>
      <c r="J41" t="s">
        <v>12</v>
      </c>
      <c r="L41" s="50" t="s">
        <v>1148</v>
      </c>
      <c r="M41" s="132" t="str">
        <f t="shared" si="0"/>
        <v>PrevPerStart</v>
      </c>
      <c r="N41" s="133" t="str">
        <f t="shared" si="1"/>
        <v>P</v>
      </c>
      <c r="O41" s="140">
        <f t="shared" si="2"/>
        <v>12</v>
      </c>
      <c r="P41" s="143" t="str">
        <f t="shared" si="3"/>
        <v>Oct 30 2028</v>
      </c>
      <c r="Q41" s="144" t="str">
        <f t="shared" si="4"/>
        <v>10/30/2028</v>
      </c>
      <c r="R41" s="147" t="str">
        <f t="shared" si="5"/>
        <v>Oct 30 2028</v>
      </c>
      <c r="S41" s="127" t="s">
        <v>623</v>
      </c>
      <c r="T41" s="127" t="s">
        <v>624</v>
      </c>
      <c r="U41" s="127" t="s">
        <v>625</v>
      </c>
      <c r="V41" s="127" t="s">
        <v>626</v>
      </c>
      <c r="W41" s="127" t="s">
        <v>627</v>
      </c>
      <c r="X41" s="127" t="s">
        <v>628</v>
      </c>
      <c r="Y41" s="127" t="s">
        <v>629</v>
      </c>
      <c r="Z41" s="127" t="s">
        <v>630</v>
      </c>
      <c r="AA41" s="127" t="s">
        <v>631</v>
      </c>
      <c r="AB41" s="127" t="s">
        <v>632</v>
      </c>
      <c r="AC41" s="127" t="s">
        <v>633</v>
      </c>
      <c r="AD41" s="127" t="s">
        <v>634</v>
      </c>
      <c r="AE41" s="127" t="s">
        <v>635</v>
      </c>
    </row>
    <row r="42" spans="1:31" ht="15.75" x14ac:dyDescent="0.25">
      <c r="A42" s="55">
        <v>39048</v>
      </c>
      <c r="B42" s="56" t="s">
        <v>1143</v>
      </c>
      <c r="C42" s="56" t="s">
        <v>111</v>
      </c>
      <c r="F42" s="1">
        <v>39048</v>
      </c>
      <c r="G42" s="1">
        <v>39082</v>
      </c>
      <c r="H42" t="s">
        <v>86</v>
      </c>
      <c r="I42" t="s">
        <v>14</v>
      </c>
      <c r="J42" t="s">
        <v>12</v>
      </c>
      <c r="L42" s="50" t="s">
        <v>1154</v>
      </c>
      <c r="M42" s="132" t="str">
        <f t="shared" si="0"/>
        <v>prevperEnd</v>
      </c>
      <c r="N42" s="133" t="s">
        <v>1280</v>
      </c>
      <c r="O42" s="140">
        <f t="shared" si="2"/>
        <v>13</v>
      </c>
      <c r="P42" s="143" t="str">
        <f t="shared" si="3"/>
        <v>Nov 27 2006</v>
      </c>
      <c r="Q42" s="144" t="str">
        <f t="shared" si="4"/>
        <v>11/27/2006</v>
      </c>
      <c r="R42" s="147">
        <f t="shared" si="5"/>
        <v>39047</v>
      </c>
      <c r="S42" s="127" t="s">
        <v>649</v>
      </c>
      <c r="T42" s="127" t="s">
        <v>650</v>
      </c>
      <c r="U42" s="127" t="s">
        <v>651</v>
      </c>
      <c r="V42" s="127" t="s">
        <v>652</v>
      </c>
      <c r="W42" s="127" t="s">
        <v>653</v>
      </c>
      <c r="X42" s="127" t="s">
        <v>654</v>
      </c>
      <c r="Y42" s="127" t="s">
        <v>655</v>
      </c>
      <c r="Z42" s="127" t="s">
        <v>656</v>
      </c>
      <c r="AA42" s="127" t="s">
        <v>657</v>
      </c>
      <c r="AB42" s="127" t="s">
        <v>658</v>
      </c>
      <c r="AC42" s="127" t="s">
        <v>659</v>
      </c>
      <c r="AD42" s="127" t="s">
        <v>660</v>
      </c>
      <c r="AE42" s="127" t="s">
        <v>661</v>
      </c>
    </row>
    <row r="43" spans="1:31" ht="15.75" x14ac:dyDescent="0.25">
      <c r="A43" s="55">
        <v>43066</v>
      </c>
      <c r="B43" s="56" t="s">
        <v>1143</v>
      </c>
      <c r="C43" s="56" t="s">
        <v>111</v>
      </c>
      <c r="F43" s="1">
        <v>43066</v>
      </c>
      <c r="G43" s="1">
        <v>43100</v>
      </c>
      <c r="H43" t="s">
        <v>70</v>
      </c>
      <c r="I43" t="s">
        <v>14</v>
      </c>
      <c r="J43" t="s">
        <v>12</v>
      </c>
      <c r="L43" s="50" t="s">
        <v>1165</v>
      </c>
      <c r="M43" s="132" t="str">
        <f t="shared" si="0"/>
        <v>prevperEnd</v>
      </c>
      <c r="N43" s="133" t="s">
        <v>1280</v>
      </c>
      <c r="O43" s="140">
        <f t="shared" si="2"/>
        <v>13</v>
      </c>
      <c r="P43" s="143" t="str">
        <f t="shared" si="3"/>
        <v>Nov 27 2017</v>
      </c>
      <c r="Q43" s="144" t="str">
        <f t="shared" si="4"/>
        <v>11/27/2017</v>
      </c>
      <c r="R43" s="147">
        <f t="shared" si="5"/>
        <v>43065</v>
      </c>
      <c r="S43" s="127" t="s">
        <v>314</v>
      </c>
      <c r="T43" s="127" t="s">
        <v>315</v>
      </c>
      <c r="U43" s="127" t="s">
        <v>316</v>
      </c>
      <c r="V43" s="127" t="s">
        <v>317</v>
      </c>
      <c r="W43" s="127" t="s">
        <v>318</v>
      </c>
      <c r="X43" s="127" t="s">
        <v>319</v>
      </c>
      <c r="Y43" s="127" t="s">
        <v>320</v>
      </c>
      <c r="Z43" s="127" t="s">
        <v>321</v>
      </c>
      <c r="AA43" s="127" t="s">
        <v>322</v>
      </c>
      <c r="AB43" s="127" t="s">
        <v>323</v>
      </c>
      <c r="AC43" s="127" t="s">
        <v>324</v>
      </c>
      <c r="AD43" s="127" t="s">
        <v>325</v>
      </c>
      <c r="AE43" s="127" t="s">
        <v>326</v>
      </c>
    </row>
    <row r="44" spans="1:31" ht="15.75" x14ac:dyDescent="0.25">
      <c r="A44" s="55">
        <v>47084</v>
      </c>
      <c r="B44" s="56" t="s">
        <v>1143</v>
      </c>
      <c r="C44" s="56" t="s">
        <v>111</v>
      </c>
      <c r="F44" s="1">
        <v>47084</v>
      </c>
      <c r="G44" s="1">
        <v>47118</v>
      </c>
      <c r="H44" t="s">
        <v>103</v>
      </c>
      <c r="I44" t="s">
        <v>14</v>
      </c>
      <c r="J44" t="s">
        <v>12</v>
      </c>
      <c r="L44" s="50" t="s">
        <v>1166</v>
      </c>
      <c r="M44" s="132" t="str">
        <f t="shared" si="0"/>
        <v>prevperEnd</v>
      </c>
      <c r="N44" s="133" t="s">
        <v>1280</v>
      </c>
      <c r="O44" s="140">
        <f t="shared" si="2"/>
        <v>13</v>
      </c>
      <c r="P44" s="143" t="str">
        <f t="shared" si="3"/>
        <v>Nov 27 2028</v>
      </c>
      <c r="Q44" s="144" t="str">
        <f t="shared" si="4"/>
        <v>11/27/2028</v>
      </c>
      <c r="R44" s="147">
        <f t="shared" si="5"/>
        <v>47083</v>
      </c>
      <c r="S44" s="127" t="s">
        <v>623</v>
      </c>
      <c r="T44" s="127" t="s">
        <v>624</v>
      </c>
      <c r="U44" s="127" t="s">
        <v>625</v>
      </c>
      <c r="V44" s="127" t="s">
        <v>626</v>
      </c>
      <c r="W44" s="127" t="s">
        <v>627</v>
      </c>
      <c r="X44" s="127" t="s">
        <v>628</v>
      </c>
      <c r="Y44" s="127" t="s">
        <v>629</v>
      </c>
      <c r="Z44" s="127" t="s">
        <v>630</v>
      </c>
      <c r="AA44" s="127" t="s">
        <v>631</v>
      </c>
      <c r="AB44" s="127" t="s">
        <v>632</v>
      </c>
      <c r="AC44" s="127" t="s">
        <v>633</v>
      </c>
      <c r="AD44" s="127" t="s">
        <v>634</v>
      </c>
      <c r="AE44" s="127" t="s">
        <v>635</v>
      </c>
    </row>
    <row r="45" spans="1:31" ht="15.75" x14ac:dyDescent="0.25">
      <c r="A45" s="55">
        <v>39082</v>
      </c>
      <c r="B45" s="56" t="s">
        <v>1143</v>
      </c>
      <c r="C45" s="56" t="s">
        <v>112</v>
      </c>
      <c r="F45" s="1">
        <v>39048</v>
      </c>
      <c r="G45" s="1">
        <v>39082</v>
      </c>
      <c r="H45" t="s">
        <v>86</v>
      </c>
      <c r="I45" t="s">
        <v>14</v>
      </c>
      <c r="J45" t="s">
        <v>12</v>
      </c>
      <c r="L45" s="50" t="s">
        <v>1154</v>
      </c>
      <c r="M45" s="132" t="str">
        <f t="shared" si="0"/>
        <v>prevperEnd</v>
      </c>
      <c r="N45" s="133" t="s">
        <v>1280</v>
      </c>
      <c r="O45" s="140">
        <f t="shared" si="2"/>
        <v>13</v>
      </c>
      <c r="P45" s="143" t="str">
        <f t="shared" si="3"/>
        <v>Nov 27 2006</v>
      </c>
      <c r="Q45" s="144" t="str">
        <f t="shared" si="4"/>
        <v>11/27/2006</v>
      </c>
      <c r="R45" s="147">
        <f t="shared" si="5"/>
        <v>39047</v>
      </c>
      <c r="S45" s="127" t="s">
        <v>649</v>
      </c>
      <c r="T45" s="127" t="s">
        <v>650</v>
      </c>
      <c r="U45" s="127" t="s">
        <v>651</v>
      </c>
      <c r="V45" s="127" t="s">
        <v>652</v>
      </c>
      <c r="W45" s="127" t="s">
        <v>653</v>
      </c>
      <c r="X45" s="127" t="s">
        <v>654</v>
      </c>
      <c r="Y45" s="127" t="s">
        <v>655</v>
      </c>
      <c r="Z45" s="127" t="s">
        <v>656</v>
      </c>
      <c r="AA45" s="127" t="s">
        <v>657</v>
      </c>
      <c r="AB45" s="127" t="s">
        <v>658</v>
      </c>
      <c r="AC45" s="127" t="s">
        <v>659</v>
      </c>
      <c r="AD45" s="127" t="s">
        <v>660</v>
      </c>
      <c r="AE45" s="127" t="s">
        <v>661</v>
      </c>
    </row>
    <row r="46" spans="1:31" ht="15.75" x14ac:dyDescent="0.25">
      <c r="A46" s="55">
        <v>43100</v>
      </c>
      <c r="B46" s="56" t="s">
        <v>1143</v>
      </c>
      <c r="C46" s="56" t="s">
        <v>112</v>
      </c>
      <c r="F46" s="1">
        <v>43066</v>
      </c>
      <c r="G46" s="1">
        <v>43100</v>
      </c>
      <c r="H46" t="s">
        <v>70</v>
      </c>
      <c r="I46" t="s">
        <v>14</v>
      </c>
      <c r="J46" t="s">
        <v>12</v>
      </c>
      <c r="L46" s="50" t="s">
        <v>1165</v>
      </c>
      <c r="M46" s="132" t="str">
        <f t="shared" si="0"/>
        <v>prevperEnd</v>
      </c>
      <c r="N46" s="133" t="s">
        <v>1280</v>
      </c>
      <c r="O46" s="140">
        <f t="shared" si="2"/>
        <v>13</v>
      </c>
      <c r="P46" s="143" t="str">
        <f t="shared" si="3"/>
        <v>Nov 27 2017</v>
      </c>
      <c r="Q46" s="144" t="str">
        <f t="shared" si="4"/>
        <v>11/27/2017</v>
      </c>
      <c r="R46" s="147">
        <f t="shared" si="5"/>
        <v>43065</v>
      </c>
      <c r="S46" s="127" t="s">
        <v>314</v>
      </c>
      <c r="T46" s="127" t="s">
        <v>315</v>
      </c>
      <c r="U46" s="127" t="s">
        <v>316</v>
      </c>
      <c r="V46" s="127" t="s">
        <v>317</v>
      </c>
      <c r="W46" s="127" t="s">
        <v>318</v>
      </c>
      <c r="X46" s="127" t="s">
        <v>319</v>
      </c>
      <c r="Y46" s="127" t="s">
        <v>320</v>
      </c>
      <c r="Z46" s="127" t="s">
        <v>321</v>
      </c>
      <c r="AA46" s="127" t="s">
        <v>322</v>
      </c>
      <c r="AB46" s="127" t="s">
        <v>323</v>
      </c>
      <c r="AC46" s="127" t="s">
        <v>324</v>
      </c>
      <c r="AD46" s="127" t="s">
        <v>325</v>
      </c>
      <c r="AE46" s="127" t="s">
        <v>326</v>
      </c>
    </row>
    <row r="47" spans="1:31" ht="15.75" x14ac:dyDescent="0.25">
      <c r="A47" s="55">
        <v>47118</v>
      </c>
      <c r="B47" s="56" t="s">
        <v>1143</v>
      </c>
      <c r="C47" s="56" t="s">
        <v>112</v>
      </c>
      <c r="F47" s="1">
        <v>47084</v>
      </c>
      <c r="G47" s="1">
        <v>47118</v>
      </c>
      <c r="H47" t="s">
        <v>103</v>
      </c>
      <c r="I47" t="s">
        <v>14</v>
      </c>
      <c r="J47" t="s">
        <v>12</v>
      </c>
      <c r="L47" s="50" t="s">
        <v>1166</v>
      </c>
      <c r="M47" s="132" t="str">
        <f t="shared" si="0"/>
        <v>prevperEnd</v>
      </c>
      <c r="N47" s="133" t="s">
        <v>1280</v>
      </c>
      <c r="O47" s="140">
        <f t="shared" si="2"/>
        <v>13</v>
      </c>
      <c r="P47" s="143" t="str">
        <f t="shared" si="3"/>
        <v>Nov 27 2028</v>
      </c>
      <c r="Q47" s="144" t="str">
        <f t="shared" si="4"/>
        <v>11/27/2028</v>
      </c>
      <c r="R47" s="147">
        <f t="shared" si="5"/>
        <v>47083</v>
      </c>
      <c r="S47" s="127" t="s">
        <v>623</v>
      </c>
      <c r="T47" s="127" t="s">
        <v>624</v>
      </c>
      <c r="U47" s="127" t="s">
        <v>625</v>
      </c>
      <c r="V47" s="127" t="s">
        <v>626</v>
      </c>
      <c r="W47" s="127" t="s">
        <v>627</v>
      </c>
      <c r="X47" s="127" t="s">
        <v>628</v>
      </c>
      <c r="Y47" s="127" t="s">
        <v>629</v>
      </c>
      <c r="Z47" s="127" t="s">
        <v>630</v>
      </c>
      <c r="AA47" s="127" t="s">
        <v>631</v>
      </c>
      <c r="AB47" s="127" t="s">
        <v>632</v>
      </c>
      <c r="AC47" s="127" t="s">
        <v>633</v>
      </c>
      <c r="AD47" s="127" t="s">
        <v>634</v>
      </c>
      <c r="AE47" s="127" t="s">
        <v>635</v>
      </c>
    </row>
    <row r="48" spans="1:31" ht="15.75" x14ac:dyDescent="0.25">
      <c r="A48" s="1">
        <v>42658</v>
      </c>
      <c r="B48" s="56" t="s">
        <v>1141</v>
      </c>
      <c r="C48" s="57" t="s">
        <v>138</v>
      </c>
      <c r="F48" s="1">
        <v>42646</v>
      </c>
      <c r="G48" s="1">
        <v>42673</v>
      </c>
      <c r="H48" t="s">
        <v>16</v>
      </c>
      <c r="I48" t="s">
        <v>150</v>
      </c>
      <c r="J48" t="s">
        <v>12</v>
      </c>
      <c r="L48" s="50" t="s">
        <v>1167</v>
      </c>
      <c r="M48" s="132" t="str">
        <f t="shared" si="0"/>
        <v>PrevPerStart</v>
      </c>
      <c r="N48" s="133" t="str">
        <f t="shared" si="1"/>
        <v>P</v>
      </c>
      <c r="O48" s="140">
        <f t="shared" si="2"/>
        <v>10</v>
      </c>
      <c r="P48" s="143" t="str">
        <f t="shared" si="3"/>
        <v>Sep  5 2016</v>
      </c>
      <c r="Q48" s="144" t="str">
        <f t="shared" si="4"/>
        <v>9/ 5/2016</v>
      </c>
      <c r="R48" s="147" t="str">
        <f t="shared" si="5"/>
        <v>Sep  5 2016</v>
      </c>
      <c r="S48" s="127" t="s">
        <v>301</v>
      </c>
      <c r="T48" s="127" t="s">
        <v>302</v>
      </c>
      <c r="U48" s="127" t="s">
        <v>303</v>
      </c>
      <c r="V48" s="127" t="s">
        <v>304</v>
      </c>
      <c r="W48" s="127" t="s">
        <v>305</v>
      </c>
      <c r="X48" s="127" t="s">
        <v>306</v>
      </c>
      <c r="Y48" s="127" t="s">
        <v>307</v>
      </c>
      <c r="Z48" s="127" t="s">
        <v>308</v>
      </c>
      <c r="AA48" s="127" t="s">
        <v>309</v>
      </c>
      <c r="AB48" s="127" t="s">
        <v>310</v>
      </c>
      <c r="AC48" s="127" t="s">
        <v>311</v>
      </c>
      <c r="AD48" s="127" t="s">
        <v>312</v>
      </c>
      <c r="AE48" s="127" t="s">
        <v>313</v>
      </c>
    </row>
    <row r="49" spans="1:31" ht="15.75" x14ac:dyDescent="0.25">
      <c r="A49" s="1">
        <v>46907</v>
      </c>
      <c r="B49" s="56" t="s">
        <v>1141</v>
      </c>
      <c r="C49" s="57" t="s">
        <v>138</v>
      </c>
      <c r="F49" s="1">
        <v>46888</v>
      </c>
      <c r="G49" s="1">
        <v>46915</v>
      </c>
      <c r="H49" t="s">
        <v>103</v>
      </c>
      <c r="I49" t="s">
        <v>146</v>
      </c>
      <c r="J49" t="s">
        <v>143</v>
      </c>
      <c r="L49" s="50" t="s">
        <v>153</v>
      </c>
      <c r="M49" s="132" t="str">
        <f t="shared" si="0"/>
        <v>PrevPerStart</v>
      </c>
      <c r="N49" s="133" t="str">
        <f t="shared" si="1"/>
        <v>P</v>
      </c>
      <c r="O49" s="140">
        <f t="shared" si="2"/>
        <v>5</v>
      </c>
      <c r="P49" s="143" t="str">
        <f t="shared" si="3"/>
        <v>Apr 17 2028</v>
      </c>
      <c r="Q49" s="144" t="str">
        <f t="shared" si="4"/>
        <v>4/17/2028</v>
      </c>
      <c r="R49" s="147" t="str">
        <f t="shared" si="5"/>
        <v>Apr 17 2028</v>
      </c>
      <c r="S49" s="127" t="s">
        <v>623</v>
      </c>
      <c r="T49" s="127" t="s">
        <v>624</v>
      </c>
      <c r="U49" s="127" t="s">
        <v>625</v>
      </c>
      <c r="V49" s="127" t="s">
        <v>626</v>
      </c>
      <c r="W49" s="127" t="s">
        <v>627</v>
      </c>
      <c r="X49" s="127" t="s">
        <v>628</v>
      </c>
      <c r="Y49" s="127" t="s">
        <v>629</v>
      </c>
      <c r="Z49" s="127" t="s">
        <v>630</v>
      </c>
      <c r="AA49" s="127" t="s">
        <v>631</v>
      </c>
      <c r="AB49" s="127" t="s">
        <v>632</v>
      </c>
      <c r="AC49" s="127" t="s">
        <v>633</v>
      </c>
      <c r="AD49" s="127" t="s">
        <v>634</v>
      </c>
      <c r="AE49" s="127" t="s">
        <v>635</v>
      </c>
    </row>
    <row r="50" spans="1:31" ht="15.75" x14ac:dyDescent="0.25">
      <c r="A50" s="1">
        <v>37749</v>
      </c>
      <c r="B50" s="56" t="s">
        <v>1141</v>
      </c>
      <c r="C50" s="57" t="s">
        <v>138</v>
      </c>
      <c r="F50" s="1">
        <v>37732</v>
      </c>
      <c r="G50" s="1">
        <v>37759</v>
      </c>
      <c r="H50" t="s">
        <v>80</v>
      </c>
      <c r="I50" t="s">
        <v>142</v>
      </c>
      <c r="J50" t="s">
        <v>143</v>
      </c>
      <c r="L50" s="50" t="s">
        <v>1168</v>
      </c>
      <c r="M50" s="132" t="str">
        <f t="shared" si="0"/>
        <v>PrevPerStart</v>
      </c>
      <c r="N50" s="133" t="str">
        <f t="shared" si="1"/>
        <v>P</v>
      </c>
      <c r="O50" s="140">
        <f t="shared" si="2"/>
        <v>4</v>
      </c>
      <c r="P50" s="143" t="str">
        <f t="shared" si="3"/>
        <v>Mar 24 2003</v>
      </c>
      <c r="Q50" s="144" t="str">
        <f t="shared" si="4"/>
        <v>3/24/2003</v>
      </c>
      <c r="R50" s="147" t="str">
        <f t="shared" si="5"/>
        <v>Mar 24 2003</v>
      </c>
      <c r="S50" s="127" t="s">
        <v>353</v>
      </c>
      <c r="T50" s="127" t="s">
        <v>354</v>
      </c>
      <c r="U50" s="127" t="s">
        <v>355</v>
      </c>
      <c r="V50" s="127" t="s">
        <v>356</v>
      </c>
      <c r="W50" s="127" t="s">
        <v>357</v>
      </c>
      <c r="X50" s="127" t="s">
        <v>358</v>
      </c>
      <c r="Y50" s="127" t="s">
        <v>359</v>
      </c>
      <c r="Z50" s="127" t="s">
        <v>360</v>
      </c>
      <c r="AA50" s="127" t="s">
        <v>361</v>
      </c>
      <c r="AB50" s="127" t="s">
        <v>362</v>
      </c>
      <c r="AC50" s="127" t="s">
        <v>363</v>
      </c>
      <c r="AD50" s="127" t="s">
        <v>364</v>
      </c>
      <c r="AE50" s="127" t="s">
        <v>365</v>
      </c>
    </row>
    <row r="51" spans="1:31" ht="15.75" x14ac:dyDescent="0.25">
      <c r="A51" s="1">
        <v>40877</v>
      </c>
      <c r="B51" s="56" t="s">
        <v>1141</v>
      </c>
      <c r="C51" s="57" t="s">
        <v>138</v>
      </c>
      <c r="F51" s="1">
        <v>40875</v>
      </c>
      <c r="G51" s="1">
        <v>40902</v>
      </c>
      <c r="H51" t="s">
        <v>91</v>
      </c>
      <c r="I51" t="s">
        <v>14</v>
      </c>
      <c r="J51" t="s">
        <v>12</v>
      </c>
      <c r="L51" s="50" t="s">
        <v>1169</v>
      </c>
      <c r="M51" s="132" t="str">
        <f t="shared" si="0"/>
        <v>PrevPerStart</v>
      </c>
      <c r="N51" s="133" t="str">
        <f t="shared" si="1"/>
        <v>P</v>
      </c>
      <c r="O51" s="140">
        <f t="shared" si="2"/>
        <v>12</v>
      </c>
      <c r="P51" s="143" t="str">
        <f t="shared" si="3"/>
        <v>Oct 31 2011</v>
      </c>
      <c r="Q51" s="144" t="str">
        <f t="shared" si="4"/>
        <v>10/31/2011</v>
      </c>
      <c r="R51" s="147" t="str">
        <f t="shared" si="5"/>
        <v>Oct 31 2011</v>
      </c>
      <c r="S51" s="127" t="s">
        <v>340</v>
      </c>
      <c r="T51" s="127" t="s">
        <v>341</v>
      </c>
      <c r="U51" s="127" t="s">
        <v>342</v>
      </c>
      <c r="V51" s="127" t="s">
        <v>343</v>
      </c>
      <c r="W51" s="127" t="s">
        <v>344</v>
      </c>
      <c r="X51" s="127" t="s">
        <v>345</v>
      </c>
      <c r="Y51" s="127" t="s">
        <v>346</v>
      </c>
      <c r="Z51" s="127" t="s">
        <v>347</v>
      </c>
      <c r="AA51" s="127" t="s">
        <v>348</v>
      </c>
      <c r="AB51" s="127" t="s">
        <v>349</v>
      </c>
      <c r="AC51" s="127" t="s">
        <v>350</v>
      </c>
      <c r="AD51" s="127" t="s">
        <v>351</v>
      </c>
      <c r="AE51" s="127" t="s">
        <v>352</v>
      </c>
    </row>
    <row r="52" spans="1:31" ht="15.75" x14ac:dyDescent="0.25">
      <c r="A52" s="1">
        <v>46512</v>
      </c>
      <c r="B52" s="56" t="s">
        <v>1141</v>
      </c>
      <c r="C52" s="57" t="s">
        <v>138</v>
      </c>
      <c r="F52" s="1">
        <v>46496</v>
      </c>
      <c r="G52" s="1">
        <v>46523</v>
      </c>
      <c r="H52" t="s">
        <v>101</v>
      </c>
      <c r="I52" t="s">
        <v>142</v>
      </c>
      <c r="J52" t="s">
        <v>143</v>
      </c>
      <c r="L52" s="50" t="s">
        <v>1170</v>
      </c>
      <c r="M52" s="132" t="str">
        <f t="shared" si="0"/>
        <v>PrevPerStart</v>
      </c>
      <c r="N52" s="133" t="str">
        <f t="shared" si="1"/>
        <v>P</v>
      </c>
      <c r="O52" s="140">
        <f t="shared" si="2"/>
        <v>4</v>
      </c>
      <c r="P52" s="143" t="str">
        <f t="shared" si="3"/>
        <v>Mar 22 2027</v>
      </c>
      <c r="Q52" s="144" t="str">
        <f t="shared" si="4"/>
        <v>3/22/2027</v>
      </c>
      <c r="R52" s="147" t="str">
        <f t="shared" si="5"/>
        <v>Mar 22 2027</v>
      </c>
      <c r="S52" s="127" t="s">
        <v>610</v>
      </c>
      <c r="T52" s="127" t="s">
        <v>611</v>
      </c>
      <c r="U52" s="127" t="s">
        <v>612</v>
      </c>
      <c r="V52" s="127" t="s">
        <v>613</v>
      </c>
      <c r="W52" s="127" t="s">
        <v>614</v>
      </c>
      <c r="X52" s="127" t="s">
        <v>615</v>
      </c>
      <c r="Y52" s="127" t="s">
        <v>616</v>
      </c>
      <c r="Z52" s="127" t="s">
        <v>617</v>
      </c>
      <c r="AA52" s="127" t="s">
        <v>618</v>
      </c>
      <c r="AB52" s="127" t="s">
        <v>619</v>
      </c>
      <c r="AC52" s="127" t="s">
        <v>620</v>
      </c>
      <c r="AD52" s="127" t="s">
        <v>621</v>
      </c>
      <c r="AE52" s="127" t="s">
        <v>622</v>
      </c>
    </row>
    <row r="53" spans="1:31" ht="15.75" x14ac:dyDescent="0.25">
      <c r="A53" s="1">
        <v>46577</v>
      </c>
      <c r="B53" s="56" t="s">
        <v>1141</v>
      </c>
      <c r="C53" s="57" t="s">
        <v>138</v>
      </c>
      <c r="F53" s="1">
        <v>46552</v>
      </c>
      <c r="G53" s="1">
        <v>46579</v>
      </c>
      <c r="H53" t="s">
        <v>101</v>
      </c>
      <c r="I53" t="s">
        <v>151</v>
      </c>
      <c r="J53" t="s">
        <v>143</v>
      </c>
      <c r="L53" s="50" t="s">
        <v>1171</v>
      </c>
      <c r="M53" s="132" t="str">
        <f t="shared" si="0"/>
        <v>PrevPerStart</v>
      </c>
      <c r="N53" s="133" t="str">
        <f t="shared" si="1"/>
        <v>P</v>
      </c>
      <c r="O53" s="140">
        <f t="shared" si="2"/>
        <v>6</v>
      </c>
      <c r="P53" s="143" t="str">
        <f t="shared" si="3"/>
        <v>May 17 2027</v>
      </c>
      <c r="Q53" s="144" t="str">
        <f t="shared" si="4"/>
        <v>5/17/2027</v>
      </c>
      <c r="R53" s="147" t="str">
        <f t="shared" si="5"/>
        <v>May 17 2027</v>
      </c>
      <c r="S53" s="127" t="s">
        <v>610</v>
      </c>
      <c r="T53" s="127" t="s">
        <v>611</v>
      </c>
      <c r="U53" s="127" t="s">
        <v>612</v>
      </c>
      <c r="V53" s="127" t="s">
        <v>613</v>
      </c>
      <c r="W53" s="127" t="s">
        <v>614</v>
      </c>
      <c r="X53" s="127" t="s">
        <v>615</v>
      </c>
      <c r="Y53" s="127" t="s">
        <v>616</v>
      </c>
      <c r="Z53" s="127" t="s">
        <v>617</v>
      </c>
      <c r="AA53" s="127" t="s">
        <v>618</v>
      </c>
      <c r="AB53" s="127" t="s">
        <v>619</v>
      </c>
      <c r="AC53" s="127" t="s">
        <v>620</v>
      </c>
      <c r="AD53" s="127" t="s">
        <v>621</v>
      </c>
      <c r="AE53" s="127" t="s">
        <v>622</v>
      </c>
    </row>
    <row r="54" spans="1:31" ht="15.75" x14ac:dyDescent="0.25">
      <c r="A54" s="1">
        <v>45880</v>
      </c>
      <c r="B54" s="56" t="s">
        <v>1141</v>
      </c>
      <c r="C54" s="57" t="s">
        <v>138</v>
      </c>
      <c r="F54" s="1">
        <v>45880</v>
      </c>
      <c r="G54" s="1">
        <v>45907</v>
      </c>
      <c r="H54" t="s">
        <v>97</v>
      </c>
      <c r="I54" t="s">
        <v>141</v>
      </c>
      <c r="J54" t="s">
        <v>54</v>
      </c>
      <c r="L54" s="50" t="s">
        <v>1172</v>
      </c>
      <c r="M54" s="132" t="str">
        <f t="shared" si="0"/>
        <v>PrevPerStart</v>
      </c>
      <c r="N54" s="133" t="str">
        <f t="shared" si="1"/>
        <v>P</v>
      </c>
      <c r="O54" s="140">
        <f t="shared" si="2"/>
        <v>8</v>
      </c>
      <c r="P54" s="143" t="str">
        <f t="shared" si="3"/>
        <v>Jul 14 2025</v>
      </c>
      <c r="Q54" s="144" t="str">
        <f t="shared" si="4"/>
        <v>7/14/2025</v>
      </c>
      <c r="R54" s="147" t="str">
        <f t="shared" si="5"/>
        <v>Jul 14 2025</v>
      </c>
      <c r="S54" s="127" t="s">
        <v>522</v>
      </c>
      <c r="T54" s="127" t="s">
        <v>523</v>
      </c>
      <c r="U54" s="127" t="s">
        <v>524</v>
      </c>
      <c r="V54" s="127" t="s">
        <v>525</v>
      </c>
      <c r="W54" s="127" t="s">
        <v>526</v>
      </c>
      <c r="X54" s="127" t="s">
        <v>527</v>
      </c>
      <c r="Y54" s="127" t="s">
        <v>528</v>
      </c>
      <c r="Z54" s="127" t="s">
        <v>529</v>
      </c>
      <c r="AA54" s="127" t="s">
        <v>530</v>
      </c>
      <c r="AB54" s="127" t="s">
        <v>531</v>
      </c>
      <c r="AC54" s="127" t="s">
        <v>532</v>
      </c>
      <c r="AD54" s="127" t="s">
        <v>533</v>
      </c>
      <c r="AE54" s="127" t="s">
        <v>534</v>
      </c>
    </row>
    <row r="55" spans="1:31" ht="15.75" x14ac:dyDescent="0.25">
      <c r="A55" s="1">
        <v>43625</v>
      </c>
      <c r="B55" s="56" t="s">
        <v>1141</v>
      </c>
      <c r="C55" s="57" t="s">
        <v>138</v>
      </c>
      <c r="F55" s="1">
        <v>43605</v>
      </c>
      <c r="G55" s="1">
        <v>43632</v>
      </c>
      <c r="H55" t="s">
        <v>73</v>
      </c>
      <c r="I55" t="s">
        <v>146</v>
      </c>
      <c r="J55" t="s">
        <v>143</v>
      </c>
      <c r="L55" s="50" t="s">
        <v>1173</v>
      </c>
      <c r="M55" s="132" t="str">
        <f t="shared" si="0"/>
        <v>PrevPerStart</v>
      </c>
      <c r="N55" s="133" t="str">
        <f t="shared" si="1"/>
        <v>P</v>
      </c>
      <c r="O55" s="140">
        <f t="shared" si="2"/>
        <v>5</v>
      </c>
      <c r="P55" s="143" t="str">
        <f t="shared" si="3"/>
        <v>Apr 22 2019</v>
      </c>
      <c r="Q55" s="144" t="str">
        <f t="shared" si="4"/>
        <v>4/22/2019</v>
      </c>
      <c r="R55" s="147" t="str">
        <f t="shared" si="5"/>
        <v>Apr 22 2019</v>
      </c>
      <c r="S55" s="127" t="s">
        <v>1205</v>
      </c>
      <c r="T55" s="127" t="s">
        <v>1206</v>
      </c>
      <c r="U55" s="127" t="s">
        <v>1207</v>
      </c>
      <c r="V55" s="127" t="s">
        <v>1208</v>
      </c>
      <c r="W55" s="127" t="s">
        <v>1209</v>
      </c>
      <c r="X55" s="127" t="s">
        <v>1210</v>
      </c>
      <c r="Y55" s="127" t="s">
        <v>1211</v>
      </c>
      <c r="Z55" s="127" t="s">
        <v>1212</v>
      </c>
      <c r="AA55" s="127" t="s">
        <v>1213</v>
      </c>
      <c r="AB55" s="127" t="s">
        <v>1214</v>
      </c>
      <c r="AC55" s="127" t="s">
        <v>1215</v>
      </c>
      <c r="AD55" s="127" t="s">
        <v>1216</v>
      </c>
      <c r="AE55" s="127" t="s">
        <v>1217</v>
      </c>
    </row>
    <row r="56" spans="1:31" ht="15.75" x14ac:dyDescent="0.25">
      <c r="A56" s="1">
        <v>45519</v>
      </c>
      <c r="B56" s="56" t="s">
        <v>1141</v>
      </c>
      <c r="C56" s="57" t="s">
        <v>138</v>
      </c>
      <c r="F56" s="1">
        <v>45516</v>
      </c>
      <c r="G56" s="1">
        <v>45543</v>
      </c>
      <c r="H56" t="s">
        <v>56</v>
      </c>
      <c r="I56" t="s">
        <v>141</v>
      </c>
      <c r="J56" t="s">
        <v>54</v>
      </c>
      <c r="L56" s="50" t="s">
        <v>1174</v>
      </c>
      <c r="M56" s="132" t="str">
        <f t="shared" si="0"/>
        <v>PrevPerStart</v>
      </c>
      <c r="N56" s="133" t="str">
        <f t="shared" si="1"/>
        <v>P</v>
      </c>
      <c r="O56" s="140">
        <f t="shared" si="2"/>
        <v>8</v>
      </c>
      <c r="P56" s="143" t="str">
        <f t="shared" si="3"/>
        <v>Jul 15 2024</v>
      </c>
      <c r="Q56" s="144" t="str">
        <f t="shared" si="4"/>
        <v>7/15/2024</v>
      </c>
      <c r="R56" s="147" t="str">
        <f t="shared" si="5"/>
        <v>Jul 15 2024</v>
      </c>
      <c r="S56" s="127" t="s">
        <v>392</v>
      </c>
      <c r="T56" s="127" t="s">
        <v>393</v>
      </c>
      <c r="U56" s="127" t="s">
        <v>394</v>
      </c>
      <c r="V56" s="127" t="s">
        <v>395</v>
      </c>
      <c r="W56" s="127" t="s">
        <v>396</v>
      </c>
      <c r="X56" s="127" t="s">
        <v>397</v>
      </c>
      <c r="Y56" s="127" t="s">
        <v>398</v>
      </c>
      <c r="Z56" s="127" t="s">
        <v>399</v>
      </c>
      <c r="AA56" s="127" t="s">
        <v>400</v>
      </c>
      <c r="AB56" s="127" t="s">
        <v>401</v>
      </c>
      <c r="AC56" s="127" t="s">
        <v>402</v>
      </c>
      <c r="AD56" s="127" t="s">
        <v>403</v>
      </c>
      <c r="AE56" s="127" t="s">
        <v>404</v>
      </c>
    </row>
    <row r="57" spans="1:31" ht="15.75" x14ac:dyDescent="0.25">
      <c r="A57" s="1">
        <v>40723</v>
      </c>
      <c r="B57" s="56" t="s">
        <v>1141</v>
      </c>
      <c r="C57" s="57" t="s">
        <v>138</v>
      </c>
      <c r="F57" s="1">
        <v>40707</v>
      </c>
      <c r="G57" s="1">
        <v>40734</v>
      </c>
      <c r="H57" t="s">
        <v>91</v>
      </c>
      <c r="I57" t="s">
        <v>151</v>
      </c>
      <c r="J57" t="s">
        <v>143</v>
      </c>
      <c r="L57" s="50" t="s">
        <v>1175</v>
      </c>
      <c r="M57" s="132" t="str">
        <f t="shared" si="0"/>
        <v>PrevPerStart</v>
      </c>
      <c r="N57" s="133" t="str">
        <f t="shared" si="1"/>
        <v>P</v>
      </c>
      <c r="O57" s="140">
        <f t="shared" si="2"/>
        <v>6</v>
      </c>
      <c r="P57" s="143" t="str">
        <f t="shared" si="3"/>
        <v>May 16 2011</v>
      </c>
      <c r="Q57" s="144" t="str">
        <f t="shared" si="4"/>
        <v>5/16/2011</v>
      </c>
      <c r="R57" s="147" t="str">
        <f t="shared" si="5"/>
        <v>May 16 2011</v>
      </c>
      <c r="S57" s="127" t="s">
        <v>340</v>
      </c>
      <c r="T57" s="127" t="s">
        <v>341</v>
      </c>
      <c r="U57" s="127" t="s">
        <v>342</v>
      </c>
      <c r="V57" s="127" t="s">
        <v>343</v>
      </c>
      <c r="W57" s="127" t="s">
        <v>344</v>
      </c>
      <c r="X57" s="127" t="s">
        <v>345</v>
      </c>
      <c r="Y57" s="127" t="s">
        <v>346</v>
      </c>
      <c r="Z57" s="127" t="s">
        <v>347</v>
      </c>
      <c r="AA57" s="127" t="s">
        <v>348</v>
      </c>
      <c r="AB57" s="127" t="s">
        <v>349</v>
      </c>
      <c r="AC57" s="127" t="s">
        <v>350</v>
      </c>
      <c r="AD57" s="127" t="s">
        <v>351</v>
      </c>
      <c r="AE57" s="127" t="s">
        <v>352</v>
      </c>
    </row>
    <row r="58" spans="1:31" ht="15.75" x14ac:dyDescent="0.25">
      <c r="A58" s="1">
        <v>45202</v>
      </c>
      <c r="B58" s="3" t="s">
        <v>1142</v>
      </c>
      <c r="C58" s="57" t="s">
        <v>138</v>
      </c>
      <c r="F58" s="1">
        <v>45201</v>
      </c>
      <c r="G58" s="1">
        <v>45228</v>
      </c>
      <c r="H58" t="s">
        <v>96</v>
      </c>
      <c r="I58" t="s">
        <v>150</v>
      </c>
      <c r="J58" t="s">
        <v>12</v>
      </c>
      <c r="L58" s="50" t="s">
        <v>688</v>
      </c>
      <c r="M58" s="132" t="str">
        <f t="shared" si="0"/>
        <v>prevPerEnd</v>
      </c>
      <c r="N58" s="133" t="s">
        <v>1280</v>
      </c>
      <c r="O58" s="140">
        <f t="shared" si="2"/>
        <v>11</v>
      </c>
      <c r="P58" s="143" t="str">
        <f t="shared" si="3"/>
        <v>Oct  2 2023</v>
      </c>
      <c r="Q58" s="144" t="str">
        <f t="shared" si="4"/>
        <v>10/ 2/2023</v>
      </c>
      <c r="R58" s="147">
        <f t="shared" si="5"/>
        <v>45200</v>
      </c>
      <c r="S58" s="127" t="s">
        <v>561</v>
      </c>
      <c r="T58" s="127" t="s">
        <v>562</v>
      </c>
      <c r="U58" s="127" t="s">
        <v>563</v>
      </c>
      <c r="V58" s="127" t="s">
        <v>564</v>
      </c>
      <c r="W58" s="127" t="s">
        <v>565</v>
      </c>
      <c r="X58" s="127" t="s">
        <v>566</v>
      </c>
      <c r="Y58" s="127" t="s">
        <v>567</v>
      </c>
      <c r="Z58" s="127" t="s">
        <v>568</v>
      </c>
      <c r="AA58" s="127" t="s">
        <v>569</v>
      </c>
      <c r="AB58" s="127" t="s">
        <v>570</v>
      </c>
      <c r="AC58" s="127" t="s">
        <v>571</v>
      </c>
      <c r="AD58" s="127" t="s">
        <v>572</v>
      </c>
      <c r="AE58" s="127" t="s">
        <v>573</v>
      </c>
    </row>
    <row r="59" spans="1:31" ht="15.75" x14ac:dyDescent="0.25">
      <c r="A59" s="1">
        <v>37233</v>
      </c>
      <c r="B59" s="3" t="s">
        <v>1142</v>
      </c>
      <c r="C59" s="57" t="s">
        <v>138</v>
      </c>
      <c r="F59" s="1">
        <v>37228</v>
      </c>
      <c r="G59" s="1">
        <v>37255</v>
      </c>
      <c r="H59" t="s">
        <v>77</v>
      </c>
      <c r="I59" t="s">
        <v>14</v>
      </c>
      <c r="J59" t="s">
        <v>12</v>
      </c>
      <c r="L59" s="50" t="s">
        <v>1151</v>
      </c>
      <c r="M59" s="132" t="str">
        <f t="shared" si="0"/>
        <v>prevPerEnd</v>
      </c>
      <c r="N59" s="133" t="s">
        <v>1280</v>
      </c>
      <c r="O59" s="140">
        <f t="shared" si="2"/>
        <v>13</v>
      </c>
      <c r="P59" s="143" t="str">
        <f t="shared" si="3"/>
        <v>Dec  3 2001</v>
      </c>
      <c r="Q59" s="144" t="str">
        <f t="shared" si="4"/>
        <v>12/ 3/2001</v>
      </c>
      <c r="R59" s="147">
        <f t="shared" si="5"/>
        <v>37227</v>
      </c>
      <c r="S59" s="127" t="s">
        <v>496</v>
      </c>
      <c r="T59" s="127" t="s">
        <v>497</v>
      </c>
      <c r="U59" s="127" t="s">
        <v>498</v>
      </c>
      <c r="V59" s="127" t="s">
        <v>499</v>
      </c>
      <c r="W59" s="127" t="s">
        <v>500</v>
      </c>
      <c r="X59" s="127" t="s">
        <v>501</v>
      </c>
      <c r="Y59" s="127" t="s">
        <v>502</v>
      </c>
      <c r="Z59" s="127" t="s">
        <v>503</v>
      </c>
      <c r="AA59" s="127" t="s">
        <v>504</v>
      </c>
      <c r="AB59" s="127" t="s">
        <v>505</v>
      </c>
      <c r="AC59" s="127" t="s">
        <v>506</v>
      </c>
      <c r="AD59" s="127" t="s">
        <v>507</v>
      </c>
      <c r="AE59" s="127" t="s">
        <v>508</v>
      </c>
    </row>
    <row r="60" spans="1:31" ht="15.75" x14ac:dyDescent="0.25">
      <c r="A60" s="1">
        <v>47240</v>
      </c>
      <c r="B60" s="3" t="s">
        <v>1142</v>
      </c>
      <c r="C60" s="57" t="s">
        <v>138</v>
      </c>
      <c r="F60" s="1">
        <v>47231</v>
      </c>
      <c r="G60" s="1">
        <v>47258</v>
      </c>
      <c r="H60" t="s">
        <v>105</v>
      </c>
      <c r="I60" t="s">
        <v>142</v>
      </c>
      <c r="J60" t="s">
        <v>143</v>
      </c>
      <c r="L60" s="50" t="s">
        <v>681</v>
      </c>
      <c r="M60" s="132" t="str">
        <f t="shared" si="0"/>
        <v>prevPerEnd</v>
      </c>
      <c r="N60" s="133" t="s">
        <v>1280</v>
      </c>
      <c r="O60" s="140">
        <f t="shared" si="2"/>
        <v>5</v>
      </c>
      <c r="P60" s="143" t="str">
        <f t="shared" si="3"/>
        <v>Apr 23 2029</v>
      </c>
      <c r="Q60" s="144" t="str">
        <f t="shared" si="4"/>
        <v>4/23/2029</v>
      </c>
      <c r="R60" s="147">
        <f t="shared" si="5"/>
        <v>47230</v>
      </c>
      <c r="S60" s="127" t="s">
        <v>483</v>
      </c>
      <c r="T60" s="127" t="s">
        <v>484</v>
      </c>
      <c r="U60" s="127" t="s">
        <v>485</v>
      </c>
      <c r="V60" s="127" t="s">
        <v>486</v>
      </c>
      <c r="W60" s="127" t="s">
        <v>487</v>
      </c>
      <c r="X60" s="127" t="s">
        <v>488</v>
      </c>
      <c r="Y60" s="127" t="s">
        <v>489</v>
      </c>
      <c r="Z60" s="127" t="s">
        <v>490</v>
      </c>
      <c r="AA60" s="127" t="s">
        <v>491</v>
      </c>
      <c r="AB60" s="127" t="s">
        <v>492</v>
      </c>
      <c r="AC60" s="127" t="s">
        <v>493</v>
      </c>
      <c r="AD60" s="127" t="s">
        <v>494</v>
      </c>
      <c r="AE60" s="127" t="s">
        <v>495</v>
      </c>
    </row>
    <row r="61" spans="1:31" ht="15.75" x14ac:dyDescent="0.25">
      <c r="A61" s="1">
        <v>39924</v>
      </c>
      <c r="B61" s="3" t="s">
        <v>1142</v>
      </c>
      <c r="C61" s="57" t="s">
        <v>138</v>
      </c>
      <c r="F61" s="1">
        <v>39923</v>
      </c>
      <c r="G61" s="1">
        <v>39950</v>
      </c>
      <c r="H61" t="s">
        <v>89</v>
      </c>
      <c r="I61" t="s">
        <v>142</v>
      </c>
      <c r="J61" t="s">
        <v>143</v>
      </c>
      <c r="L61" s="50" t="s">
        <v>674</v>
      </c>
      <c r="M61" s="132" t="str">
        <f t="shared" si="0"/>
        <v>prevPerEnd</v>
      </c>
      <c r="N61" s="133" t="s">
        <v>1280</v>
      </c>
      <c r="O61" s="140">
        <f t="shared" si="2"/>
        <v>5</v>
      </c>
      <c r="P61" s="143" t="str">
        <f t="shared" si="3"/>
        <v>Apr 20 2009</v>
      </c>
      <c r="Q61" s="144" t="str">
        <f t="shared" si="4"/>
        <v>4/20/2009</v>
      </c>
      <c r="R61" s="147">
        <f t="shared" si="5"/>
        <v>39922</v>
      </c>
      <c r="S61" s="127" t="s">
        <v>457</v>
      </c>
      <c r="T61" s="127" t="s">
        <v>458</v>
      </c>
      <c r="U61" s="127" t="s">
        <v>459</v>
      </c>
      <c r="V61" s="127" t="s">
        <v>460</v>
      </c>
      <c r="W61" s="127" t="s">
        <v>461</v>
      </c>
      <c r="X61" s="127" t="s">
        <v>462</v>
      </c>
      <c r="Y61" s="127" t="s">
        <v>463</v>
      </c>
      <c r="Z61" s="127" t="s">
        <v>464</v>
      </c>
      <c r="AA61" s="127" t="s">
        <v>465</v>
      </c>
      <c r="AB61" s="127" t="s">
        <v>466</v>
      </c>
      <c r="AC61" s="127" t="s">
        <v>467</v>
      </c>
      <c r="AD61" s="127" t="s">
        <v>468</v>
      </c>
      <c r="AE61" s="127" t="s">
        <v>469</v>
      </c>
    </row>
    <row r="62" spans="1:31" ht="15.75" x14ac:dyDescent="0.25">
      <c r="A62" s="1">
        <v>43453</v>
      </c>
      <c r="B62" s="3" t="s">
        <v>1142</v>
      </c>
      <c r="C62" s="57" t="s">
        <v>138</v>
      </c>
      <c r="F62" s="1">
        <v>43437</v>
      </c>
      <c r="G62" s="1">
        <v>43464</v>
      </c>
      <c r="H62" t="s">
        <v>72</v>
      </c>
      <c r="I62" t="s">
        <v>14</v>
      </c>
      <c r="J62" t="s">
        <v>12</v>
      </c>
      <c r="L62" s="50" t="s">
        <v>1176</v>
      </c>
      <c r="M62" s="132" t="str">
        <f t="shared" si="0"/>
        <v>prevPerEnd</v>
      </c>
      <c r="N62" s="133" t="s">
        <v>1280</v>
      </c>
      <c r="O62" s="140">
        <f t="shared" si="2"/>
        <v>13</v>
      </c>
      <c r="P62" s="143" t="str">
        <f t="shared" si="3"/>
        <v>Dec  3 2018</v>
      </c>
      <c r="Q62" s="144" t="str">
        <f t="shared" si="4"/>
        <v>12/ 3/2018</v>
      </c>
      <c r="R62" s="147">
        <f t="shared" si="5"/>
        <v>43436</v>
      </c>
      <c r="S62" s="127" t="s">
        <v>327</v>
      </c>
      <c r="T62" s="127" t="s">
        <v>328</v>
      </c>
      <c r="U62" s="127" t="s">
        <v>329</v>
      </c>
      <c r="V62" s="127" t="s">
        <v>330</v>
      </c>
      <c r="W62" s="127" t="s">
        <v>331</v>
      </c>
      <c r="X62" s="127" t="s">
        <v>332</v>
      </c>
      <c r="Y62" s="127" t="s">
        <v>333</v>
      </c>
      <c r="Z62" s="127" t="s">
        <v>334</v>
      </c>
      <c r="AA62" s="127" t="s">
        <v>335</v>
      </c>
      <c r="AB62" s="127" t="s">
        <v>336</v>
      </c>
      <c r="AC62" s="127" t="s">
        <v>337</v>
      </c>
      <c r="AD62" s="127" t="s">
        <v>338</v>
      </c>
      <c r="AE62" s="127" t="s">
        <v>339</v>
      </c>
    </row>
    <row r="63" spans="1:31" ht="15.75" x14ac:dyDescent="0.25">
      <c r="A63" s="1">
        <v>44294</v>
      </c>
      <c r="B63" s="3" t="s">
        <v>1142</v>
      </c>
      <c r="C63" s="57" t="s">
        <v>138</v>
      </c>
      <c r="F63" s="1">
        <v>44277</v>
      </c>
      <c r="G63" s="1">
        <v>44304</v>
      </c>
      <c r="H63" t="s">
        <v>74</v>
      </c>
      <c r="I63" t="s">
        <v>12</v>
      </c>
      <c r="J63" t="s">
        <v>17</v>
      </c>
      <c r="L63" s="50" t="s">
        <v>1177</v>
      </c>
      <c r="M63" s="132" t="str">
        <f t="shared" si="0"/>
        <v>prevPerEnd</v>
      </c>
      <c r="N63" s="133" t="s">
        <v>1280</v>
      </c>
      <c r="O63" s="140">
        <f t="shared" si="2"/>
        <v>4</v>
      </c>
      <c r="P63" s="143" t="str">
        <f t="shared" si="3"/>
        <v>Mar 22 2021</v>
      </c>
      <c r="Q63" s="144" t="str">
        <f t="shared" si="4"/>
        <v>3/22/2021</v>
      </c>
      <c r="R63" s="147">
        <f t="shared" si="5"/>
        <v>44276</v>
      </c>
      <c r="S63" s="127" t="s">
        <v>1218</v>
      </c>
      <c r="T63" s="127" t="s">
        <v>1219</v>
      </c>
      <c r="U63" s="127" t="s">
        <v>1220</v>
      </c>
      <c r="V63" s="127" t="s">
        <v>1221</v>
      </c>
      <c r="W63" s="127" t="s">
        <v>1222</v>
      </c>
      <c r="X63" s="127" t="s">
        <v>1223</v>
      </c>
      <c r="Y63" s="127" t="s">
        <v>1224</v>
      </c>
      <c r="Z63" s="127" t="s">
        <v>1225</v>
      </c>
      <c r="AA63" s="127" t="s">
        <v>1226</v>
      </c>
      <c r="AB63" s="127" t="s">
        <v>1227</v>
      </c>
      <c r="AC63" s="127" t="s">
        <v>1228</v>
      </c>
      <c r="AD63" s="127" t="s">
        <v>1229</v>
      </c>
      <c r="AE63" s="127" t="s">
        <v>1230</v>
      </c>
    </row>
    <row r="64" spans="1:31" ht="15.75" x14ac:dyDescent="0.25">
      <c r="A64" s="1">
        <v>45370</v>
      </c>
      <c r="B64" s="3" t="s">
        <v>1142</v>
      </c>
      <c r="C64" s="57" t="s">
        <v>138</v>
      </c>
      <c r="F64" s="1">
        <v>45348</v>
      </c>
      <c r="G64" s="1">
        <v>45375</v>
      </c>
      <c r="H64" t="s">
        <v>56</v>
      </c>
      <c r="I64" t="s">
        <v>54</v>
      </c>
      <c r="J64" t="s">
        <v>17</v>
      </c>
      <c r="L64" s="50" t="s">
        <v>1178</v>
      </c>
      <c r="M64" s="132" t="str">
        <f t="shared" si="0"/>
        <v>prevPerEnd</v>
      </c>
      <c r="N64" s="133" t="s">
        <v>1280</v>
      </c>
      <c r="O64" s="140">
        <f t="shared" si="2"/>
        <v>3</v>
      </c>
      <c r="P64" s="143" t="str">
        <f t="shared" si="3"/>
        <v>Feb 26 2024</v>
      </c>
      <c r="Q64" s="144" t="str">
        <f t="shared" si="4"/>
        <v>2/26/2024</v>
      </c>
      <c r="R64" s="147">
        <f t="shared" si="5"/>
        <v>45347</v>
      </c>
      <c r="S64" s="127" t="s">
        <v>392</v>
      </c>
      <c r="T64" s="127" t="s">
        <v>393</v>
      </c>
      <c r="U64" s="127" t="s">
        <v>394</v>
      </c>
      <c r="V64" s="127" t="s">
        <v>395</v>
      </c>
      <c r="W64" s="127" t="s">
        <v>396</v>
      </c>
      <c r="X64" s="127" t="s">
        <v>397</v>
      </c>
      <c r="Y64" s="127" t="s">
        <v>398</v>
      </c>
      <c r="Z64" s="127" t="s">
        <v>399</v>
      </c>
      <c r="AA64" s="127" t="s">
        <v>400</v>
      </c>
      <c r="AB64" s="127" t="s">
        <v>401</v>
      </c>
      <c r="AC64" s="127" t="s">
        <v>402</v>
      </c>
      <c r="AD64" s="127" t="s">
        <v>403</v>
      </c>
      <c r="AE64" s="127" t="s">
        <v>404</v>
      </c>
    </row>
    <row r="65" spans="1:31" ht="16.5" thickBot="1" x14ac:dyDescent="0.3">
      <c r="A65" s="1">
        <v>40292</v>
      </c>
      <c r="B65" s="3" t="s">
        <v>1142</v>
      </c>
      <c r="C65" s="57" t="s">
        <v>138</v>
      </c>
      <c r="F65" s="1">
        <v>40287</v>
      </c>
      <c r="G65" s="1">
        <v>40314</v>
      </c>
      <c r="H65" t="s">
        <v>90</v>
      </c>
      <c r="I65" t="s">
        <v>142</v>
      </c>
      <c r="J65" t="s">
        <v>143</v>
      </c>
      <c r="L65" s="50" t="s">
        <v>679</v>
      </c>
      <c r="M65" s="132" t="str">
        <f t="shared" si="0"/>
        <v>prevPerEnd</v>
      </c>
      <c r="N65" s="133" t="s">
        <v>1280</v>
      </c>
      <c r="O65" s="140">
        <f t="shared" si="2"/>
        <v>5</v>
      </c>
      <c r="P65" s="145" t="str">
        <f t="shared" si="3"/>
        <v>Apr 19 2010</v>
      </c>
      <c r="Q65" s="146" t="str">
        <f t="shared" si="4"/>
        <v>4/19/2010</v>
      </c>
      <c r="R65" s="147">
        <f t="shared" si="5"/>
        <v>40286</v>
      </c>
      <c r="S65" s="127" t="s">
        <v>509</v>
      </c>
      <c r="T65" s="127" t="s">
        <v>510</v>
      </c>
      <c r="U65" s="127" t="s">
        <v>511</v>
      </c>
      <c r="V65" s="127" t="s">
        <v>512</v>
      </c>
      <c r="W65" s="127" t="s">
        <v>513</v>
      </c>
      <c r="X65" s="127" t="s">
        <v>514</v>
      </c>
      <c r="Y65" s="127" t="s">
        <v>515</v>
      </c>
      <c r="Z65" s="127" t="s">
        <v>516</v>
      </c>
      <c r="AA65" s="127" t="s">
        <v>517</v>
      </c>
      <c r="AB65" s="127" t="s">
        <v>518</v>
      </c>
      <c r="AC65" s="127" t="s">
        <v>519</v>
      </c>
      <c r="AD65" s="127" t="s">
        <v>520</v>
      </c>
      <c r="AE65" s="127" t="s">
        <v>521</v>
      </c>
    </row>
    <row r="66" spans="1:31" ht="15.75" x14ac:dyDescent="0.25">
      <c r="F66" s="1"/>
      <c r="G66" s="1"/>
      <c r="M66" s="17"/>
      <c r="N66" s="19"/>
      <c r="O66" s="3"/>
    </row>
    <row r="67" spans="1:31" ht="15.75" x14ac:dyDescent="0.25">
      <c r="F67" s="1"/>
      <c r="G67" s="1"/>
      <c r="M67" s="17"/>
      <c r="N67" s="19"/>
      <c r="O67" s="3"/>
    </row>
    <row r="68" spans="1:31" ht="15.75" x14ac:dyDescent="0.25">
      <c r="F68" s="1"/>
      <c r="G68" s="1"/>
      <c r="M68" s="17"/>
      <c r="N68" s="19"/>
      <c r="O68" s="3"/>
    </row>
    <row r="69" spans="1:31" ht="15.75" x14ac:dyDescent="0.25">
      <c r="F69" s="1"/>
      <c r="G69" s="1"/>
      <c r="M69" s="17"/>
      <c r="N69" s="19"/>
      <c r="O69" s="3"/>
    </row>
    <row r="70" spans="1:31" ht="15.75" x14ac:dyDescent="0.25">
      <c r="F70" s="1"/>
      <c r="G70" s="1"/>
      <c r="M70" s="17"/>
      <c r="N70" s="19"/>
      <c r="O70" s="3"/>
    </row>
    <row r="71" spans="1:31" ht="15.75" x14ac:dyDescent="0.25">
      <c r="F71" s="1"/>
      <c r="G71" s="1"/>
      <c r="M71" s="17"/>
      <c r="N71" s="19"/>
      <c r="O71" s="3"/>
    </row>
    <row r="72" spans="1:31" ht="15.75" x14ac:dyDescent="0.25">
      <c r="F72" s="1"/>
      <c r="G72" s="1"/>
      <c r="M72" s="17"/>
      <c r="N72" s="19"/>
      <c r="O72" s="3"/>
    </row>
    <row r="73" spans="1:31" ht="15.75" x14ac:dyDescent="0.25">
      <c r="F73" s="1"/>
      <c r="G73" s="1"/>
      <c r="M73" s="17"/>
      <c r="N73" s="19"/>
      <c r="O73" s="3"/>
    </row>
    <row r="74" spans="1:31" ht="15.75" x14ac:dyDescent="0.25">
      <c r="F74" s="1"/>
      <c r="G74" s="1"/>
      <c r="M74" s="17"/>
      <c r="N74" s="19"/>
      <c r="O74" s="3"/>
    </row>
    <row r="75" spans="1:31" ht="15.75" x14ac:dyDescent="0.25">
      <c r="F75" s="1"/>
      <c r="G75" s="1"/>
      <c r="M75" s="17"/>
      <c r="N75" s="19"/>
      <c r="O75" s="3"/>
    </row>
    <row r="76" spans="1:31" ht="15.75" x14ac:dyDescent="0.25">
      <c r="F76" s="1"/>
      <c r="G76" s="1"/>
      <c r="M76" s="17"/>
      <c r="N76" s="19"/>
      <c r="O76" s="3"/>
    </row>
    <row r="77" spans="1:31" ht="15.75" x14ac:dyDescent="0.25">
      <c r="F77" s="1"/>
      <c r="G77" s="1"/>
      <c r="M77" s="17"/>
      <c r="N77" s="19"/>
      <c r="O77" s="3"/>
    </row>
    <row r="78" spans="1:31" ht="15.75" x14ac:dyDescent="0.25">
      <c r="F78" s="1"/>
      <c r="G78" s="1"/>
      <c r="M78" s="17"/>
      <c r="N78" s="19"/>
      <c r="O78" s="3"/>
    </row>
    <row r="79" spans="1:31" ht="15.75" x14ac:dyDescent="0.25">
      <c r="F79" s="1"/>
      <c r="G79" s="1"/>
      <c r="M79" s="17"/>
      <c r="N79" s="19"/>
      <c r="O79" s="3"/>
    </row>
    <row r="80" spans="1:31" ht="15.75" x14ac:dyDescent="0.25">
      <c r="F80" s="1"/>
      <c r="G80" s="1"/>
      <c r="M80" s="17"/>
      <c r="N80" s="19"/>
      <c r="O80" s="3"/>
    </row>
    <row r="81" spans="1:15" ht="15.75" x14ac:dyDescent="0.25">
      <c r="F81" s="1"/>
      <c r="G81" s="1"/>
      <c r="M81" s="17"/>
      <c r="N81" s="19"/>
      <c r="O81" s="3"/>
    </row>
    <row r="82" spans="1:15" ht="15.75" x14ac:dyDescent="0.25">
      <c r="A82" s="1"/>
      <c r="B82" s="3"/>
      <c r="C82" s="57"/>
      <c r="F82" s="1"/>
      <c r="G82" s="1"/>
      <c r="M82" s="17"/>
      <c r="N82" s="19"/>
      <c r="O82" s="3"/>
    </row>
    <row r="83" spans="1:15" ht="15.75" x14ac:dyDescent="0.25">
      <c r="A83" s="1"/>
      <c r="B83" s="3"/>
      <c r="C83" s="57"/>
      <c r="F83" s="1"/>
      <c r="G83" s="1"/>
      <c r="M83" s="17"/>
      <c r="N83" s="19"/>
      <c r="O83" s="3"/>
    </row>
    <row r="84" spans="1:15" ht="15.75" x14ac:dyDescent="0.25">
      <c r="A84" s="1"/>
      <c r="B84" s="3"/>
      <c r="C84" s="57"/>
      <c r="F84" s="1"/>
      <c r="G84" s="1"/>
      <c r="M84" s="17"/>
      <c r="N84" s="19"/>
      <c r="O84" s="3"/>
    </row>
    <row r="85" spans="1:15" ht="15.75" x14ac:dyDescent="0.25">
      <c r="A85" s="1"/>
      <c r="B85" s="3"/>
      <c r="C85" s="57"/>
      <c r="F85" s="1"/>
      <c r="G85" s="1"/>
      <c r="M85" s="17"/>
      <c r="N85" s="19"/>
      <c r="O85" s="3"/>
    </row>
    <row r="86" spans="1:15" ht="15.75" x14ac:dyDescent="0.25">
      <c r="A86" s="1"/>
      <c r="B86" s="3"/>
      <c r="C86" s="57"/>
      <c r="F86" s="1"/>
      <c r="G86" s="1"/>
      <c r="M86" s="17"/>
      <c r="N86" s="19"/>
      <c r="O86" s="3"/>
    </row>
    <row r="87" spans="1:15" ht="15.75" x14ac:dyDescent="0.25">
      <c r="A87" s="1"/>
      <c r="B87" s="3"/>
      <c r="C87" s="57"/>
      <c r="F87" s="1"/>
      <c r="G87" s="1"/>
      <c r="M87" s="17"/>
      <c r="N87" s="19"/>
      <c r="O87" s="3"/>
    </row>
    <row r="88" spans="1:15" ht="15.75" x14ac:dyDescent="0.25">
      <c r="A88" s="1"/>
      <c r="B88" s="3"/>
      <c r="C88" s="57"/>
      <c r="F88" s="1"/>
      <c r="G88" s="1"/>
      <c r="M88" s="17"/>
      <c r="N88" s="19"/>
      <c r="O88" s="3"/>
    </row>
    <row r="89" spans="1:15" ht="15.75" x14ac:dyDescent="0.25">
      <c r="A89" s="1"/>
      <c r="B89" s="3"/>
      <c r="C89" s="57"/>
      <c r="F89" s="1"/>
      <c r="G89" s="1"/>
      <c r="M89" s="17"/>
      <c r="N89" s="19"/>
      <c r="O89" s="3"/>
    </row>
    <row r="90" spans="1:15" ht="15.75" x14ac:dyDescent="0.25">
      <c r="A90" s="1"/>
      <c r="B90" s="3"/>
      <c r="C90" s="57"/>
      <c r="F90" s="1"/>
      <c r="G90" s="1"/>
      <c r="M90" s="17"/>
      <c r="N90" s="19"/>
      <c r="O90" s="3"/>
    </row>
    <row r="91" spans="1:15" ht="15.75" x14ac:dyDescent="0.25">
      <c r="A91" s="1"/>
      <c r="B91" s="3"/>
      <c r="C91" s="57"/>
      <c r="F91" s="1"/>
      <c r="G91" s="1"/>
      <c r="M91" s="17"/>
      <c r="N91" s="19"/>
      <c r="O91" s="3"/>
    </row>
    <row r="92" spans="1:15" ht="15.75" x14ac:dyDescent="0.25">
      <c r="A92" s="1"/>
      <c r="B92" s="3"/>
      <c r="C92" s="57"/>
      <c r="F92" s="1"/>
      <c r="G92" s="1"/>
      <c r="M92" s="17"/>
      <c r="N92" s="19"/>
      <c r="O92" s="3"/>
    </row>
    <row r="93" spans="1:15" ht="15.75" x14ac:dyDescent="0.25">
      <c r="A93" s="1"/>
      <c r="B93" s="3"/>
      <c r="C93" s="57"/>
      <c r="F93" s="1"/>
      <c r="G93" s="1"/>
      <c r="M93" s="17"/>
      <c r="N93" s="19"/>
      <c r="O93" s="3"/>
    </row>
    <row r="94" spans="1:15" ht="15.75" x14ac:dyDescent="0.25">
      <c r="A94" s="1"/>
      <c r="B94" s="3"/>
      <c r="F94" s="1"/>
      <c r="G94" s="1"/>
      <c r="M94" s="17"/>
      <c r="N94" s="19"/>
      <c r="O94" s="3"/>
    </row>
    <row r="95" spans="1:15" ht="15.75" x14ac:dyDescent="0.25">
      <c r="A95" s="1"/>
      <c r="B95" s="3"/>
      <c r="F95" s="1"/>
      <c r="G95" s="1"/>
      <c r="M95" s="17"/>
      <c r="N95" s="19"/>
      <c r="O95" s="3"/>
    </row>
    <row r="96" spans="1:15" x14ac:dyDescent="0.25">
      <c r="A96" s="1"/>
      <c r="B96" s="3"/>
      <c r="F96" s="1"/>
      <c r="G96" s="1"/>
      <c r="M96" s="1"/>
    </row>
    <row r="97" spans="1:13" x14ac:dyDescent="0.25">
      <c r="A97" s="1"/>
      <c r="B97" s="3"/>
      <c r="F97" s="1"/>
      <c r="G97" s="1"/>
      <c r="M97" s="1"/>
    </row>
    <row r="98" spans="1:13" x14ac:dyDescent="0.25">
      <c r="A98" s="1"/>
      <c r="B98" s="3"/>
      <c r="F98" s="1"/>
      <c r="G98" s="1"/>
      <c r="M98" s="1"/>
    </row>
    <row r="99" spans="1:13" x14ac:dyDescent="0.25">
      <c r="A99" s="1"/>
      <c r="B99" s="3"/>
      <c r="F99" s="1"/>
      <c r="G99" s="1"/>
      <c r="M99" s="1"/>
    </row>
    <row r="100" spans="1:13" x14ac:dyDescent="0.25">
      <c r="A100" s="1"/>
      <c r="B100" s="3"/>
      <c r="F100" s="1"/>
      <c r="G100" s="1"/>
      <c r="M100" s="1"/>
    </row>
    <row r="101" spans="1:13" x14ac:dyDescent="0.25">
      <c r="A101" s="1"/>
      <c r="B101" s="3"/>
      <c r="F101" s="1"/>
      <c r="G101" s="1"/>
      <c r="M101" s="1"/>
    </row>
    <row r="102" spans="1:13" x14ac:dyDescent="0.25">
      <c r="A102" s="1"/>
      <c r="B102" s="3"/>
      <c r="F102" s="1"/>
      <c r="G102" s="1"/>
      <c r="M102" s="1"/>
    </row>
    <row r="103" spans="1:13" x14ac:dyDescent="0.25">
      <c r="A103" s="1"/>
      <c r="B103" s="3"/>
      <c r="F103" s="1"/>
      <c r="G103" s="1"/>
      <c r="M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1"/>
      <c r="F111" s="1"/>
      <c r="G111" s="1"/>
    </row>
    <row r="112" spans="1:13" x14ac:dyDescent="0.25">
      <c r="A112" s="1"/>
      <c r="B112" s="1"/>
      <c r="F112" s="1"/>
      <c r="G112" s="1"/>
    </row>
    <row r="113" spans="1:7" x14ac:dyDescent="0.25">
      <c r="A113" s="1"/>
      <c r="B113" s="1"/>
      <c r="F113" s="1"/>
      <c r="G113" s="1"/>
    </row>
    <row r="114" spans="1:7" x14ac:dyDescent="0.25">
      <c r="A114" s="1"/>
      <c r="B114" s="1"/>
      <c r="F114" s="1"/>
      <c r="G114" s="1"/>
    </row>
    <row r="115" spans="1:7" x14ac:dyDescent="0.25">
      <c r="A115" s="1"/>
      <c r="B115" s="1"/>
      <c r="F115" s="1"/>
      <c r="G115" s="1"/>
    </row>
    <row r="116" spans="1:7" x14ac:dyDescent="0.25">
      <c r="A116" s="1"/>
      <c r="B116" s="1"/>
      <c r="F116" s="1"/>
      <c r="G116" s="1"/>
    </row>
    <row r="117" spans="1:7" x14ac:dyDescent="0.25">
      <c r="A117" s="1"/>
      <c r="B117" s="1"/>
      <c r="F117" s="1"/>
      <c r="G117" s="1"/>
    </row>
    <row r="118" spans="1:7" x14ac:dyDescent="0.25">
      <c r="A118" s="1"/>
      <c r="B118" s="1"/>
      <c r="F118" s="1"/>
      <c r="G118" s="1"/>
    </row>
    <row r="119" spans="1:7" x14ac:dyDescent="0.25">
      <c r="A119" s="1"/>
      <c r="B119" s="1"/>
      <c r="F119" s="1"/>
      <c r="G119" s="1"/>
    </row>
    <row r="120" spans="1:7" x14ac:dyDescent="0.25">
      <c r="A120" s="1"/>
      <c r="B120" s="1"/>
      <c r="F120" s="1"/>
      <c r="G120" s="1"/>
    </row>
    <row r="121" spans="1:7" x14ac:dyDescent="0.25">
      <c r="A121" s="1"/>
      <c r="B121" s="1"/>
      <c r="F121" s="1"/>
      <c r="G121" s="1"/>
    </row>
    <row r="122" spans="1:7" x14ac:dyDescent="0.25">
      <c r="A122" s="1"/>
      <c r="B122" s="1"/>
      <c r="F122" s="1"/>
      <c r="G122" s="1"/>
    </row>
    <row r="123" spans="1:7" x14ac:dyDescent="0.25">
      <c r="A123" s="1"/>
      <c r="B123" s="1"/>
      <c r="F123" s="1"/>
      <c r="G123" s="1"/>
    </row>
    <row r="124" spans="1:7" x14ac:dyDescent="0.25">
      <c r="A124" s="1"/>
      <c r="B124" s="1"/>
      <c r="F124" s="1"/>
      <c r="G124" s="1"/>
    </row>
    <row r="125" spans="1:7" x14ac:dyDescent="0.25">
      <c r="A125" s="1"/>
      <c r="B125" s="1"/>
      <c r="F125" s="1"/>
      <c r="G125" s="1"/>
    </row>
    <row r="126" spans="1:7" x14ac:dyDescent="0.25">
      <c r="A126" s="1"/>
      <c r="B126" s="1"/>
      <c r="F126" s="1"/>
      <c r="G126" s="1"/>
    </row>
    <row r="127" spans="1:7" x14ac:dyDescent="0.25">
      <c r="A127" s="1"/>
      <c r="B127" s="1"/>
      <c r="F127" s="1"/>
      <c r="G127" s="1"/>
    </row>
    <row r="128" spans="1:7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6:7" x14ac:dyDescent="0.25">
      <c r="F401" s="1"/>
      <c r="G401" s="1"/>
    </row>
    <row r="402" spans="6:7" x14ac:dyDescent="0.25">
      <c r="F402" s="1"/>
      <c r="G402" s="1"/>
    </row>
    <row r="403" spans="6:7" x14ac:dyDescent="0.25">
      <c r="F403" s="1"/>
      <c r="G403" s="1"/>
    </row>
    <row r="404" spans="6:7" x14ac:dyDescent="0.25">
      <c r="F404" s="1"/>
      <c r="G404" s="1"/>
    </row>
    <row r="405" spans="6:7" x14ac:dyDescent="0.25">
      <c r="F405" s="1"/>
      <c r="G405" s="1"/>
    </row>
    <row r="406" spans="6:7" x14ac:dyDescent="0.25">
      <c r="G406" s="1"/>
    </row>
    <row r="407" spans="6:7" x14ac:dyDescent="0.25">
      <c r="G407" s="1"/>
    </row>
    <row r="408" spans="6:7" x14ac:dyDescent="0.25">
      <c r="G408" s="1"/>
    </row>
  </sheetData>
  <mergeCells count="3">
    <mergeCell ref="A5:D5"/>
    <mergeCell ref="F5:J5"/>
    <mergeCell ref="L5:P5"/>
  </mergeCells>
  <conditionalFormatting sqref="N8:N95">
    <cfRule type="cellIs" dxfId="3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5777" r:id="rId4" name="ExecuteQueries">
          <controlPr defaultSize="0" autoLine="0" r:id="rId5">
            <anchor moveWithCells="1">
              <from>
                <xdr:col>0</xdr:col>
                <xdr:colOff>314325</xdr:colOff>
                <xdr:row>0</xdr:row>
                <xdr:rowOff>409575</xdr:rowOff>
              </from>
              <to>
                <xdr:col>1</xdr:col>
                <xdr:colOff>1352550</xdr:colOff>
                <xdr:row>2</xdr:row>
                <xdr:rowOff>38100</xdr:rowOff>
              </to>
            </anchor>
          </controlPr>
        </control>
      </mc:Choice>
      <mc:Fallback>
        <control shapeId="75777" r:id="rId4" name="ExecuteQueries"/>
      </mc:Fallback>
    </mc:AlternateContent>
    <mc:AlternateContent xmlns:mc="http://schemas.openxmlformats.org/markup-compatibility/2006">
      <mc:Choice Requires="x14">
        <control shapeId="75778" r:id="rId6" name="ClearBtn">
          <controlPr defaultSize="0" autoLine="0" r:id="rId7">
            <anchor moveWithCells="1">
              <from>
                <xdr:col>2</xdr:col>
                <xdr:colOff>257175</xdr:colOff>
                <xdr:row>0</xdr:row>
                <xdr:rowOff>381000</xdr:rowOff>
              </from>
              <to>
                <xdr:col>5</xdr:col>
                <xdr:colOff>28575</xdr:colOff>
                <xdr:row>2</xdr:row>
                <xdr:rowOff>9525</xdr:rowOff>
              </to>
            </anchor>
          </controlPr>
        </control>
      </mc:Choice>
      <mc:Fallback>
        <control shapeId="75778" r:id="rId6" name="ClearBtn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rgb="FF92D050"/>
  </sheetPr>
  <dimension ref="A1:AF412"/>
  <sheetViews>
    <sheetView workbookViewId="0">
      <selection activeCell="L11" sqref="L11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4" max="14" width="12.42578125" customWidth="1"/>
    <col min="15" max="15" width="18.140625" customWidth="1"/>
    <col min="16" max="16" width="12.5703125" customWidth="1"/>
    <col min="17" max="17" width="14.5703125" customWidth="1"/>
    <col min="18" max="18" width="25.42578125" customWidth="1"/>
    <col min="19" max="19" width="11.140625" bestFit="1" customWidth="1"/>
    <col min="20" max="20" width="12.7109375" customWidth="1"/>
    <col min="21" max="21" width="11.140625" bestFit="1" customWidth="1"/>
    <col min="22" max="22" width="11.28515625" bestFit="1" customWidth="1"/>
    <col min="23" max="23" width="11" bestFit="1" customWidth="1"/>
    <col min="24" max="24" width="11.5703125" bestFit="1" customWidth="1"/>
    <col min="25" max="25" width="10.85546875" bestFit="1" customWidth="1"/>
    <col min="26" max="26" width="10.28515625" bestFit="1" customWidth="1"/>
    <col min="27" max="27" width="11.28515625" bestFit="1" customWidth="1"/>
    <col min="28" max="28" width="11.140625" bestFit="1" customWidth="1"/>
    <col min="29" max="29" width="10.28515625" bestFit="1" customWidth="1"/>
    <col min="30" max="30" width="10.85546875" bestFit="1" customWidth="1"/>
    <col min="31" max="31" width="11.42578125" bestFit="1" customWidth="1"/>
  </cols>
  <sheetData>
    <row r="1" spans="1:32" ht="51" customHeight="1" x14ac:dyDescent="0.25">
      <c r="E1"/>
      <c r="K1"/>
    </row>
    <row r="2" spans="1:32" x14ac:dyDescent="0.25">
      <c r="B2" t="s">
        <v>1278</v>
      </c>
      <c r="E2"/>
      <c r="H2" t="s">
        <v>20</v>
      </c>
      <c r="I2" s="5">
        <v>58</v>
      </c>
      <c r="K2"/>
    </row>
    <row r="3" spans="1:32" x14ac:dyDescent="0.25">
      <c r="B3" t="s">
        <v>1279</v>
      </c>
      <c r="E3"/>
      <c r="K3"/>
    </row>
    <row r="4" spans="1:32" s="2" customFormat="1" ht="15.75" thickBot="1" x14ac:dyDescent="0.3"/>
    <row r="5" spans="1:32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32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1234</v>
      </c>
      <c r="P6" s="130" t="s">
        <v>1231</v>
      </c>
      <c r="Q6" s="135" t="s">
        <v>1233</v>
      </c>
      <c r="R6" s="135" t="s">
        <v>1232</v>
      </c>
      <c r="S6" s="136" t="s">
        <v>584</v>
      </c>
      <c r="T6" s="136" t="s">
        <v>575</v>
      </c>
      <c r="U6" s="136" t="s">
        <v>576</v>
      </c>
      <c r="V6" s="136" t="s">
        <v>577</v>
      </c>
      <c r="W6" s="136" t="s">
        <v>585</v>
      </c>
      <c r="X6" s="136" t="s">
        <v>578</v>
      </c>
      <c r="Y6" s="136" t="s">
        <v>579</v>
      </c>
      <c r="Z6" s="136" t="s">
        <v>587</v>
      </c>
      <c r="AA6" s="136" t="s">
        <v>580</v>
      </c>
      <c r="AB6" s="136" t="s">
        <v>581</v>
      </c>
      <c r="AC6" s="136" t="s">
        <v>586</v>
      </c>
      <c r="AD6" s="136" t="s">
        <v>582</v>
      </c>
      <c r="AE6" s="136" t="s">
        <v>583</v>
      </c>
      <c r="AF6" s="137" t="s">
        <v>725</v>
      </c>
    </row>
    <row r="7" spans="1:32" s="2" customFormat="1" ht="15.75" thickBot="1" x14ac:dyDescent="0.3">
      <c r="F7" s="6"/>
      <c r="G7" s="6"/>
      <c r="M7" s="15"/>
      <c r="N7" s="16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</row>
    <row r="8" spans="1:32" ht="16.5" thickBot="1" x14ac:dyDescent="0.3">
      <c r="A8" s="55">
        <v>37953</v>
      </c>
      <c r="B8" s="56" t="s">
        <v>1235</v>
      </c>
      <c r="C8" s="56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79</v>
      </c>
      <c r="M8" s="17" t="str">
        <f>B8</f>
        <v>nextPerStart</v>
      </c>
      <c r="N8" s="133" t="str">
        <f>IF((MID(L8,1,11))=(R8), "P",(IF(MID(R8,1,4)="Next", "No Data", IF(MID(Q8,1,4)="Next", "No Data", "Failed Calc"))))</f>
        <v>P</v>
      </c>
      <c r="O8" s="140">
        <f>IF(VALUE(I8)=13,"1 next year",(IF((M8)="NextPerStart",VALUE(I8)+1,IF((M8)="NextPerEnd",VALUE(I8)+2))))</f>
        <v>13</v>
      </c>
      <c r="P8" s="141" t="str">
        <f>IF(VALUE(O8) = 1, "Next Year", IF(VALUE(O8) = 2, T8,IF(VALUE(O8) = 3, U8,IF(VALUE(O8) = 4, V8, IF(VALUE(O8) = 5, W8,IF(VALUE(O8) = 6, X8,IF(VALUE(O8) = 7, Y8,IF(VALUE(O8) = 8, Z8,IF(VALUE(O8) = 9, AA8,IF(VALUE(O8) = 10, AB8,IF(VALUE(O8) = 11, AC8,IF(VALUE(O8) = 12, AD8,IF(VALUE(O8) = 13, AE8, "FAIL")))))))))))))</f>
        <v>Dec  1 2003</v>
      </c>
      <c r="Q8" s="144" t="str">
        <f t="shared" ref="Q8:Q65" si="0">IF(MID(P8,1,3)="Jan",1, IF(MID(P8,1,3)="Feb",2, IF(MID(P8,1,3)="Mar",3, IF(MID(P8,1,3)="Apr",4,IF(MID(P8,1,3)="May",5, IF(MID(P8,1,3)="Jun",6,IF(MID(P8,1,3)="Jul",7, IF(MID(P8,1,3)="Aug",8,IF(MID(P8,1,3)="Sep",9,IF(MID(P8,1,3)="Oct",10,IF(MID(P8,1,3)="Nov",11,IF(MID(P8,1,3)="Dec",12, "Next Year" ) ) ) )) ) ))) )))&amp;"/" &amp; MID(P8,5,2)&amp;"/"&amp;MID(P8,8,4)</f>
        <v>12/ 1/2003</v>
      </c>
      <c r="R8" s="147" t="str">
        <f>IF(M8="nextPerStart", P8, (IF(M8="nextPerEnd",VALUE(Q8) - 1, "Failed Calc")))</f>
        <v>Dec  1 2003</v>
      </c>
      <c r="S8" s="109" t="s">
        <v>353</v>
      </c>
      <c r="T8" s="109" t="s">
        <v>354</v>
      </c>
      <c r="U8" s="109" t="s">
        <v>355</v>
      </c>
      <c r="V8" s="109" t="s">
        <v>356</v>
      </c>
      <c r="W8" s="109" t="s">
        <v>357</v>
      </c>
      <c r="X8" s="109" t="s">
        <v>358</v>
      </c>
      <c r="Y8" s="109" t="s">
        <v>359</v>
      </c>
      <c r="Z8" s="109" t="s">
        <v>360</v>
      </c>
      <c r="AA8" s="109" t="s">
        <v>361</v>
      </c>
      <c r="AB8" s="109" t="s">
        <v>362</v>
      </c>
      <c r="AC8" s="109" t="s">
        <v>363</v>
      </c>
      <c r="AD8" s="109" t="s">
        <v>364</v>
      </c>
      <c r="AE8" s="109" t="s">
        <v>365</v>
      </c>
      <c r="AF8" s="127"/>
    </row>
    <row r="9" spans="1:32" ht="16.5" thickBot="1" x14ac:dyDescent="0.3">
      <c r="A9" s="55">
        <v>37954</v>
      </c>
      <c r="B9" s="56" t="s">
        <v>1235</v>
      </c>
      <c r="C9" s="56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79</v>
      </c>
      <c r="M9" s="17" t="str">
        <f t="shared" ref="M9:M65" si="1">B9</f>
        <v>nextPerStart</v>
      </c>
      <c r="N9" s="133" t="str">
        <f t="shared" ref="N9:N57" si="2">IF((MID(L9,1,11))=(R9), "P",(IF(MID(R9,1,4)="Next", "No Data", IF(MID(R9,1,4)="Next", "No Data", "Failed Calc"))))</f>
        <v>P</v>
      </c>
      <c r="O9" s="140">
        <f t="shared" ref="O9:O65" si="3">IF(VALUE(I9)=13,1,(IF((M9)="NextPerStart",VALUE(I9)+1,IF((M9)="NextPerEnd",VALUE(I9)+2))))</f>
        <v>13</v>
      </c>
      <c r="P9" s="141" t="str">
        <f t="shared" ref="P9:P65" si="4">IF(VALUE(O9) = 1, "Next Year", IF(VALUE(O9) = 2, T9,IF(VALUE(O9) = 3, U9,IF(VALUE(O9) = 4, V9, IF(VALUE(O9) = 5, W9,IF(VALUE(O9) = 6, X9,IF(VALUE(O9) = 7, Y9,IF(VALUE(O9) = 8, Z9,IF(VALUE(O9) = 9, AA9,IF(VALUE(O9) = 10, AB9,IF(VALUE(O9) = 11, AC9,IF(VALUE(O9) = 12, AD9,IF(VALUE(O9) = 13, AE9, "FAIL")))))))))))))</f>
        <v>Dec  1 2003</v>
      </c>
      <c r="Q9" s="144" t="str">
        <f t="shared" si="0"/>
        <v>12/ 1/2003</v>
      </c>
      <c r="R9" s="147" t="str">
        <f t="shared" ref="R9:R65" si="5">IF(M9="nextPerStart", P9, (IF(M9="nextPerEnd",VALUE(Q9) - 1, "Failed Calc")))</f>
        <v>Dec  1 2003</v>
      </c>
      <c r="S9" s="109" t="s">
        <v>353</v>
      </c>
      <c r="T9" s="109" t="s">
        <v>354</v>
      </c>
      <c r="U9" s="109" t="s">
        <v>355</v>
      </c>
      <c r="V9" s="109" t="s">
        <v>356</v>
      </c>
      <c r="W9" s="109" t="s">
        <v>357</v>
      </c>
      <c r="X9" s="109" t="s">
        <v>358</v>
      </c>
      <c r="Y9" s="109" t="s">
        <v>359</v>
      </c>
      <c r="Z9" s="109" t="s">
        <v>360</v>
      </c>
      <c r="AA9" s="109" t="s">
        <v>361</v>
      </c>
      <c r="AB9" s="109" t="s">
        <v>362</v>
      </c>
      <c r="AC9" s="109" t="s">
        <v>363</v>
      </c>
      <c r="AD9" s="109" t="s">
        <v>364</v>
      </c>
      <c r="AE9" s="109" t="s">
        <v>365</v>
      </c>
      <c r="AF9" s="127"/>
    </row>
    <row r="10" spans="1:32" ht="16.5" thickBot="1" x14ac:dyDescent="0.3">
      <c r="A10" s="55">
        <v>37955</v>
      </c>
      <c r="B10" s="56" t="s">
        <v>1235</v>
      </c>
      <c r="C10" s="56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79</v>
      </c>
      <c r="M10" s="17" t="str">
        <f t="shared" si="1"/>
        <v>nextPerStart</v>
      </c>
      <c r="N10" s="133" t="str">
        <f t="shared" si="2"/>
        <v>P</v>
      </c>
      <c r="O10" s="140">
        <f t="shared" si="3"/>
        <v>13</v>
      </c>
      <c r="P10" s="141" t="str">
        <f t="shared" si="4"/>
        <v>Dec  1 2003</v>
      </c>
      <c r="Q10" s="144" t="str">
        <f t="shared" si="0"/>
        <v>12/ 1/2003</v>
      </c>
      <c r="R10" s="147" t="str">
        <f t="shared" si="5"/>
        <v>Dec  1 2003</v>
      </c>
      <c r="S10" s="109" t="s">
        <v>353</v>
      </c>
      <c r="T10" s="109" t="s">
        <v>354</v>
      </c>
      <c r="U10" s="109" t="s">
        <v>355</v>
      </c>
      <c r="V10" s="109" t="s">
        <v>356</v>
      </c>
      <c r="W10" s="109" t="s">
        <v>357</v>
      </c>
      <c r="X10" s="109" t="s">
        <v>358</v>
      </c>
      <c r="Y10" s="109" t="s">
        <v>359</v>
      </c>
      <c r="Z10" s="109" t="s">
        <v>360</v>
      </c>
      <c r="AA10" s="109" t="s">
        <v>361</v>
      </c>
      <c r="AB10" s="109" t="s">
        <v>362</v>
      </c>
      <c r="AC10" s="109" t="s">
        <v>363</v>
      </c>
      <c r="AD10" s="109" t="s">
        <v>364</v>
      </c>
      <c r="AE10" s="109" t="s">
        <v>365</v>
      </c>
      <c r="AF10" s="127"/>
    </row>
    <row r="11" spans="1:32" ht="16.5" thickBot="1" x14ac:dyDescent="0.3">
      <c r="A11" s="55">
        <v>37956</v>
      </c>
      <c r="B11" s="56" t="s">
        <v>1235</v>
      </c>
      <c r="C11" s="56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207</v>
      </c>
      <c r="M11" s="17" t="str">
        <f t="shared" si="1"/>
        <v>nextPerStart</v>
      </c>
      <c r="N11" s="133" t="s">
        <v>1280</v>
      </c>
      <c r="O11" s="140">
        <f t="shared" si="3"/>
        <v>1</v>
      </c>
      <c r="P11" s="141" t="str">
        <f t="shared" si="4"/>
        <v>Next Year</v>
      </c>
      <c r="Q11" s="144" t="str">
        <f t="shared" si="0"/>
        <v>Next Year/ Y/ar</v>
      </c>
      <c r="R11" s="147" t="str">
        <f t="shared" si="5"/>
        <v>Next Year</v>
      </c>
      <c r="S11" s="109" t="s">
        <v>353</v>
      </c>
      <c r="T11" s="109" t="s">
        <v>354</v>
      </c>
      <c r="U11" s="109" t="s">
        <v>355</v>
      </c>
      <c r="V11" s="109" t="s">
        <v>356</v>
      </c>
      <c r="W11" s="109" t="s">
        <v>357</v>
      </c>
      <c r="X11" s="109" t="s">
        <v>358</v>
      </c>
      <c r="Y11" s="109" t="s">
        <v>359</v>
      </c>
      <c r="Z11" s="109" t="s">
        <v>360</v>
      </c>
      <c r="AA11" s="109" t="s">
        <v>361</v>
      </c>
      <c r="AB11" s="109" t="s">
        <v>362</v>
      </c>
      <c r="AC11" s="109" t="s">
        <v>363</v>
      </c>
      <c r="AD11" s="109" t="s">
        <v>364</v>
      </c>
      <c r="AE11" s="109" t="s">
        <v>365</v>
      </c>
      <c r="AF11" s="127"/>
    </row>
    <row r="12" spans="1:32" ht="16.5" thickBot="1" x14ac:dyDescent="0.3">
      <c r="A12" s="55">
        <v>38320</v>
      </c>
      <c r="B12" s="56" t="s">
        <v>1235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1238</v>
      </c>
      <c r="M12" s="17" t="str">
        <f t="shared" si="1"/>
        <v>nextPerStart</v>
      </c>
      <c r="N12" s="133" t="s">
        <v>1280</v>
      </c>
      <c r="O12" s="140">
        <f t="shared" si="3"/>
        <v>1</v>
      </c>
      <c r="P12" s="141" t="str">
        <f t="shared" si="4"/>
        <v>Next Year</v>
      </c>
      <c r="Q12" s="144" t="str">
        <f t="shared" si="0"/>
        <v>Next Year/ Y/ar</v>
      </c>
      <c r="R12" s="147" t="str">
        <f t="shared" si="5"/>
        <v>Next Year</v>
      </c>
      <c r="S12" s="109" t="s">
        <v>548</v>
      </c>
      <c r="T12" s="109" t="s">
        <v>549</v>
      </c>
      <c r="U12" s="109" t="s">
        <v>550</v>
      </c>
      <c r="V12" s="109" t="s">
        <v>551</v>
      </c>
      <c r="W12" s="109" t="s">
        <v>552</v>
      </c>
      <c r="X12" s="109" t="s">
        <v>553</v>
      </c>
      <c r="Y12" s="109" t="s">
        <v>554</v>
      </c>
      <c r="Z12" s="109" t="s">
        <v>555</v>
      </c>
      <c r="AA12" s="109" t="s">
        <v>556</v>
      </c>
      <c r="AB12" s="109" t="s">
        <v>557</v>
      </c>
      <c r="AC12" s="109" t="s">
        <v>558</v>
      </c>
      <c r="AD12" s="109" t="s">
        <v>559</v>
      </c>
      <c r="AE12" s="109" t="s">
        <v>560</v>
      </c>
      <c r="AF12" s="127"/>
    </row>
    <row r="13" spans="1:32" ht="16.5" thickBot="1" x14ac:dyDescent="0.3">
      <c r="A13" s="55">
        <v>38684</v>
      </c>
      <c r="B13" s="56" t="s">
        <v>1235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1239</v>
      </c>
      <c r="M13" s="17" t="str">
        <f t="shared" si="1"/>
        <v>nextPerStart</v>
      </c>
      <c r="N13" s="133" t="s">
        <v>1280</v>
      </c>
      <c r="O13" s="140">
        <f t="shared" si="3"/>
        <v>1</v>
      </c>
      <c r="P13" s="141" t="str">
        <f t="shared" si="4"/>
        <v>Next Year</v>
      </c>
      <c r="Q13" s="144" t="str">
        <f t="shared" si="0"/>
        <v>Next Year/ Y/ar</v>
      </c>
      <c r="R13" s="147" t="str">
        <f t="shared" si="5"/>
        <v>Next Year</v>
      </c>
      <c r="S13" s="109" t="s">
        <v>366</v>
      </c>
      <c r="T13" s="109" t="s">
        <v>367</v>
      </c>
      <c r="U13" s="109" t="s">
        <v>368</v>
      </c>
      <c r="V13" s="109" t="s">
        <v>369</v>
      </c>
      <c r="W13" s="109" t="s">
        <v>370</v>
      </c>
      <c r="X13" s="109" t="s">
        <v>371</v>
      </c>
      <c r="Y13" s="109" t="s">
        <v>372</v>
      </c>
      <c r="Z13" s="109" t="s">
        <v>373</v>
      </c>
      <c r="AA13" s="109" t="s">
        <v>374</v>
      </c>
      <c r="AB13" s="109" t="s">
        <v>375</v>
      </c>
      <c r="AC13" s="109" t="s">
        <v>376</v>
      </c>
      <c r="AD13" s="109" t="s">
        <v>377</v>
      </c>
      <c r="AE13" s="109" t="s">
        <v>378</v>
      </c>
      <c r="AF13" s="127"/>
    </row>
    <row r="14" spans="1:32" ht="16.5" thickBot="1" x14ac:dyDescent="0.3">
      <c r="A14" s="55">
        <v>46356</v>
      </c>
      <c r="B14" s="56" t="s">
        <v>1235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1240</v>
      </c>
      <c r="M14" s="17" t="str">
        <f t="shared" si="1"/>
        <v>nextPerStart</v>
      </c>
      <c r="N14" s="133" t="s">
        <v>1280</v>
      </c>
      <c r="O14" s="140">
        <f t="shared" si="3"/>
        <v>1</v>
      </c>
      <c r="P14" s="141" t="str">
        <f t="shared" si="4"/>
        <v>Next Year</v>
      </c>
      <c r="Q14" s="144" t="str">
        <f t="shared" si="0"/>
        <v>Next Year/ Y/ar</v>
      </c>
      <c r="R14" s="147" t="str">
        <f t="shared" si="5"/>
        <v>Next Year</v>
      </c>
      <c r="S14" s="109" t="s">
        <v>535</v>
      </c>
      <c r="T14" s="109" t="s">
        <v>536</v>
      </c>
      <c r="U14" s="109" t="s">
        <v>537</v>
      </c>
      <c r="V14" s="109" t="s">
        <v>538</v>
      </c>
      <c r="W14" s="109" t="s">
        <v>539</v>
      </c>
      <c r="X14" s="109" t="s">
        <v>540</v>
      </c>
      <c r="Y14" s="109" t="s">
        <v>541</v>
      </c>
      <c r="Z14" s="109" t="s">
        <v>542</v>
      </c>
      <c r="AA14" s="109" t="s">
        <v>543</v>
      </c>
      <c r="AB14" s="109" t="s">
        <v>544</v>
      </c>
      <c r="AC14" s="109" t="s">
        <v>545</v>
      </c>
      <c r="AD14" s="109" t="s">
        <v>546</v>
      </c>
      <c r="AE14" s="109" t="s">
        <v>547</v>
      </c>
      <c r="AF14" s="127"/>
    </row>
    <row r="15" spans="1:32" ht="16.5" thickBot="1" x14ac:dyDescent="0.3">
      <c r="A15" s="55">
        <v>46720</v>
      </c>
      <c r="B15" s="56" t="s">
        <v>1235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211</v>
      </c>
      <c r="M15" s="17" t="str">
        <f t="shared" si="1"/>
        <v>nextPerStart</v>
      </c>
      <c r="N15" s="133" t="s">
        <v>1280</v>
      </c>
      <c r="O15" s="140">
        <f t="shared" si="3"/>
        <v>1</v>
      </c>
      <c r="P15" s="141" t="str">
        <f t="shared" si="4"/>
        <v>Next Year</v>
      </c>
      <c r="Q15" s="144" t="str">
        <f t="shared" si="0"/>
        <v>Next Year/ Y/ar</v>
      </c>
      <c r="R15" s="147" t="str">
        <f t="shared" si="5"/>
        <v>Next Year</v>
      </c>
      <c r="S15" s="109" t="s">
        <v>610</v>
      </c>
      <c r="T15" s="109" t="s">
        <v>611</v>
      </c>
      <c r="U15" s="109" t="s">
        <v>612</v>
      </c>
      <c r="V15" s="109" t="s">
        <v>613</v>
      </c>
      <c r="W15" s="109" t="s">
        <v>614</v>
      </c>
      <c r="X15" s="109" t="s">
        <v>615</v>
      </c>
      <c r="Y15" s="109" t="s">
        <v>616</v>
      </c>
      <c r="Z15" s="109" t="s">
        <v>617</v>
      </c>
      <c r="AA15" s="109" t="s">
        <v>618</v>
      </c>
      <c r="AB15" s="109" t="s">
        <v>619</v>
      </c>
      <c r="AC15" s="109" t="s">
        <v>620</v>
      </c>
      <c r="AD15" s="109" t="s">
        <v>621</v>
      </c>
      <c r="AE15" s="109" t="s">
        <v>622</v>
      </c>
      <c r="AF15" s="127"/>
    </row>
    <row r="16" spans="1:32" ht="16.5" thickBot="1" x14ac:dyDescent="0.3">
      <c r="A16" s="55">
        <v>47084</v>
      </c>
      <c r="B16" s="56" t="s">
        <v>1235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212</v>
      </c>
      <c r="M16" s="17" t="str">
        <f t="shared" si="1"/>
        <v>nextPerStart</v>
      </c>
      <c r="N16" s="133" t="s">
        <v>1280</v>
      </c>
      <c r="O16" s="140">
        <f t="shared" si="3"/>
        <v>1</v>
      </c>
      <c r="P16" s="141" t="str">
        <f t="shared" si="4"/>
        <v>Next Year</v>
      </c>
      <c r="Q16" s="144" t="str">
        <f t="shared" si="0"/>
        <v>Next Year/ Y/ar</v>
      </c>
      <c r="R16" s="147" t="str">
        <f t="shared" si="5"/>
        <v>Next Year</v>
      </c>
      <c r="S16" s="109" t="s">
        <v>623</v>
      </c>
      <c r="T16" s="109" t="s">
        <v>624</v>
      </c>
      <c r="U16" s="109" t="s">
        <v>625</v>
      </c>
      <c r="V16" s="109" t="s">
        <v>626</v>
      </c>
      <c r="W16" s="109" t="s">
        <v>627</v>
      </c>
      <c r="X16" s="109" t="s">
        <v>628</v>
      </c>
      <c r="Y16" s="109" t="s">
        <v>629</v>
      </c>
      <c r="Z16" s="109" t="s">
        <v>630</v>
      </c>
      <c r="AA16" s="109" t="s">
        <v>631</v>
      </c>
      <c r="AB16" s="109" t="s">
        <v>632</v>
      </c>
      <c r="AC16" s="109" t="s">
        <v>633</v>
      </c>
      <c r="AD16" s="109" t="s">
        <v>634</v>
      </c>
      <c r="AE16" s="109" t="s">
        <v>635</v>
      </c>
      <c r="AF16" s="127"/>
    </row>
    <row r="17" spans="1:32" ht="16.5" thickBot="1" x14ac:dyDescent="0.3">
      <c r="A17" s="55">
        <v>47455</v>
      </c>
      <c r="B17" s="56" t="s">
        <v>1235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1241</v>
      </c>
      <c r="M17" s="17" t="str">
        <f t="shared" si="1"/>
        <v>nextPerStart</v>
      </c>
      <c r="N17" s="133" t="s">
        <v>1280</v>
      </c>
      <c r="O17" s="140">
        <f t="shared" si="3"/>
        <v>1</v>
      </c>
      <c r="P17" s="141" t="str">
        <f t="shared" si="4"/>
        <v>Next Year</v>
      </c>
      <c r="Q17" s="144" t="str">
        <f t="shared" si="0"/>
        <v>Next Year/ Y/ar</v>
      </c>
      <c r="R17" s="147" t="str">
        <f t="shared" si="5"/>
        <v>Next Year</v>
      </c>
      <c r="S17" s="109" t="s">
        <v>483</v>
      </c>
      <c r="T17" s="109" t="s">
        <v>484</v>
      </c>
      <c r="U17" s="109" t="s">
        <v>485</v>
      </c>
      <c r="V17" s="109" t="s">
        <v>486</v>
      </c>
      <c r="W17" s="109" t="s">
        <v>487</v>
      </c>
      <c r="X17" s="109" t="s">
        <v>488</v>
      </c>
      <c r="Y17" s="109" t="s">
        <v>489</v>
      </c>
      <c r="Z17" s="109" t="s">
        <v>490</v>
      </c>
      <c r="AA17" s="109" t="s">
        <v>491</v>
      </c>
      <c r="AB17" s="109" t="s">
        <v>492</v>
      </c>
      <c r="AC17" s="109" t="s">
        <v>493</v>
      </c>
      <c r="AD17" s="109" t="s">
        <v>494</v>
      </c>
      <c r="AE17" s="109" t="s">
        <v>495</v>
      </c>
      <c r="AF17" s="127"/>
    </row>
    <row r="18" spans="1:32" ht="16.5" thickBot="1" x14ac:dyDescent="0.3">
      <c r="A18" s="55">
        <v>47819</v>
      </c>
      <c r="B18" s="56" t="s">
        <v>1235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1242</v>
      </c>
      <c r="M18" s="17" t="str">
        <f t="shared" si="1"/>
        <v>nextPerStart</v>
      </c>
      <c r="N18" s="133" t="s">
        <v>1280</v>
      </c>
      <c r="O18" s="140">
        <f t="shared" si="3"/>
        <v>1</v>
      </c>
      <c r="P18" s="141" t="str">
        <f t="shared" si="4"/>
        <v>Next Year</v>
      </c>
      <c r="Q18" s="144" t="str">
        <f t="shared" si="0"/>
        <v>Next Year/ Y/ar</v>
      </c>
      <c r="R18" s="147" t="str">
        <f t="shared" si="5"/>
        <v>Next Year</v>
      </c>
      <c r="S18" s="109" t="s">
        <v>636</v>
      </c>
      <c r="T18" s="109" t="s">
        <v>637</v>
      </c>
      <c r="U18" s="109" t="s">
        <v>638</v>
      </c>
      <c r="V18" s="109" t="s">
        <v>639</v>
      </c>
      <c r="W18" s="109" t="s">
        <v>640</v>
      </c>
      <c r="X18" s="109" t="s">
        <v>641</v>
      </c>
      <c r="Y18" s="109" t="s">
        <v>642</v>
      </c>
      <c r="Z18" s="109" t="s">
        <v>643</v>
      </c>
      <c r="AA18" s="109" t="s">
        <v>644</v>
      </c>
      <c r="AB18" s="109" t="s">
        <v>645</v>
      </c>
      <c r="AC18" s="109" t="s">
        <v>646</v>
      </c>
      <c r="AD18" s="109" t="s">
        <v>647</v>
      </c>
      <c r="AE18" s="109" t="s">
        <v>648</v>
      </c>
      <c r="AF18" s="127"/>
    </row>
    <row r="19" spans="1:32" ht="16.5" thickBot="1" x14ac:dyDescent="0.3">
      <c r="A19" s="55">
        <v>37255</v>
      </c>
      <c r="B19" s="56" t="s">
        <v>1236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1243</v>
      </c>
      <c r="M19" s="17" t="str">
        <f t="shared" si="1"/>
        <v>nextPerEnd</v>
      </c>
      <c r="N19" s="133" t="s">
        <v>1280</v>
      </c>
      <c r="O19" s="140">
        <f t="shared" si="3"/>
        <v>1</v>
      </c>
      <c r="P19" s="141" t="str">
        <f t="shared" si="4"/>
        <v>Next Year</v>
      </c>
      <c r="Q19" s="144" t="str">
        <f t="shared" si="0"/>
        <v>Next Year/ Y/ar</v>
      </c>
      <c r="R19" s="147" t="e">
        <f t="shared" si="5"/>
        <v>#VALUE!</v>
      </c>
      <c r="S19" s="109" t="s">
        <v>496</v>
      </c>
      <c r="T19" s="109" t="s">
        <v>497</v>
      </c>
      <c r="U19" s="109" t="s">
        <v>498</v>
      </c>
      <c r="V19" s="109" t="s">
        <v>499</v>
      </c>
      <c r="W19" s="109" t="s">
        <v>500</v>
      </c>
      <c r="X19" s="109" t="s">
        <v>501</v>
      </c>
      <c r="Y19" s="109" t="s">
        <v>502</v>
      </c>
      <c r="Z19" s="109" t="s">
        <v>503</v>
      </c>
      <c r="AA19" s="109" t="s">
        <v>504</v>
      </c>
      <c r="AB19" s="109" t="s">
        <v>505</v>
      </c>
      <c r="AC19" s="109" t="s">
        <v>506</v>
      </c>
      <c r="AD19" s="109" t="s">
        <v>507</v>
      </c>
      <c r="AE19" s="109" t="s">
        <v>508</v>
      </c>
      <c r="AF19" s="127"/>
    </row>
    <row r="20" spans="1:32" ht="16.5" thickBot="1" x14ac:dyDescent="0.3">
      <c r="A20" s="55">
        <v>37619</v>
      </c>
      <c r="B20" s="56" t="s">
        <v>1236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1244</v>
      </c>
      <c r="M20" s="17" t="str">
        <f t="shared" si="1"/>
        <v>nextPerEnd</v>
      </c>
      <c r="N20" s="133" t="s">
        <v>1280</v>
      </c>
      <c r="O20" s="140">
        <f t="shared" si="3"/>
        <v>1</v>
      </c>
      <c r="P20" s="141" t="str">
        <f t="shared" si="4"/>
        <v>Next Year</v>
      </c>
      <c r="Q20" s="144" t="str">
        <f t="shared" si="0"/>
        <v>Next Year/ Y/ar</v>
      </c>
      <c r="R20" s="147" t="e">
        <f t="shared" si="5"/>
        <v>#VALUE!</v>
      </c>
      <c r="S20" s="109" t="s">
        <v>444</v>
      </c>
      <c r="T20" s="109" t="s">
        <v>445</v>
      </c>
      <c r="U20" s="109" t="s">
        <v>446</v>
      </c>
      <c r="V20" s="109" t="s">
        <v>447</v>
      </c>
      <c r="W20" s="109" t="s">
        <v>448</v>
      </c>
      <c r="X20" s="109" t="s">
        <v>449</v>
      </c>
      <c r="Y20" s="109" t="s">
        <v>450</v>
      </c>
      <c r="Z20" s="109" t="s">
        <v>451</v>
      </c>
      <c r="AA20" s="109" t="s">
        <v>452</v>
      </c>
      <c r="AB20" s="109" t="s">
        <v>453</v>
      </c>
      <c r="AC20" s="109" t="s">
        <v>454</v>
      </c>
      <c r="AD20" s="109" t="s">
        <v>455</v>
      </c>
      <c r="AE20" s="109" t="s">
        <v>456</v>
      </c>
      <c r="AF20" s="127"/>
    </row>
    <row r="21" spans="1:32" ht="16.5" thickBot="1" x14ac:dyDescent="0.3">
      <c r="A21" s="55">
        <v>37983</v>
      </c>
      <c r="B21" s="56" t="s">
        <v>1236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1245</v>
      </c>
      <c r="M21" s="17" t="str">
        <f t="shared" si="1"/>
        <v>nextPerEnd</v>
      </c>
      <c r="N21" s="133" t="s">
        <v>1280</v>
      </c>
      <c r="O21" s="140">
        <f t="shared" si="3"/>
        <v>1</v>
      </c>
      <c r="P21" s="141" t="str">
        <f t="shared" si="4"/>
        <v>Next Year</v>
      </c>
      <c r="Q21" s="144" t="str">
        <f t="shared" si="0"/>
        <v>Next Year/ Y/ar</v>
      </c>
      <c r="R21" s="147" t="e">
        <f t="shared" si="5"/>
        <v>#VALUE!</v>
      </c>
      <c r="S21" s="109" t="s">
        <v>353</v>
      </c>
      <c r="T21" s="109" t="s">
        <v>354</v>
      </c>
      <c r="U21" s="109" t="s">
        <v>355</v>
      </c>
      <c r="V21" s="109" t="s">
        <v>356</v>
      </c>
      <c r="W21" s="109" t="s">
        <v>357</v>
      </c>
      <c r="X21" s="109" t="s">
        <v>358</v>
      </c>
      <c r="Y21" s="109" t="s">
        <v>359</v>
      </c>
      <c r="Z21" s="109" t="s">
        <v>360</v>
      </c>
      <c r="AA21" s="109" t="s">
        <v>361</v>
      </c>
      <c r="AB21" s="109" t="s">
        <v>362</v>
      </c>
      <c r="AC21" s="109" t="s">
        <v>363</v>
      </c>
      <c r="AD21" s="109" t="s">
        <v>364</v>
      </c>
      <c r="AE21" s="109" t="s">
        <v>365</v>
      </c>
      <c r="AF21" s="127"/>
    </row>
    <row r="22" spans="1:32" ht="16.5" thickBot="1" x14ac:dyDescent="0.3">
      <c r="A22" s="55">
        <v>38347</v>
      </c>
      <c r="B22" s="56" t="s">
        <v>1236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1246</v>
      </c>
      <c r="M22" s="17" t="str">
        <f t="shared" si="1"/>
        <v>nextPerEnd</v>
      </c>
      <c r="N22" s="133" t="s">
        <v>1280</v>
      </c>
      <c r="O22" s="140">
        <f t="shared" si="3"/>
        <v>1</v>
      </c>
      <c r="P22" s="141" t="str">
        <f t="shared" si="4"/>
        <v>Next Year</v>
      </c>
      <c r="Q22" s="144" t="str">
        <f t="shared" si="0"/>
        <v>Next Year/ Y/ar</v>
      </c>
      <c r="R22" s="147" t="e">
        <f t="shared" si="5"/>
        <v>#VALUE!</v>
      </c>
      <c r="S22" s="109" t="s">
        <v>548</v>
      </c>
      <c r="T22" s="109" t="s">
        <v>549</v>
      </c>
      <c r="U22" s="109" t="s">
        <v>550</v>
      </c>
      <c r="V22" s="109" t="s">
        <v>551</v>
      </c>
      <c r="W22" s="109" t="s">
        <v>552</v>
      </c>
      <c r="X22" s="109" t="s">
        <v>553</v>
      </c>
      <c r="Y22" s="109" t="s">
        <v>554</v>
      </c>
      <c r="Z22" s="109" t="s">
        <v>555</v>
      </c>
      <c r="AA22" s="109" t="s">
        <v>556</v>
      </c>
      <c r="AB22" s="109" t="s">
        <v>557</v>
      </c>
      <c r="AC22" s="109" t="s">
        <v>558</v>
      </c>
      <c r="AD22" s="109" t="s">
        <v>559</v>
      </c>
      <c r="AE22" s="109" t="s">
        <v>560</v>
      </c>
      <c r="AF22" s="127"/>
    </row>
    <row r="23" spans="1:32" ht="16.5" thickBot="1" x14ac:dyDescent="0.3">
      <c r="A23" s="55">
        <v>38711</v>
      </c>
      <c r="B23" s="56" t="s">
        <v>1236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1247</v>
      </c>
      <c r="M23" s="17" t="str">
        <f t="shared" si="1"/>
        <v>nextPerEnd</v>
      </c>
      <c r="N23" s="133" t="s">
        <v>1280</v>
      </c>
      <c r="O23" s="140">
        <f t="shared" si="3"/>
        <v>1</v>
      </c>
      <c r="P23" s="141" t="str">
        <f t="shared" si="4"/>
        <v>Next Year</v>
      </c>
      <c r="Q23" s="144" t="str">
        <f t="shared" si="0"/>
        <v>Next Year/ Y/ar</v>
      </c>
      <c r="R23" s="147" t="e">
        <f t="shared" si="5"/>
        <v>#VALUE!</v>
      </c>
      <c r="S23" s="109" t="s">
        <v>366</v>
      </c>
      <c r="T23" s="109" t="s">
        <v>367</v>
      </c>
      <c r="U23" s="109" t="s">
        <v>368</v>
      </c>
      <c r="V23" s="109" t="s">
        <v>369</v>
      </c>
      <c r="W23" s="109" t="s">
        <v>370</v>
      </c>
      <c r="X23" s="109" t="s">
        <v>371</v>
      </c>
      <c r="Y23" s="109" t="s">
        <v>372</v>
      </c>
      <c r="Z23" s="109" t="s">
        <v>373</v>
      </c>
      <c r="AA23" s="109" t="s">
        <v>374</v>
      </c>
      <c r="AB23" s="109" t="s">
        <v>375</v>
      </c>
      <c r="AC23" s="109" t="s">
        <v>376</v>
      </c>
      <c r="AD23" s="109" t="s">
        <v>377</v>
      </c>
      <c r="AE23" s="109" t="s">
        <v>378</v>
      </c>
      <c r="AF23" s="127"/>
    </row>
    <row r="24" spans="1:32" ht="16.5" thickBot="1" x14ac:dyDescent="0.3">
      <c r="A24" s="55">
        <v>39082</v>
      </c>
      <c r="B24" s="56" t="s">
        <v>1236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1248</v>
      </c>
      <c r="M24" s="17" t="str">
        <f t="shared" si="1"/>
        <v>nextPerEnd</v>
      </c>
      <c r="N24" s="133" t="s">
        <v>1280</v>
      </c>
      <c r="O24" s="140">
        <f t="shared" si="3"/>
        <v>1</v>
      </c>
      <c r="P24" s="141" t="str">
        <f t="shared" si="4"/>
        <v>Next Year</v>
      </c>
      <c r="Q24" s="144" t="str">
        <f t="shared" si="0"/>
        <v>Next Year/ Y/ar</v>
      </c>
      <c r="R24" s="147" t="e">
        <f t="shared" si="5"/>
        <v>#VALUE!</v>
      </c>
      <c r="S24" s="109" t="s">
        <v>649</v>
      </c>
      <c r="T24" s="109" t="s">
        <v>650</v>
      </c>
      <c r="U24" s="109" t="s">
        <v>651</v>
      </c>
      <c r="V24" s="109" t="s">
        <v>652</v>
      </c>
      <c r="W24" s="109" t="s">
        <v>653</v>
      </c>
      <c r="X24" s="109" t="s">
        <v>654</v>
      </c>
      <c r="Y24" s="109" t="s">
        <v>655</v>
      </c>
      <c r="Z24" s="109" t="s">
        <v>656</v>
      </c>
      <c r="AA24" s="109" t="s">
        <v>657</v>
      </c>
      <c r="AB24" s="109" t="s">
        <v>658</v>
      </c>
      <c r="AC24" s="109" t="s">
        <v>659</v>
      </c>
      <c r="AD24" s="109" t="s">
        <v>660</v>
      </c>
      <c r="AE24" s="109" t="s">
        <v>661</v>
      </c>
      <c r="AF24" s="127"/>
    </row>
    <row r="25" spans="1:32" ht="16.5" thickBot="1" x14ac:dyDescent="0.3">
      <c r="A25" s="55">
        <v>39446</v>
      </c>
      <c r="B25" s="56" t="s">
        <v>1236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1249</v>
      </c>
      <c r="M25" s="17" t="str">
        <f t="shared" si="1"/>
        <v>nextPerEnd</v>
      </c>
      <c r="N25" s="133" t="s">
        <v>1280</v>
      </c>
      <c r="O25" s="140">
        <f t="shared" si="3"/>
        <v>1</v>
      </c>
      <c r="P25" s="141" t="str">
        <f t="shared" si="4"/>
        <v>Next Year</v>
      </c>
      <c r="Q25" s="144" t="str">
        <f t="shared" si="0"/>
        <v>Next Year/ Y/ar</v>
      </c>
      <c r="R25" s="147" t="e">
        <f t="shared" si="5"/>
        <v>#VALUE!</v>
      </c>
      <c r="S25" s="109" t="s">
        <v>431</v>
      </c>
      <c r="T25" s="109" t="s">
        <v>432</v>
      </c>
      <c r="U25" s="109" t="s">
        <v>433</v>
      </c>
      <c r="V25" s="109" t="s">
        <v>434</v>
      </c>
      <c r="W25" s="109" t="s">
        <v>435</v>
      </c>
      <c r="X25" s="109" t="s">
        <v>436</v>
      </c>
      <c r="Y25" s="109" t="s">
        <v>437</v>
      </c>
      <c r="Z25" s="109" t="s">
        <v>438</v>
      </c>
      <c r="AA25" s="109" t="s">
        <v>439</v>
      </c>
      <c r="AB25" s="109" t="s">
        <v>440</v>
      </c>
      <c r="AC25" s="109" t="s">
        <v>441</v>
      </c>
      <c r="AD25" s="109" t="s">
        <v>442</v>
      </c>
      <c r="AE25" s="109" t="s">
        <v>443</v>
      </c>
      <c r="AF25" s="127"/>
    </row>
    <row r="26" spans="1:32" ht="16.5" thickBot="1" x14ac:dyDescent="0.3">
      <c r="A26" s="55">
        <v>39810</v>
      </c>
      <c r="B26" s="56" t="s">
        <v>1236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1250</v>
      </c>
      <c r="M26" s="17" t="str">
        <f t="shared" si="1"/>
        <v>nextPerEnd</v>
      </c>
      <c r="N26" s="133" t="s">
        <v>1280</v>
      </c>
      <c r="O26" s="140">
        <f t="shared" si="3"/>
        <v>1</v>
      </c>
      <c r="P26" s="141" t="str">
        <f t="shared" si="4"/>
        <v>Next Year</v>
      </c>
      <c r="Q26" s="144" t="str">
        <f t="shared" si="0"/>
        <v>Next Year/ Y/ar</v>
      </c>
      <c r="R26" s="147" t="e">
        <f t="shared" si="5"/>
        <v>#VALUE!</v>
      </c>
      <c r="S26" s="109" t="s">
        <v>470</v>
      </c>
      <c r="T26" s="109" t="s">
        <v>471</v>
      </c>
      <c r="U26" s="109" t="s">
        <v>472</v>
      </c>
      <c r="V26" s="109" t="s">
        <v>473</v>
      </c>
      <c r="W26" s="109" t="s">
        <v>474</v>
      </c>
      <c r="X26" s="109" t="s">
        <v>475</v>
      </c>
      <c r="Y26" s="109" t="s">
        <v>476</v>
      </c>
      <c r="Z26" s="109" t="s">
        <v>477</v>
      </c>
      <c r="AA26" s="109" t="s">
        <v>478</v>
      </c>
      <c r="AB26" s="109" t="s">
        <v>479</v>
      </c>
      <c r="AC26" s="109" t="s">
        <v>480</v>
      </c>
      <c r="AD26" s="109" t="s">
        <v>481</v>
      </c>
      <c r="AE26" s="109" t="s">
        <v>482</v>
      </c>
      <c r="AF26" s="127"/>
    </row>
    <row r="27" spans="1:32" ht="16.5" thickBot="1" x14ac:dyDescent="0.3">
      <c r="A27" s="55">
        <v>40174</v>
      </c>
      <c r="B27" s="56" t="s">
        <v>1236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1251</v>
      </c>
      <c r="M27" s="17" t="str">
        <f t="shared" si="1"/>
        <v>nextPerEnd</v>
      </c>
      <c r="N27" s="133" t="s">
        <v>1280</v>
      </c>
      <c r="O27" s="140">
        <f t="shared" si="3"/>
        <v>1</v>
      </c>
      <c r="P27" s="141" t="str">
        <f t="shared" si="4"/>
        <v>Next Year</v>
      </c>
      <c r="Q27" s="144" t="str">
        <f t="shared" si="0"/>
        <v>Next Year/ Y/ar</v>
      </c>
      <c r="R27" s="147" t="e">
        <f t="shared" si="5"/>
        <v>#VALUE!</v>
      </c>
      <c r="S27" s="109" t="s">
        <v>457</v>
      </c>
      <c r="T27" s="109" t="s">
        <v>458</v>
      </c>
      <c r="U27" s="109" t="s">
        <v>459</v>
      </c>
      <c r="V27" s="109" t="s">
        <v>460</v>
      </c>
      <c r="W27" s="109" t="s">
        <v>461</v>
      </c>
      <c r="X27" s="109" t="s">
        <v>462</v>
      </c>
      <c r="Y27" s="109" t="s">
        <v>463</v>
      </c>
      <c r="Z27" s="109" t="s">
        <v>464</v>
      </c>
      <c r="AA27" s="109" t="s">
        <v>465</v>
      </c>
      <c r="AB27" s="109" t="s">
        <v>466</v>
      </c>
      <c r="AC27" s="109" t="s">
        <v>467</v>
      </c>
      <c r="AD27" s="109" t="s">
        <v>468</v>
      </c>
      <c r="AE27" s="109" t="s">
        <v>469</v>
      </c>
      <c r="AF27" s="127"/>
    </row>
    <row r="28" spans="1:32" ht="16.5" thickBot="1" x14ac:dyDescent="0.3">
      <c r="A28" s="55">
        <v>40538</v>
      </c>
      <c r="B28" s="56" t="s">
        <v>1236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1252</v>
      </c>
      <c r="M28" s="17" t="str">
        <f t="shared" si="1"/>
        <v>nextPerEnd</v>
      </c>
      <c r="N28" s="133" t="s">
        <v>1280</v>
      </c>
      <c r="O28" s="140">
        <f t="shared" si="3"/>
        <v>1</v>
      </c>
      <c r="P28" s="141" t="str">
        <f t="shared" si="4"/>
        <v>Next Year</v>
      </c>
      <c r="Q28" s="144" t="str">
        <f t="shared" si="0"/>
        <v>Next Year/ Y/ar</v>
      </c>
      <c r="R28" s="147" t="e">
        <f t="shared" si="5"/>
        <v>#VALUE!</v>
      </c>
      <c r="S28" s="109" t="s">
        <v>509</v>
      </c>
      <c r="T28" s="109" t="s">
        <v>510</v>
      </c>
      <c r="U28" s="109" t="s">
        <v>511</v>
      </c>
      <c r="V28" s="109" t="s">
        <v>512</v>
      </c>
      <c r="W28" s="109" t="s">
        <v>513</v>
      </c>
      <c r="X28" s="109" t="s">
        <v>514</v>
      </c>
      <c r="Y28" s="109" t="s">
        <v>515</v>
      </c>
      <c r="Z28" s="109" t="s">
        <v>516</v>
      </c>
      <c r="AA28" s="109" t="s">
        <v>517</v>
      </c>
      <c r="AB28" s="109" t="s">
        <v>518</v>
      </c>
      <c r="AC28" s="109" t="s">
        <v>519</v>
      </c>
      <c r="AD28" s="109" t="s">
        <v>520</v>
      </c>
      <c r="AE28" s="109" t="s">
        <v>521</v>
      </c>
      <c r="AF28" s="127"/>
    </row>
    <row r="29" spans="1:32" ht="16.5" thickBot="1" x14ac:dyDescent="0.3">
      <c r="A29" s="55">
        <v>40902</v>
      </c>
      <c r="B29" s="56" t="s">
        <v>1236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1253</v>
      </c>
      <c r="M29" s="17" t="str">
        <f t="shared" si="1"/>
        <v>nextPerEnd</v>
      </c>
      <c r="N29" s="133" t="s">
        <v>1280</v>
      </c>
      <c r="O29" s="140">
        <f t="shared" si="3"/>
        <v>1</v>
      </c>
      <c r="P29" s="141" t="str">
        <f t="shared" si="4"/>
        <v>Next Year</v>
      </c>
      <c r="Q29" s="144" t="str">
        <f t="shared" si="0"/>
        <v>Next Year/ Y/ar</v>
      </c>
      <c r="R29" s="147" t="e">
        <f t="shared" si="5"/>
        <v>#VALUE!</v>
      </c>
      <c r="S29" s="109" t="s">
        <v>340</v>
      </c>
      <c r="T29" s="109" t="s">
        <v>341</v>
      </c>
      <c r="U29" s="109" t="s">
        <v>342</v>
      </c>
      <c r="V29" s="109" t="s">
        <v>343</v>
      </c>
      <c r="W29" s="109" t="s">
        <v>344</v>
      </c>
      <c r="X29" s="109" t="s">
        <v>345</v>
      </c>
      <c r="Y29" s="109" t="s">
        <v>346</v>
      </c>
      <c r="Z29" s="109" t="s">
        <v>347</v>
      </c>
      <c r="AA29" s="109" t="s">
        <v>348</v>
      </c>
      <c r="AB29" s="109" t="s">
        <v>349</v>
      </c>
      <c r="AC29" s="109" t="s">
        <v>350</v>
      </c>
      <c r="AD29" s="109" t="s">
        <v>351</v>
      </c>
      <c r="AE29" s="109" t="s">
        <v>352</v>
      </c>
      <c r="AF29" s="127"/>
    </row>
    <row r="30" spans="1:32" ht="16.5" thickBot="1" x14ac:dyDescent="0.3">
      <c r="A30" s="55">
        <v>41273</v>
      </c>
      <c r="B30" s="56" t="s">
        <v>1236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1254</v>
      </c>
      <c r="M30" s="17" t="str">
        <f t="shared" si="1"/>
        <v>nextPerEnd</v>
      </c>
      <c r="N30" s="133" t="s">
        <v>1280</v>
      </c>
      <c r="O30" s="140">
        <f t="shared" si="3"/>
        <v>1</v>
      </c>
      <c r="P30" s="141" t="str">
        <f t="shared" si="4"/>
        <v>Next Year</v>
      </c>
      <c r="Q30" s="144" t="str">
        <f t="shared" si="0"/>
        <v>Next Year/ Y/ar</v>
      </c>
      <c r="R30" s="147" t="e">
        <f t="shared" si="5"/>
        <v>#VALUE!</v>
      </c>
      <c r="S30" s="109" t="s">
        <v>1179</v>
      </c>
      <c r="T30" s="109" t="s">
        <v>1180</v>
      </c>
      <c r="U30" s="109" t="s">
        <v>1181</v>
      </c>
      <c r="V30" s="109" t="s">
        <v>1182</v>
      </c>
      <c r="W30" s="109" t="s">
        <v>1183</v>
      </c>
      <c r="X30" s="109" t="s">
        <v>1184</v>
      </c>
      <c r="Y30" s="109" t="s">
        <v>1185</v>
      </c>
      <c r="Z30" s="109" t="s">
        <v>1186</v>
      </c>
      <c r="AA30" s="109" t="s">
        <v>1187</v>
      </c>
      <c r="AB30" s="109" t="s">
        <v>1188</v>
      </c>
      <c r="AC30" s="109" t="s">
        <v>1189</v>
      </c>
      <c r="AD30" s="109" t="s">
        <v>1190</v>
      </c>
      <c r="AE30" s="109" t="s">
        <v>1191</v>
      </c>
      <c r="AF30" s="127"/>
    </row>
    <row r="31" spans="1:32" ht="16.5" thickBot="1" x14ac:dyDescent="0.3">
      <c r="A31" s="55">
        <v>41637</v>
      </c>
      <c r="B31" s="56" t="s">
        <v>1236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1255</v>
      </c>
      <c r="M31" s="17" t="str">
        <f t="shared" si="1"/>
        <v>nextPerEnd</v>
      </c>
      <c r="N31" s="133" t="s">
        <v>1280</v>
      </c>
      <c r="O31" s="140">
        <f>IF(VALUE(I31)=13,1,(IF((M31)="NextPerStart",VALUE(I31)+1,IF((M31)="NextPerEnd",VALUE(I31)+2))))</f>
        <v>1</v>
      </c>
      <c r="P31" s="141" t="str">
        <f t="shared" si="4"/>
        <v>Next Year</v>
      </c>
      <c r="Q31" s="144" t="str">
        <f t="shared" si="0"/>
        <v>Next Year/ Y/ar</v>
      </c>
      <c r="R31" s="147" t="e">
        <f t="shared" si="5"/>
        <v>#VALUE!</v>
      </c>
      <c r="S31" s="109" t="s">
        <v>275</v>
      </c>
      <c r="T31" s="109" t="s">
        <v>276</v>
      </c>
      <c r="U31" s="109" t="s">
        <v>277</v>
      </c>
      <c r="V31" s="109" t="s">
        <v>278</v>
      </c>
      <c r="W31" s="109" t="s">
        <v>279</v>
      </c>
      <c r="X31" s="109" t="s">
        <v>280</v>
      </c>
      <c r="Y31" s="109" t="s">
        <v>281</v>
      </c>
      <c r="Z31" s="109" t="s">
        <v>282</v>
      </c>
      <c r="AA31" s="109" t="s">
        <v>283</v>
      </c>
      <c r="AB31" s="109" t="s">
        <v>284</v>
      </c>
      <c r="AC31" s="109" t="s">
        <v>285</v>
      </c>
      <c r="AD31" s="109" t="s">
        <v>286</v>
      </c>
      <c r="AE31" s="109" t="s">
        <v>287</v>
      </c>
      <c r="AF31" s="127"/>
    </row>
    <row r="32" spans="1:32" ht="16.5" thickBot="1" x14ac:dyDescent="0.3">
      <c r="A32" s="55">
        <v>42001</v>
      </c>
      <c r="B32" s="56" t="s">
        <v>1236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1256</v>
      </c>
      <c r="M32" s="17" t="str">
        <f t="shared" si="1"/>
        <v>nextPerEnd</v>
      </c>
      <c r="N32" s="133" t="s">
        <v>1280</v>
      </c>
      <c r="O32" s="140">
        <f t="shared" si="3"/>
        <v>1</v>
      </c>
      <c r="P32" s="141" t="str">
        <f t="shared" si="4"/>
        <v>Next Year</v>
      </c>
      <c r="Q32" s="144" t="str">
        <f t="shared" si="0"/>
        <v>Next Year/ Y/ar</v>
      </c>
      <c r="R32" s="147" t="e">
        <f t="shared" si="5"/>
        <v>#VALUE!</v>
      </c>
      <c r="S32" s="109" t="s">
        <v>288</v>
      </c>
      <c r="T32" s="109" t="s">
        <v>289</v>
      </c>
      <c r="U32" s="109" t="s">
        <v>290</v>
      </c>
      <c r="V32" s="109" t="s">
        <v>291</v>
      </c>
      <c r="W32" s="109" t="s">
        <v>292</v>
      </c>
      <c r="X32" s="109" t="s">
        <v>293</v>
      </c>
      <c r="Y32" s="109" t="s">
        <v>294</v>
      </c>
      <c r="Z32" s="109" t="s">
        <v>295</v>
      </c>
      <c r="AA32" s="109" t="s">
        <v>296</v>
      </c>
      <c r="AB32" s="109" t="s">
        <v>297</v>
      </c>
      <c r="AC32" s="109" t="s">
        <v>298</v>
      </c>
      <c r="AD32" s="109" t="s">
        <v>299</v>
      </c>
      <c r="AE32" s="109" t="s">
        <v>300</v>
      </c>
      <c r="AF32" s="127"/>
    </row>
    <row r="33" spans="1:32" ht="16.5" thickBot="1" x14ac:dyDescent="0.3">
      <c r="A33" s="55">
        <v>42365</v>
      </c>
      <c r="B33" s="56" t="s">
        <v>1236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1257</v>
      </c>
      <c r="M33" s="17" t="str">
        <f t="shared" si="1"/>
        <v>nextPerEnd</v>
      </c>
      <c r="N33" s="133" t="s">
        <v>1280</v>
      </c>
      <c r="O33" s="140">
        <f t="shared" si="3"/>
        <v>1</v>
      </c>
      <c r="P33" s="141" t="str">
        <f t="shared" si="4"/>
        <v>Next Year</v>
      </c>
      <c r="Q33" s="144" t="str">
        <f t="shared" si="0"/>
        <v>Next Year/ Y/ar</v>
      </c>
      <c r="R33" s="147" t="e">
        <f t="shared" si="5"/>
        <v>#VALUE!</v>
      </c>
      <c r="S33" s="109" t="s">
        <v>405</v>
      </c>
      <c r="T33" s="109" t="s">
        <v>406</v>
      </c>
      <c r="U33" s="109" t="s">
        <v>407</v>
      </c>
      <c r="V33" s="109" t="s">
        <v>408</v>
      </c>
      <c r="W33" s="109" t="s">
        <v>409</v>
      </c>
      <c r="X33" s="109" t="s">
        <v>410</v>
      </c>
      <c r="Y33" s="109" t="s">
        <v>411</v>
      </c>
      <c r="Z33" s="109" t="s">
        <v>412</v>
      </c>
      <c r="AA33" s="109" t="s">
        <v>413</v>
      </c>
      <c r="AB33" s="109" t="s">
        <v>414</v>
      </c>
      <c r="AC33" s="109" t="s">
        <v>415</v>
      </c>
      <c r="AD33" s="109" t="s">
        <v>416</v>
      </c>
      <c r="AE33" s="109" t="s">
        <v>417</v>
      </c>
      <c r="AF33" s="127"/>
    </row>
    <row r="34" spans="1:32" ht="16.5" thickBot="1" x14ac:dyDescent="0.3">
      <c r="A34" s="55">
        <v>42729</v>
      </c>
      <c r="B34" s="56" t="s">
        <v>1236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1258</v>
      </c>
      <c r="M34" s="17" t="str">
        <f t="shared" si="1"/>
        <v>nextPerEnd</v>
      </c>
      <c r="N34" s="133" t="s">
        <v>1280</v>
      </c>
      <c r="O34" s="140">
        <f t="shared" si="3"/>
        <v>1</v>
      </c>
      <c r="P34" s="141" t="str">
        <f t="shared" si="4"/>
        <v>Next Year</v>
      </c>
      <c r="Q34" s="144" t="str">
        <f t="shared" si="0"/>
        <v>Next Year/ Y/ar</v>
      </c>
      <c r="R34" s="147" t="e">
        <f t="shared" si="5"/>
        <v>#VALUE!</v>
      </c>
      <c r="S34" s="109" t="s">
        <v>301</v>
      </c>
      <c r="T34" s="109" t="s">
        <v>302</v>
      </c>
      <c r="U34" s="109" t="s">
        <v>303</v>
      </c>
      <c r="V34" s="109" t="s">
        <v>304</v>
      </c>
      <c r="W34" s="109" t="s">
        <v>305</v>
      </c>
      <c r="X34" s="109" t="s">
        <v>306</v>
      </c>
      <c r="Y34" s="109" t="s">
        <v>307</v>
      </c>
      <c r="Z34" s="109" t="s">
        <v>308</v>
      </c>
      <c r="AA34" s="109" t="s">
        <v>309</v>
      </c>
      <c r="AB34" s="109" t="s">
        <v>310</v>
      </c>
      <c r="AC34" s="109" t="s">
        <v>311</v>
      </c>
      <c r="AD34" s="109" t="s">
        <v>312</v>
      </c>
      <c r="AE34" s="109" t="s">
        <v>313</v>
      </c>
      <c r="AF34" s="127"/>
    </row>
    <row r="35" spans="1:32" ht="16.5" thickBot="1" x14ac:dyDescent="0.3">
      <c r="A35" s="55">
        <v>39048</v>
      </c>
      <c r="B35" s="56" t="s">
        <v>1235</v>
      </c>
      <c r="C35" s="56" t="s">
        <v>111</v>
      </c>
      <c r="E35" s="2" t="s">
        <v>1281</v>
      </c>
      <c r="F35" s="1">
        <v>39048</v>
      </c>
      <c r="G35" s="1">
        <v>39082</v>
      </c>
      <c r="H35" t="s">
        <v>86</v>
      </c>
      <c r="I35" t="s">
        <v>14</v>
      </c>
      <c r="J35" t="s">
        <v>12</v>
      </c>
      <c r="L35" t="s">
        <v>602</v>
      </c>
      <c r="M35" s="17" t="str">
        <f t="shared" si="1"/>
        <v>nextPerStart</v>
      </c>
      <c r="N35" s="133" t="s">
        <v>1280</v>
      </c>
      <c r="O35" s="140">
        <f t="shared" si="3"/>
        <v>1</v>
      </c>
      <c r="P35" s="141" t="str">
        <f t="shared" si="4"/>
        <v>Next Year</v>
      </c>
      <c r="Q35" s="144" t="str">
        <f t="shared" si="0"/>
        <v>Next Year/ Y/ar</v>
      </c>
      <c r="R35" s="147" t="str">
        <f t="shared" si="5"/>
        <v>Next Year</v>
      </c>
      <c r="S35" s="109" t="s">
        <v>649</v>
      </c>
      <c r="T35" s="109" t="s">
        <v>650</v>
      </c>
      <c r="U35" s="109" t="s">
        <v>651</v>
      </c>
      <c r="V35" s="109" t="s">
        <v>652</v>
      </c>
      <c r="W35" s="109" t="s">
        <v>653</v>
      </c>
      <c r="X35" s="109" t="s">
        <v>654</v>
      </c>
      <c r="Y35" s="109" t="s">
        <v>655</v>
      </c>
      <c r="Z35" s="109" t="s">
        <v>656</v>
      </c>
      <c r="AA35" s="109" t="s">
        <v>657</v>
      </c>
      <c r="AB35" s="109" t="s">
        <v>658</v>
      </c>
      <c r="AC35" s="109" t="s">
        <v>659</v>
      </c>
      <c r="AD35" s="109" t="s">
        <v>660</v>
      </c>
      <c r="AE35" s="109" t="s">
        <v>661</v>
      </c>
      <c r="AF35" s="127"/>
    </row>
    <row r="36" spans="1:32" ht="16.5" thickBot="1" x14ac:dyDescent="0.3">
      <c r="A36" s="55">
        <v>43066</v>
      </c>
      <c r="B36" s="56" t="s">
        <v>1235</v>
      </c>
      <c r="C36" s="56" t="s">
        <v>111</v>
      </c>
      <c r="F36" s="1">
        <v>43066</v>
      </c>
      <c r="G36" s="1">
        <v>43100</v>
      </c>
      <c r="H36" t="s">
        <v>70</v>
      </c>
      <c r="I36" t="s">
        <v>14</v>
      </c>
      <c r="J36" t="s">
        <v>12</v>
      </c>
      <c r="L36" t="s">
        <v>1259</v>
      </c>
      <c r="M36" s="17" t="str">
        <f t="shared" si="1"/>
        <v>nextPerStart</v>
      </c>
      <c r="N36" s="133" t="s">
        <v>1280</v>
      </c>
      <c r="O36" s="140">
        <f t="shared" si="3"/>
        <v>1</v>
      </c>
      <c r="P36" s="141" t="str">
        <f t="shared" si="4"/>
        <v>Next Year</v>
      </c>
      <c r="Q36" s="144" t="str">
        <f t="shared" si="0"/>
        <v>Next Year/ Y/ar</v>
      </c>
      <c r="R36" s="147" t="str">
        <f t="shared" si="5"/>
        <v>Next Year</v>
      </c>
      <c r="S36" s="109" t="s">
        <v>314</v>
      </c>
      <c r="T36" s="109" t="s">
        <v>315</v>
      </c>
      <c r="U36" s="109" t="s">
        <v>316</v>
      </c>
      <c r="V36" s="109" t="s">
        <v>317</v>
      </c>
      <c r="W36" s="109" t="s">
        <v>318</v>
      </c>
      <c r="X36" s="109" t="s">
        <v>319</v>
      </c>
      <c r="Y36" s="109" t="s">
        <v>320</v>
      </c>
      <c r="Z36" s="109" t="s">
        <v>321</v>
      </c>
      <c r="AA36" s="109" t="s">
        <v>322</v>
      </c>
      <c r="AB36" s="109" t="s">
        <v>323</v>
      </c>
      <c r="AC36" s="109" t="s">
        <v>324</v>
      </c>
      <c r="AD36" s="109" t="s">
        <v>325</v>
      </c>
      <c r="AE36" s="109" t="s">
        <v>326</v>
      </c>
      <c r="AF36" s="127"/>
    </row>
    <row r="37" spans="1:32" ht="16.5" thickBot="1" x14ac:dyDescent="0.3">
      <c r="A37" s="55">
        <v>47084</v>
      </c>
      <c r="B37" s="56" t="s">
        <v>1235</v>
      </c>
      <c r="C37" s="56" t="s">
        <v>111</v>
      </c>
      <c r="F37" s="1">
        <v>47084</v>
      </c>
      <c r="G37" s="1">
        <v>47118</v>
      </c>
      <c r="H37" t="s">
        <v>103</v>
      </c>
      <c r="I37" t="s">
        <v>14</v>
      </c>
      <c r="J37" t="s">
        <v>12</v>
      </c>
      <c r="L37" t="s">
        <v>212</v>
      </c>
      <c r="M37" s="17" t="str">
        <f t="shared" si="1"/>
        <v>nextPerStart</v>
      </c>
      <c r="N37" s="133" t="s">
        <v>1280</v>
      </c>
      <c r="O37" s="140">
        <f t="shared" si="3"/>
        <v>1</v>
      </c>
      <c r="P37" s="141" t="str">
        <f t="shared" si="4"/>
        <v>Next Year</v>
      </c>
      <c r="Q37" s="144" t="str">
        <f t="shared" si="0"/>
        <v>Next Year/ Y/ar</v>
      </c>
      <c r="R37" s="147" t="str">
        <f t="shared" si="5"/>
        <v>Next Year</v>
      </c>
      <c r="S37" s="109" t="s">
        <v>623</v>
      </c>
      <c r="T37" s="109" t="s">
        <v>624</v>
      </c>
      <c r="U37" s="109" t="s">
        <v>625</v>
      </c>
      <c r="V37" s="109" t="s">
        <v>626</v>
      </c>
      <c r="W37" s="109" t="s">
        <v>627</v>
      </c>
      <c r="X37" s="109" t="s">
        <v>628</v>
      </c>
      <c r="Y37" s="109" t="s">
        <v>629</v>
      </c>
      <c r="Z37" s="109" t="s">
        <v>630</v>
      </c>
      <c r="AA37" s="109" t="s">
        <v>631</v>
      </c>
      <c r="AB37" s="109" t="s">
        <v>632</v>
      </c>
      <c r="AC37" s="109" t="s">
        <v>633</v>
      </c>
      <c r="AD37" s="109" t="s">
        <v>634</v>
      </c>
      <c r="AE37" s="109" t="s">
        <v>635</v>
      </c>
      <c r="AF37" s="127"/>
    </row>
    <row r="38" spans="1:32" ht="16.5" thickBot="1" x14ac:dyDescent="0.3">
      <c r="A38" s="55">
        <v>36891</v>
      </c>
      <c r="B38" s="56" t="s">
        <v>1235</v>
      </c>
      <c r="C38" s="56" t="s">
        <v>112</v>
      </c>
      <c r="F38" s="1">
        <v>36864</v>
      </c>
      <c r="G38" s="1">
        <v>36891</v>
      </c>
      <c r="H38" t="s">
        <v>76</v>
      </c>
      <c r="I38" t="s">
        <v>14</v>
      </c>
      <c r="J38" t="s">
        <v>12</v>
      </c>
      <c r="L38" t="s">
        <v>1260</v>
      </c>
      <c r="M38" s="17" t="str">
        <f t="shared" si="1"/>
        <v>nextPerStart</v>
      </c>
      <c r="N38" s="133" t="s">
        <v>1280</v>
      </c>
      <c r="O38" s="140">
        <f t="shared" si="3"/>
        <v>1</v>
      </c>
      <c r="P38" s="141" t="str">
        <f t="shared" si="4"/>
        <v>Next Year</v>
      </c>
      <c r="Q38" s="144" t="str">
        <f t="shared" si="0"/>
        <v>Next Year/ Y/ar</v>
      </c>
      <c r="R38" s="147" t="str">
        <f t="shared" si="5"/>
        <v>Next Year</v>
      </c>
      <c r="S38" s="109" t="s">
        <v>1192</v>
      </c>
      <c r="T38" s="109" t="s">
        <v>1193</v>
      </c>
      <c r="U38" s="109" t="s">
        <v>1194</v>
      </c>
      <c r="V38" s="109" t="s">
        <v>1195</v>
      </c>
      <c r="W38" s="109" t="s">
        <v>1196</v>
      </c>
      <c r="X38" s="109" t="s">
        <v>1197</v>
      </c>
      <c r="Y38" s="109" t="s">
        <v>1198</v>
      </c>
      <c r="Z38" s="109" t="s">
        <v>1199</v>
      </c>
      <c r="AA38" s="109" t="s">
        <v>1200</v>
      </c>
      <c r="AB38" s="109" t="s">
        <v>1201</v>
      </c>
      <c r="AC38" s="109" t="s">
        <v>1202</v>
      </c>
      <c r="AD38" s="109" t="s">
        <v>1203</v>
      </c>
      <c r="AE38" s="109" t="s">
        <v>1204</v>
      </c>
      <c r="AF38" s="127"/>
    </row>
    <row r="39" spans="1:32" ht="16.5" thickBot="1" x14ac:dyDescent="0.3">
      <c r="A39" s="55">
        <v>39082</v>
      </c>
      <c r="B39" s="56" t="s">
        <v>1235</v>
      </c>
      <c r="C39" s="56" t="s">
        <v>112</v>
      </c>
      <c r="F39" s="1">
        <v>39048</v>
      </c>
      <c r="G39" s="1">
        <v>39082</v>
      </c>
      <c r="H39" t="s">
        <v>86</v>
      </c>
      <c r="I39" t="s">
        <v>14</v>
      </c>
      <c r="J39" t="s">
        <v>12</v>
      </c>
      <c r="L39" t="s">
        <v>602</v>
      </c>
      <c r="M39" s="17" t="str">
        <f t="shared" si="1"/>
        <v>nextPerStart</v>
      </c>
      <c r="N39" s="133" t="s">
        <v>1280</v>
      </c>
      <c r="O39" s="140">
        <f t="shared" si="3"/>
        <v>1</v>
      </c>
      <c r="P39" s="141" t="str">
        <f t="shared" si="4"/>
        <v>Next Year</v>
      </c>
      <c r="Q39" s="144" t="str">
        <f t="shared" si="0"/>
        <v>Next Year/ Y/ar</v>
      </c>
      <c r="R39" s="147" t="str">
        <f t="shared" si="5"/>
        <v>Next Year</v>
      </c>
      <c r="S39" s="109" t="s">
        <v>649</v>
      </c>
      <c r="T39" s="109" t="s">
        <v>650</v>
      </c>
      <c r="U39" s="109" t="s">
        <v>651</v>
      </c>
      <c r="V39" s="109" t="s">
        <v>652</v>
      </c>
      <c r="W39" s="109" t="s">
        <v>653</v>
      </c>
      <c r="X39" s="109" t="s">
        <v>654</v>
      </c>
      <c r="Y39" s="109" t="s">
        <v>655</v>
      </c>
      <c r="Z39" s="109" t="s">
        <v>656</v>
      </c>
      <c r="AA39" s="109" t="s">
        <v>657</v>
      </c>
      <c r="AB39" s="109" t="s">
        <v>658</v>
      </c>
      <c r="AC39" s="109" t="s">
        <v>659</v>
      </c>
      <c r="AD39" s="109" t="s">
        <v>660</v>
      </c>
      <c r="AE39" s="109" t="s">
        <v>661</v>
      </c>
      <c r="AF39" s="127"/>
    </row>
    <row r="40" spans="1:32" ht="16.5" thickBot="1" x14ac:dyDescent="0.3">
      <c r="A40" s="55">
        <v>43100</v>
      </c>
      <c r="B40" s="56" t="s">
        <v>1235</v>
      </c>
      <c r="C40" s="56" t="s">
        <v>112</v>
      </c>
      <c r="F40" s="1">
        <v>43066</v>
      </c>
      <c r="G40" s="1">
        <v>43100</v>
      </c>
      <c r="H40" t="s">
        <v>70</v>
      </c>
      <c r="I40" t="s">
        <v>14</v>
      </c>
      <c r="J40" t="s">
        <v>12</v>
      </c>
      <c r="L40" t="s">
        <v>1259</v>
      </c>
      <c r="M40" s="17" t="str">
        <f t="shared" si="1"/>
        <v>nextPerStart</v>
      </c>
      <c r="N40" s="133" t="s">
        <v>1280</v>
      </c>
      <c r="O40" s="140">
        <f t="shared" si="3"/>
        <v>1</v>
      </c>
      <c r="P40" s="141" t="str">
        <f t="shared" si="4"/>
        <v>Next Year</v>
      </c>
      <c r="Q40" s="144" t="str">
        <f t="shared" si="0"/>
        <v>Next Year/ Y/ar</v>
      </c>
      <c r="R40" s="147" t="str">
        <f t="shared" si="5"/>
        <v>Next Year</v>
      </c>
      <c r="S40" s="109" t="s">
        <v>314</v>
      </c>
      <c r="T40" s="109" t="s">
        <v>315</v>
      </c>
      <c r="U40" s="109" t="s">
        <v>316</v>
      </c>
      <c r="V40" s="109" t="s">
        <v>317</v>
      </c>
      <c r="W40" s="109" t="s">
        <v>318</v>
      </c>
      <c r="X40" s="109" t="s">
        <v>319</v>
      </c>
      <c r="Y40" s="109" t="s">
        <v>320</v>
      </c>
      <c r="Z40" s="109" t="s">
        <v>321</v>
      </c>
      <c r="AA40" s="109" t="s">
        <v>322</v>
      </c>
      <c r="AB40" s="109" t="s">
        <v>323</v>
      </c>
      <c r="AC40" s="109" t="s">
        <v>324</v>
      </c>
      <c r="AD40" s="109" t="s">
        <v>325</v>
      </c>
      <c r="AE40" s="109" t="s">
        <v>326</v>
      </c>
      <c r="AF40" s="127"/>
    </row>
    <row r="41" spans="1:32" ht="16.5" thickBot="1" x14ac:dyDescent="0.3">
      <c r="A41" s="55">
        <v>47118</v>
      </c>
      <c r="B41" s="56" t="s">
        <v>1235</v>
      </c>
      <c r="C41" s="56" t="s">
        <v>112</v>
      </c>
      <c r="F41" s="1">
        <v>47084</v>
      </c>
      <c r="G41" s="1">
        <v>47118</v>
      </c>
      <c r="H41" t="s">
        <v>103</v>
      </c>
      <c r="I41" t="s">
        <v>14</v>
      </c>
      <c r="J41" t="s">
        <v>12</v>
      </c>
      <c r="L41" t="s">
        <v>212</v>
      </c>
      <c r="M41" s="17" t="str">
        <f t="shared" si="1"/>
        <v>nextPerStart</v>
      </c>
      <c r="N41" s="133" t="s">
        <v>1280</v>
      </c>
      <c r="O41" s="140">
        <f t="shared" si="3"/>
        <v>1</v>
      </c>
      <c r="P41" s="141" t="str">
        <f t="shared" si="4"/>
        <v>Next Year</v>
      </c>
      <c r="Q41" s="144" t="str">
        <f t="shared" si="0"/>
        <v>Next Year/ Y/ar</v>
      </c>
      <c r="R41" s="147" t="str">
        <f t="shared" si="5"/>
        <v>Next Year</v>
      </c>
      <c r="S41" s="109" t="s">
        <v>623</v>
      </c>
      <c r="T41" s="109" t="s">
        <v>624</v>
      </c>
      <c r="U41" s="109" t="s">
        <v>625</v>
      </c>
      <c r="V41" s="109" t="s">
        <v>626</v>
      </c>
      <c r="W41" s="109" t="s">
        <v>627</v>
      </c>
      <c r="X41" s="109" t="s">
        <v>628</v>
      </c>
      <c r="Y41" s="109" t="s">
        <v>629</v>
      </c>
      <c r="Z41" s="109" t="s">
        <v>630</v>
      </c>
      <c r="AA41" s="109" t="s">
        <v>631</v>
      </c>
      <c r="AB41" s="109" t="s">
        <v>632</v>
      </c>
      <c r="AC41" s="109" t="s">
        <v>633</v>
      </c>
      <c r="AD41" s="109" t="s">
        <v>634</v>
      </c>
      <c r="AE41" s="109" t="s">
        <v>635</v>
      </c>
      <c r="AF41" s="127"/>
    </row>
    <row r="42" spans="1:32" ht="16.5" thickBot="1" x14ac:dyDescent="0.3">
      <c r="A42" s="55">
        <v>39048</v>
      </c>
      <c r="B42" s="56" t="s">
        <v>1237</v>
      </c>
      <c r="C42" s="56" t="s">
        <v>111</v>
      </c>
      <c r="E42" s="2" t="s">
        <v>71</v>
      </c>
      <c r="F42" s="1">
        <v>39048</v>
      </c>
      <c r="G42" s="1">
        <v>39082</v>
      </c>
      <c r="H42" t="s">
        <v>86</v>
      </c>
      <c r="I42" t="s">
        <v>14</v>
      </c>
      <c r="J42" t="s">
        <v>12</v>
      </c>
      <c r="L42" t="s">
        <v>1248</v>
      </c>
      <c r="M42" s="17" t="str">
        <f t="shared" si="1"/>
        <v>nextperEnd</v>
      </c>
      <c r="N42" s="133" t="s">
        <v>1280</v>
      </c>
      <c r="O42" s="140">
        <f t="shared" si="3"/>
        <v>1</v>
      </c>
      <c r="P42" s="141" t="str">
        <f t="shared" si="4"/>
        <v>Next Year</v>
      </c>
      <c r="Q42" s="144" t="str">
        <f t="shared" si="0"/>
        <v>Next Year/ Y/ar</v>
      </c>
      <c r="R42" s="147" t="e">
        <f t="shared" si="5"/>
        <v>#VALUE!</v>
      </c>
      <c r="S42" s="109" t="s">
        <v>649</v>
      </c>
      <c r="T42" s="109" t="s">
        <v>650</v>
      </c>
      <c r="U42" s="109" t="s">
        <v>651</v>
      </c>
      <c r="V42" s="109" t="s">
        <v>652</v>
      </c>
      <c r="W42" s="109" t="s">
        <v>653</v>
      </c>
      <c r="X42" s="109" t="s">
        <v>654</v>
      </c>
      <c r="Y42" s="109" t="s">
        <v>655</v>
      </c>
      <c r="Z42" s="109" t="s">
        <v>656</v>
      </c>
      <c r="AA42" s="109" t="s">
        <v>657</v>
      </c>
      <c r="AB42" s="109" t="s">
        <v>658</v>
      </c>
      <c r="AC42" s="109" t="s">
        <v>659</v>
      </c>
      <c r="AD42" s="109" t="s">
        <v>660</v>
      </c>
      <c r="AE42" s="109" t="s">
        <v>661</v>
      </c>
      <c r="AF42" s="127"/>
    </row>
    <row r="43" spans="1:32" ht="16.5" thickBot="1" x14ac:dyDescent="0.3">
      <c r="A43" s="55">
        <v>43066</v>
      </c>
      <c r="B43" s="56" t="s">
        <v>1237</v>
      </c>
      <c r="C43" s="56" t="s">
        <v>111</v>
      </c>
      <c r="F43" s="1">
        <v>43066</v>
      </c>
      <c r="G43" s="1">
        <v>43100</v>
      </c>
      <c r="H43" t="s">
        <v>70</v>
      </c>
      <c r="I43" t="s">
        <v>14</v>
      </c>
      <c r="J43" t="s">
        <v>12</v>
      </c>
      <c r="L43" t="s">
        <v>1261</v>
      </c>
      <c r="M43" s="17" t="str">
        <f t="shared" si="1"/>
        <v>nextperEnd</v>
      </c>
      <c r="N43" s="133" t="s">
        <v>1280</v>
      </c>
      <c r="O43" s="140">
        <f t="shared" si="3"/>
        <v>1</v>
      </c>
      <c r="P43" s="141" t="str">
        <f t="shared" si="4"/>
        <v>Next Year</v>
      </c>
      <c r="Q43" s="144" t="str">
        <f t="shared" si="0"/>
        <v>Next Year/ Y/ar</v>
      </c>
      <c r="R43" s="147" t="e">
        <f t="shared" si="5"/>
        <v>#VALUE!</v>
      </c>
      <c r="S43" s="109" t="s">
        <v>314</v>
      </c>
      <c r="T43" s="109" t="s">
        <v>315</v>
      </c>
      <c r="U43" s="109" t="s">
        <v>316</v>
      </c>
      <c r="V43" s="109" t="s">
        <v>317</v>
      </c>
      <c r="W43" s="109" t="s">
        <v>318</v>
      </c>
      <c r="X43" s="109" t="s">
        <v>319</v>
      </c>
      <c r="Y43" s="109" t="s">
        <v>320</v>
      </c>
      <c r="Z43" s="109" t="s">
        <v>321</v>
      </c>
      <c r="AA43" s="109" t="s">
        <v>322</v>
      </c>
      <c r="AB43" s="109" t="s">
        <v>323</v>
      </c>
      <c r="AC43" s="109" t="s">
        <v>324</v>
      </c>
      <c r="AD43" s="109" t="s">
        <v>325</v>
      </c>
      <c r="AE43" s="109" t="s">
        <v>326</v>
      </c>
      <c r="AF43" s="127"/>
    </row>
    <row r="44" spans="1:32" ht="16.5" thickBot="1" x14ac:dyDescent="0.3">
      <c r="A44" s="55">
        <v>47084</v>
      </c>
      <c r="B44" s="56" t="s">
        <v>1237</v>
      </c>
      <c r="C44" s="56" t="s">
        <v>111</v>
      </c>
      <c r="F44" s="1">
        <v>47084</v>
      </c>
      <c r="G44" s="1">
        <v>47118</v>
      </c>
      <c r="H44" t="s">
        <v>103</v>
      </c>
      <c r="I44" t="s">
        <v>14</v>
      </c>
      <c r="J44" t="s">
        <v>12</v>
      </c>
      <c r="L44" t="s">
        <v>1262</v>
      </c>
      <c r="M44" s="17" t="str">
        <f t="shared" si="1"/>
        <v>nextperEnd</v>
      </c>
      <c r="N44" s="133" t="s">
        <v>1280</v>
      </c>
      <c r="O44" s="140">
        <f t="shared" si="3"/>
        <v>1</v>
      </c>
      <c r="P44" s="141" t="str">
        <f t="shared" si="4"/>
        <v>Next Year</v>
      </c>
      <c r="Q44" s="144" t="str">
        <f t="shared" si="0"/>
        <v>Next Year/ Y/ar</v>
      </c>
      <c r="R44" s="147" t="e">
        <f t="shared" si="5"/>
        <v>#VALUE!</v>
      </c>
      <c r="S44" s="109" t="s">
        <v>623</v>
      </c>
      <c r="T44" s="109" t="s">
        <v>624</v>
      </c>
      <c r="U44" s="109" t="s">
        <v>625</v>
      </c>
      <c r="V44" s="109" t="s">
        <v>626</v>
      </c>
      <c r="W44" s="109" t="s">
        <v>627</v>
      </c>
      <c r="X44" s="109" t="s">
        <v>628</v>
      </c>
      <c r="Y44" s="109" t="s">
        <v>629</v>
      </c>
      <c r="Z44" s="109" t="s">
        <v>630</v>
      </c>
      <c r="AA44" s="109" t="s">
        <v>631</v>
      </c>
      <c r="AB44" s="109" t="s">
        <v>632</v>
      </c>
      <c r="AC44" s="109" t="s">
        <v>633</v>
      </c>
      <c r="AD44" s="109" t="s">
        <v>634</v>
      </c>
      <c r="AE44" s="109" t="s">
        <v>635</v>
      </c>
      <c r="AF44" s="127"/>
    </row>
    <row r="45" spans="1:32" ht="16.5" thickBot="1" x14ac:dyDescent="0.3">
      <c r="A45" s="55">
        <v>39082</v>
      </c>
      <c r="B45" s="56" t="s">
        <v>1237</v>
      </c>
      <c r="C45" s="56" t="s">
        <v>112</v>
      </c>
      <c r="F45" s="1">
        <v>39048</v>
      </c>
      <c r="G45" s="1">
        <v>39082</v>
      </c>
      <c r="H45" t="s">
        <v>86</v>
      </c>
      <c r="I45" t="s">
        <v>14</v>
      </c>
      <c r="J45" t="s">
        <v>12</v>
      </c>
      <c r="L45" t="s">
        <v>1248</v>
      </c>
      <c r="M45" s="17" t="str">
        <f t="shared" si="1"/>
        <v>nextperEnd</v>
      </c>
      <c r="N45" s="133" t="s">
        <v>1280</v>
      </c>
      <c r="O45" s="140">
        <f t="shared" si="3"/>
        <v>1</v>
      </c>
      <c r="P45" s="141" t="str">
        <f t="shared" si="4"/>
        <v>Next Year</v>
      </c>
      <c r="Q45" s="144" t="str">
        <f t="shared" si="0"/>
        <v>Next Year/ Y/ar</v>
      </c>
      <c r="R45" s="147" t="e">
        <f t="shared" si="5"/>
        <v>#VALUE!</v>
      </c>
      <c r="S45" s="109" t="s">
        <v>649</v>
      </c>
      <c r="T45" s="109" t="s">
        <v>650</v>
      </c>
      <c r="U45" s="109" t="s">
        <v>651</v>
      </c>
      <c r="V45" s="109" t="s">
        <v>652</v>
      </c>
      <c r="W45" s="109" t="s">
        <v>653</v>
      </c>
      <c r="X45" s="109" t="s">
        <v>654</v>
      </c>
      <c r="Y45" s="109" t="s">
        <v>655</v>
      </c>
      <c r="Z45" s="109" t="s">
        <v>656</v>
      </c>
      <c r="AA45" s="109" t="s">
        <v>657</v>
      </c>
      <c r="AB45" s="109" t="s">
        <v>658</v>
      </c>
      <c r="AC45" s="109" t="s">
        <v>659</v>
      </c>
      <c r="AD45" s="109" t="s">
        <v>660</v>
      </c>
      <c r="AE45" s="109" t="s">
        <v>661</v>
      </c>
      <c r="AF45" s="127"/>
    </row>
    <row r="46" spans="1:32" ht="16.5" thickBot="1" x14ac:dyDescent="0.3">
      <c r="A46" s="55">
        <v>43100</v>
      </c>
      <c r="B46" s="56" t="s">
        <v>1237</v>
      </c>
      <c r="C46" s="56" t="s">
        <v>112</v>
      </c>
      <c r="F46" s="1">
        <v>43066</v>
      </c>
      <c r="G46" s="1">
        <v>43100</v>
      </c>
      <c r="H46" t="s">
        <v>70</v>
      </c>
      <c r="I46" t="s">
        <v>14</v>
      </c>
      <c r="J46" t="s">
        <v>12</v>
      </c>
      <c r="L46" t="s">
        <v>1261</v>
      </c>
      <c r="M46" s="17" t="str">
        <f t="shared" si="1"/>
        <v>nextperEnd</v>
      </c>
      <c r="N46" s="133" t="s">
        <v>1280</v>
      </c>
      <c r="O46" s="140">
        <f t="shared" si="3"/>
        <v>1</v>
      </c>
      <c r="P46" s="141" t="str">
        <f t="shared" si="4"/>
        <v>Next Year</v>
      </c>
      <c r="Q46" s="144" t="str">
        <f t="shared" si="0"/>
        <v>Next Year/ Y/ar</v>
      </c>
      <c r="R46" s="147" t="e">
        <f t="shared" si="5"/>
        <v>#VALUE!</v>
      </c>
      <c r="S46" s="109" t="s">
        <v>314</v>
      </c>
      <c r="T46" s="109" t="s">
        <v>315</v>
      </c>
      <c r="U46" s="109" t="s">
        <v>316</v>
      </c>
      <c r="V46" s="109" t="s">
        <v>317</v>
      </c>
      <c r="W46" s="109" t="s">
        <v>318</v>
      </c>
      <c r="X46" s="109" t="s">
        <v>319</v>
      </c>
      <c r="Y46" s="109" t="s">
        <v>320</v>
      </c>
      <c r="Z46" s="109" t="s">
        <v>321</v>
      </c>
      <c r="AA46" s="109" t="s">
        <v>322</v>
      </c>
      <c r="AB46" s="109" t="s">
        <v>323</v>
      </c>
      <c r="AC46" s="109" t="s">
        <v>324</v>
      </c>
      <c r="AD46" s="109" t="s">
        <v>325</v>
      </c>
      <c r="AE46" s="109" t="s">
        <v>326</v>
      </c>
      <c r="AF46" s="127"/>
    </row>
    <row r="47" spans="1:32" ht="16.5" thickBot="1" x14ac:dyDescent="0.3">
      <c r="A47" s="55">
        <v>47118</v>
      </c>
      <c r="B47" s="56" t="s">
        <v>1237</v>
      </c>
      <c r="C47" s="56" t="s">
        <v>112</v>
      </c>
      <c r="F47" s="1">
        <v>47084</v>
      </c>
      <c r="G47" s="1">
        <v>47118</v>
      </c>
      <c r="H47" t="s">
        <v>103</v>
      </c>
      <c r="I47" t="s">
        <v>14</v>
      </c>
      <c r="J47" t="s">
        <v>12</v>
      </c>
      <c r="L47" t="s">
        <v>1262</v>
      </c>
      <c r="M47" s="17" t="str">
        <f t="shared" si="1"/>
        <v>nextperEnd</v>
      </c>
      <c r="N47" s="133" t="s">
        <v>1280</v>
      </c>
      <c r="O47" s="140">
        <f t="shared" si="3"/>
        <v>1</v>
      </c>
      <c r="P47" s="141" t="str">
        <f t="shared" si="4"/>
        <v>Next Year</v>
      </c>
      <c r="Q47" s="144" t="str">
        <f t="shared" si="0"/>
        <v>Next Year/ Y/ar</v>
      </c>
      <c r="R47" s="147" t="e">
        <f t="shared" si="5"/>
        <v>#VALUE!</v>
      </c>
      <c r="S47" s="109" t="s">
        <v>623</v>
      </c>
      <c r="T47" s="109" t="s">
        <v>624</v>
      </c>
      <c r="U47" s="109" t="s">
        <v>625</v>
      </c>
      <c r="V47" s="109" t="s">
        <v>626</v>
      </c>
      <c r="W47" s="109" t="s">
        <v>627</v>
      </c>
      <c r="X47" s="109" t="s">
        <v>628</v>
      </c>
      <c r="Y47" s="109" t="s">
        <v>629</v>
      </c>
      <c r="Z47" s="109" t="s">
        <v>630</v>
      </c>
      <c r="AA47" s="109" t="s">
        <v>631</v>
      </c>
      <c r="AB47" s="109" t="s">
        <v>632</v>
      </c>
      <c r="AC47" s="109" t="s">
        <v>633</v>
      </c>
      <c r="AD47" s="109" t="s">
        <v>634</v>
      </c>
      <c r="AE47" s="109" t="s">
        <v>635</v>
      </c>
      <c r="AF47" s="127"/>
    </row>
    <row r="48" spans="1:32" ht="16.5" thickBot="1" x14ac:dyDescent="0.3">
      <c r="A48" s="1">
        <v>42658</v>
      </c>
      <c r="B48" s="56" t="s">
        <v>1235</v>
      </c>
      <c r="C48" s="57" t="s">
        <v>138</v>
      </c>
      <c r="F48" s="1">
        <v>42646</v>
      </c>
      <c r="G48" s="1">
        <v>42673</v>
      </c>
      <c r="H48" t="s">
        <v>16</v>
      </c>
      <c r="I48" t="s">
        <v>150</v>
      </c>
      <c r="J48" t="s">
        <v>12</v>
      </c>
      <c r="L48" t="s">
        <v>1263</v>
      </c>
      <c r="M48" s="17" t="str">
        <f t="shared" si="1"/>
        <v>nextPerStart</v>
      </c>
      <c r="N48" s="133" t="str">
        <f t="shared" si="2"/>
        <v>P</v>
      </c>
      <c r="O48" s="140">
        <f t="shared" si="3"/>
        <v>12</v>
      </c>
      <c r="P48" s="141" t="str">
        <f t="shared" si="4"/>
        <v>Oct 31 2016</v>
      </c>
      <c r="Q48" s="144" t="str">
        <f t="shared" si="0"/>
        <v>10/31/2016</v>
      </c>
      <c r="R48" s="147" t="str">
        <f t="shared" si="5"/>
        <v>Oct 31 2016</v>
      </c>
      <c r="S48" s="109" t="s">
        <v>301</v>
      </c>
      <c r="T48" s="109" t="s">
        <v>302</v>
      </c>
      <c r="U48" s="109" t="s">
        <v>303</v>
      </c>
      <c r="V48" s="109" t="s">
        <v>304</v>
      </c>
      <c r="W48" s="109" t="s">
        <v>305</v>
      </c>
      <c r="X48" s="109" t="s">
        <v>306</v>
      </c>
      <c r="Y48" s="109" t="s">
        <v>307</v>
      </c>
      <c r="Z48" s="109" t="s">
        <v>308</v>
      </c>
      <c r="AA48" s="109" t="s">
        <v>309</v>
      </c>
      <c r="AB48" s="109" t="s">
        <v>310</v>
      </c>
      <c r="AC48" s="109" t="s">
        <v>311</v>
      </c>
      <c r="AD48" s="109" t="s">
        <v>312</v>
      </c>
      <c r="AE48" s="109" t="s">
        <v>313</v>
      </c>
      <c r="AF48" s="127"/>
    </row>
    <row r="49" spans="1:32" ht="16.5" thickBot="1" x14ac:dyDescent="0.3">
      <c r="A49" s="1">
        <v>46907</v>
      </c>
      <c r="B49" s="56" t="s">
        <v>1235</v>
      </c>
      <c r="C49" s="57" t="s">
        <v>138</v>
      </c>
      <c r="F49" s="1">
        <v>46888</v>
      </c>
      <c r="G49" s="1">
        <v>46915</v>
      </c>
      <c r="H49" t="s">
        <v>103</v>
      </c>
      <c r="I49" t="s">
        <v>146</v>
      </c>
      <c r="J49" t="s">
        <v>143</v>
      </c>
      <c r="L49" t="s">
        <v>1264</v>
      </c>
      <c r="M49" s="17" t="str">
        <f t="shared" si="1"/>
        <v>nextPerStart</v>
      </c>
      <c r="N49" s="133" t="str">
        <f t="shared" si="2"/>
        <v>P</v>
      </c>
      <c r="O49" s="140">
        <f t="shared" si="3"/>
        <v>7</v>
      </c>
      <c r="P49" s="141" t="str">
        <f t="shared" si="4"/>
        <v>Jun 12 2028</v>
      </c>
      <c r="Q49" s="144" t="str">
        <f t="shared" si="0"/>
        <v>6/12/2028</v>
      </c>
      <c r="R49" s="147" t="str">
        <f t="shared" si="5"/>
        <v>Jun 12 2028</v>
      </c>
      <c r="S49" s="109" t="s">
        <v>623</v>
      </c>
      <c r="T49" s="109" t="s">
        <v>624</v>
      </c>
      <c r="U49" s="109" t="s">
        <v>625</v>
      </c>
      <c r="V49" s="109" t="s">
        <v>626</v>
      </c>
      <c r="W49" s="109" t="s">
        <v>627</v>
      </c>
      <c r="X49" s="109" t="s">
        <v>628</v>
      </c>
      <c r="Y49" s="109" t="s">
        <v>629</v>
      </c>
      <c r="Z49" s="109" t="s">
        <v>630</v>
      </c>
      <c r="AA49" s="109" t="s">
        <v>631</v>
      </c>
      <c r="AB49" s="109" t="s">
        <v>632</v>
      </c>
      <c r="AC49" s="109" t="s">
        <v>633</v>
      </c>
      <c r="AD49" s="109" t="s">
        <v>634</v>
      </c>
      <c r="AE49" s="109" t="s">
        <v>635</v>
      </c>
      <c r="AF49" s="127"/>
    </row>
    <row r="50" spans="1:32" ht="16.5" thickBot="1" x14ac:dyDescent="0.3">
      <c r="A50" s="1">
        <v>37749</v>
      </c>
      <c r="B50" s="56" t="s">
        <v>1235</v>
      </c>
      <c r="C50" s="57" t="s">
        <v>138</v>
      </c>
      <c r="F50" s="1">
        <v>37732</v>
      </c>
      <c r="G50" s="1">
        <v>37759</v>
      </c>
      <c r="H50" t="s">
        <v>80</v>
      </c>
      <c r="I50" t="s">
        <v>142</v>
      </c>
      <c r="J50" t="s">
        <v>143</v>
      </c>
      <c r="L50" t="s">
        <v>1265</v>
      </c>
      <c r="M50" s="17" t="str">
        <f t="shared" si="1"/>
        <v>nextPerStart</v>
      </c>
      <c r="N50" s="133" t="str">
        <f t="shared" si="2"/>
        <v>P</v>
      </c>
      <c r="O50" s="140">
        <f t="shared" si="3"/>
        <v>6</v>
      </c>
      <c r="P50" s="141" t="str">
        <f t="shared" si="4"/>
        <v>May 19 2003</v>
      </c>
      <c r="Q50" s="144" t="str">
        <f t="shared" si="0"/>
        <v>5/19/2003</v>
      </c>
      <c r="R50" s="147" t="str">
        <f t="shared" si="5"/>
        <v>May 19 2003</v>
      </c>
      <c r="S50" s="109" t="s">
        <v>353</v>
      </c>
      <c r="T50" s="109" t="s">
        <v>354</v>
      </c>
      <c r="U50" s="109" t="s">
        <v>355</v>
      </c>
      <c r="V50" s="109" t="s">
        <v>356</v>
      </c>
      <c r="W50" s="109" t="s">
        <v>357</v>
      </c>
      <c r="X50" s="109" t="s">
        <v>358</v>
      </c>
      <c r="Y50" s="109" t="s">
        <v>359</v>
      </c>
      <c r="Z50" s="109" t="s">
        <v>360</v>
      </c>
      <c r="AA50" s="109" t="s">
        <v>361</v>
      </c>
      <c r="AB50" s="109" t="s">
        <v>362</v>
      </c>
      <c r="AC50" s="109" t="s">
        <v>363</v>
      </c>
      <c r="AD50" s="109" t="s">
        <v>364</v>
      </c>
      <c r="AE50" s="109" t="s">
        <v>365</v>
      </c>
      <c r="AF50" s="127"/>
    </row>
    <row r="51" spans="1:32" ht="16.5" thickBot="1" x14ac:dyDescent="0.3">
      <c r="A51" s="1">
        <v>40877</v>
      </c>
      <c r="B51" s="56" t="s">
        <v>1235</v>
      </c>
      <c r="C51" s="57" t="s">
        <v>138</v>
      </c>
      <c r="F51" s="1">
        <v>40875</v>
      </c>
      <c r="G51" s="1">
        <v>40902</v>
      </c>
      <c r="H51" t="s">
        <v>91</v>
      </c>
      <c r="I51" t="s">
        <v>14</v>
      </c>
      <c r="J51" t="s">
        <v>12</v>
      </c>
      <c r="L51" t="s">
        <v>1266</v>
      </c>
      <c r="M51" s="17" t="str">
        <f t="shared" si="1"/>
        <v>nextPerStart</v>
      </c>
      <c r="N51" s="133" t="s">
        <v>1280</v>
      </c>
      <c r="O51" s="140">
        <f t="shared" si="3"/>
        <v>1</v>
      </c>
      <c r="P51" s="141" t="str">
        <f t="shared" si="4"/>
        <v>Next Year</v>
      </c>
      <c r="Q51" s="144" t="str">
        <f t="shared" si="0"/>
        <v>Next Year/ Y/ar</v>
      </c>
      <c r="R51" s="147" t="str">
        <f t="shared" si="5"/>
        <v>Next Year</v>
      </c>
      <c r="S51" s="109" t="s">
        <v>340</v>
      </c>
      <c r="T51" s="109" t="s">
        <v>341</v>
      </c>
      <c r="U51" s="109" t="s">
        <v>342</v>
      </c>
      <c r="V51" s="109" t="s">
        <v>343</v>
      </c>
      <c r="W51" s="109" t="s">
        <v>344</v>
      </c>
      <c r="X51" s="109" t="s">
        <v>345</v>
      </c>
      <c r="Y51" s="109" t="s">
        <v>346</v>
      </c>
      <c r="Z51" s="109" t="s">
        <v>347</v>
      </c>
      <c r="AA51" s="109" t="s">
        <v>348</v>
      </c>
      <c r="AB51" s="109" t="s">
        <v>349</v>
      </c>
      <c r="AC51" s="109" t="s">
        <v>350</v>
      </c>
      <c r="AD51" s="109" t="s">
        <v>351</v>
      </c>
      <c r="AE51" s="109" t="s">
        <v>352</v>
      </c>
      <c r="AF51" s="127"/>
    </row>
    <row r="52" spans="1:32" ht="16.5" thickBot="1" x14ac:dyDescent="0.3">
      <c r="A52" s="1">
        <v>46512</v>
      </c>
      <c r="B52" s="56" t="s">
        <v>1235</v>
      </c>
      <c r="C52" s="57" t="s">
        <v>138</v>
      </c>
      <c r="F52" s="1">
        <v>46496</v>
      </c>
      <c r="G52" s="1">
        <v>46523</v>
      </c>
      <c r="H52" t="s">
        <v>101</v>
      </c>
      <c r="I52" t="s">
        <v>142</v>
      </c>
      <c r="J52" t="s">
        <v>143</v>
      </c>
      <c r="L52" t="s">
        <v>1171</v>
      </c>
      <c r="M52" s="17" t="str">
        <f t="shared" si="1"/>
        <v>nextPerStart</v>
      </c>
      <c r="N52" s="133" t="str">
        <f t="shared" si="2"/>
        <v>P</v>
      </c>
      <c r="O52" s="140">
        <f t="shared" si="3"/>
        <v>6</v>
      </c>
      <c r="P52" s="141" t="str">
        <f t="shared" si="4"/>
        <v>May 17 2027</v>
      </c>
      <c r="Q52" s="144" t="str">
        <f t="shared" si="0"/>
        <v>5/17/2027</v>
      </c>
      <c r="R52" s="147" t="str">
        <f t="shared" si="5"/>
        <v>May 17 2027</v>
      </c>
      <c r="S52" s="109" t="s">
        <v>610</v>
      </c>
      <c r="T52" s="109" t="s">
        <v>611</v>
      </c>
      <c r="U52" s="109" t="s">
        <v>612</v>
      </c>
      <c r="V52" s="109" t="s">
        <v>613</v>
      </c>
      <c r="W52" s="109" t="s">
        <v>614</v>
      </c>
      <c r="X52" s="109" t="s">
        <v>615</v>
      </c>
      <c r="Y52" s="109" t="s">
        <v>616</v>
      </c>
      <c r="Z52" s="109" t="s">
        <v>617</v>
      </c>
      <c r="AA52" s="109" t="s">
        <v>618</v>
      </c>
      <c r="AB52" s="109" t="s">
        <v>619</v>
      </c>
      <c r="AC52" s="109" t="s">
        <v>620</v>
      </c>
      <c r="AD52" s="109" t="s">
        <v>621</v>
      </c>
      <c r="AE52" s="109" t="s">
        <v>622</v>
      </c>
      <c r="AF52" s="127"/>
    </row>
    <row r="53" spans="1:32" ht="16.5" thickBot="1" x14ac:dyDescent="0.3">
      <c r="A53" s="1">
        <v>46577</v>
      </c>
      <c r="B53" s="56" t="s">
        <v>1235</v>
      </c>
      <c r="C53" s="57" t="s">
        <v>138</v>
      </c>
      <c r="F53" s="1">
        <v>46552</v>
      </c>
      <c r="G53" s="1">
        <v>46579</v>
      </c>
      <c r="H53" t="s">
        <v>101</v>
      </c>
      <c r="I53" t="s">
        <v>151</v>
      </c>
      <c r="J53" t="s">
        <v>143</v>
      </c>
      <c r="L53" t="s">
        <v>1267</v>
      </c>
      <c r="M53" s="17" t="str">
        <f t="shared" si="1"/>
        <v>nextPerStart</v>
      </c>
      <c r="N53" s="133" t="str">
        <f t="shared" si="2"/>
        <v>P</v>
      </c>
      <c r="O53" s="140">
        <f t="shared" si="3"/>
        <v>8</v>
      </c>
      <c r="P53" s="141" t="str">
        <f t="shared" si="4"/>
        <v>Jul 12 2027</v>
      </c>
      <c r="Q53" s="144" t="str">
        <f t="shared" si="0"/>
        <v>7/12/2027</v>
      </c>
      <c r="R53" s="147" t="str">
        <f t="shared" si="5"/>
        <v>Jul 12 2027</v>
      </c>
      <c r="S53" s="109" t="s">
        <v>610</v>
      </c>
      <c r="T53" s="109" t="s">
        <v>611</v>
      </c>
      <c r="U53" s="109" t="s">
        <v>612</v>
      </c>
      <c r="V53" s="109" t="s">
        <v>613</v>
      </c>
      <c r="W53" s="109" t="s">
        <v>614</v>
      </c>
      <c r="X53" s="109" t="s">
        <v>615</v>
      </c>
      <c r="Y53" s="109" t="s">
        <v>616</v>
      </c>
      <c r="Z53" s="109" t="s">
        <v>617</v>
      </c>
      <c r="AA53" s="109" t="s">
        <v>618</v>
      </c>
      <c r="AB53" s="109" t="s">
        <v>619</v>
      </c>
      <c r="AC53" s="109" t="s">
        <v>620</v>
      </c>
      <c r="AD53" s="109" t="s">
        <v>621</v>
      </c>
      <c r="AE53" s="109" t="s">
        <v>622</v>
      </c>
      <c r="AF53" s="127"/>
    </row>
    <row r="54" spans="1:32" ht="16.5" thickBot="1" x14ac:dyDescent="0.3">
      <c r="A54" s="1">
        <v>45880</v>
      </c>
      <c r="B54" s="56" t="s">
        <v>1235</v>
      </c>
      <c r="C54" s="57" t="s">
        <v>138</v>
      </c>
      <c r="F54" s="1">
        <v>45880</v>
      </c>
      <c r="G54" s="1">
        <v>45907</v>
      </c>
      <c r="H54" t="s">
        <v>97</v>
      </c>
      <c r="I54" t="s">
        <v>141</v>
      </c>
      <c r="J54" t="s">
        <v>54</v>
      </c>
      <c r="L54" t="s">
        <v>1268</v>
      </c>
      <c r="M54" s="17" t="str">
        <f t="shared" si="1"/>
        <v>nextPerStart</v>
      </c>
      <c r="N54" s="133" t="str">
        <f t="shared" si="2"/>
        <v>P</v>
      </c>
      <c r="O54" s="140">
        <f t="shared" si="3"/>
        <v>10</v>
      </c>
      <c r="P54" s="141" t="str">
        <f t="shared" si="4"/>
        <v>Sep  8 2025</v>
      </c>
      <c r="Q54" s="144" t="str">
        <f t="shared" si="0"/>
        <v>9/ 8/2025</v>
      </c>
      <c r="R54" s="147" t="str">
        <f t="shared" si="5"/>
        <v>Sep  8 2025</v>
      </c>
      <c r="S54" s="109" t="s">
        <v>522</v>
      </c>
      <c r="T54" s="109" t="s">
        <v>523</v>
      </c>
      <c r="U54" s="109" t="s">
        <v>524</v>
      </c>
      <c r="V54" s="109" t="s">
        <v>525</v>
      </c>
      <c r="W54" s="109" t="s">
        <v>526</v>
      </c>
      <c r="X54" s="109" t="s">
        <v>527</v>
      </c>
      <c r="Y54" s="109" t="s">
        <v>528</v>
      </c>
      <c r="Z54" s="109" t="s">
        <v>529</v>
      </c>
      <c r="AA54" s="109" t="s">
        <v>530</v>
      </c>
      <c r="AB54" s="109" t="s">
        <v>531</v>
      </c>
      <c r="AC54" s="109" t="s">
        <v>532</v>
      </c>
      <c r="AD54" s="109" t="s">
        <v>533</v>
      </c>
      <c r="AE54" s="109" t="s">
        <v>534</v>
      </c>
      <c r="AF54" s="127"/>
    </row>
    <row r="55" spans="1:32" ht="16.5" thickBot="1" x14ac:dyDescent="0.3">
      <c r="A55" s="1">
        <v>43625</v>
      </c>
      <c r="B55" s="56" t="s">
        <v>1235</v>
      </c>
      <c r="C55" s="57" t="s">
        <v>138</v>
      </c>
      <c r="F55" s="1">
        <v>43605</v>
      </c>
      <c r="G55" s="1">
        <v>43632</v>
      </c>
      <c r="H55" t="s">
        <v>73</v>
      </c>
      <c r="I55" t="s">
        <v>146</v>
      </c>
      <c r="J55" t="s">
        <v>143</v>
      </c>
      <c r="L55" t="s">
        <v>1269</v>
      </c>
      <c r="M55" s="17" t="str">
        <f t="shared" si="1"/>
        <v>nextPerStart</v>
      </c>
      <c r="N55" s="133" t="str">
        <f t="shared" si="2"/>
        <v>P</v>
      </c>
      <c r="O55" s="140">
        <f t="shared" si="3"/>
        <v>7</v>
      </c>
      <c r="P55" s="141" t="str">
        <f t="shared" si="4"/>
        <v>Jun 17 2019</v>
      </c>
      <c r="Q55" s="144" t="str">
        <f t="shared" si="0"/>
        <v>6/17/2019</v>
      </c>
      <c r="R55" s="147" t="str">
        <f t="shared" si="5"/>
        <v>Jun 17 2019</v>
      </c>
      <c r="S55" s="109" t="s">
        <v>1205</v>
      </c>
      <c r="T55" s="109" t="s">
        <v>1206</v>
      </c>
      <c r="U55" s="109" t="s">
        <v>1207</v>
      </c>
      <c r="V55" s="109" t="s">
        <v>1208</v>
      </c>
      <c r="W55" s="109" t="s">
        <v>1209</v>
      </c>
      <c r="X55" s="109" t="s">
        <v>1210</v>
      </c>
      <c r="Y55" s="109" t="s">
        <v>1211</v>
      </c>
      <c r="Z55" s="109" t="s">
        <v>1212</v>
      </c>
      <c r="AA55" s="109" t="s">
        <v>1213</v>
      </c>
      <c r="AB55" s="109" t="s">
        <v>1214</v>
      </c>
      <c r="AC55" s="109" t="s">
        <v>1215</v>
      </c>
      <c r="AD55" s="109" t="s">
        <v>1216</v>
      </c>
      <c r="AE55" s="109" t="s">
        <v>1217</v>
      </c>
      <c r="AF55" s="127"/>
    </row>
    <row r="56" spans="1:32" ht="16.5" thickBot="1" x14ac:dyDescent="0.3">
      <c r="A56" s="1">
        <v>45519</v>
      </c>
      <c r="B56" s="56" t="s">
        <v>1235</v>
      </c>
      <c r="C56" s="57" t="s">
        <v>138</v>
      </c>
      <c r="F56" s="1">
        <v>45516</v>
      </c>
      <c r="G56" s="1">
        <v>45543</v>
      </c>
      <c r="H56" t="s">
        <v>56</v>
      </c>
      <c r="I56" t="s">
        <v>141</v>
      </c>
      <c r="J56" t="s">
        <v>54</v>
      </c>
      <c r="L56" t="s">
        <v>1270</v>
      </c>
      <c r="M56" s="17" t="str">
        <f t="shared" si="1"/>
        <v>nextPerStart</v>
      </c>
      <c r="N56" s="133" t="str">
        <f t="shared" si="2"/>
        <v>P</v>
      </c>
      <c r="O56" s="140">
        <f t="shared" si="3"/>
        <v>10</v>
      </c>
      <c r="P56" s="141" t="str">
        <f t="shared" si="4"/>
        <v>Sep  9 2024</v>
      </c>
      <c r="Q56" s="144" t="str">
        <f t="shared" si="0"/>
        <v>9/ 9/2024</v>
      </c>
      <c r="R56" s="147" t="str">
        <f t="shared" si="5"/>
        <v>Sep  9 2024</v>
      </c>
      <c r="S56" s="109" t="s">
        <v>392</v>
      </c>
      <c r="T56" s="109" t="s">
        <v>393</v>
      </c>
      <c r="U56" s="109" t="s">
        <v>394</v>
      </c>
      <c r="V56" s="109" t="s">
        <v>395</v>
      </c>
      <c r="W56" s="109" t="s">
        <v>396</v>
      </c>
      <c r="X56" s="109" t="s">
        <v>397</v>
      </c>
      <c r="Y56" s="109" t="s">
        <v>398</v>
      </c>
      <c r="Z56" s="109" t="s">
        <v>399</v>
      </c>
      <c r="AA56" s="109" t="s">
        <v>400</v>
      </c>
      <c r="AB56" s="109" t="s">
        <v>401</v>
      </c>
      <c r="AC56" s="109" t="s">
        <v>402</v>
      </c>
      <c r="AD56" s="109" t="s">
        <v>403</v>
      </c>
      <c r="AE56" s="109" t="s">
        <v>404</v>
      </c>
      <c r="AF56" s="127"/>
    </row>
    <row r="57" spans="1:32" ht="16.5" thickBot="1" x14ac:dyDescent="0.3">
      <c r="A57" s="1">
        <v>40723</v>
      </c>
      <c r="B57" s="56" t="s">
        <v>1235</v>
      </c>
      <c r="C57" s="57" t="s">
        <v>138</v>
      </c>
      <c r="F57" s="1">
        <v>40707</v>
      </c>
      <c r="G57" s="1">
        <v>40734</v>
      </c>
      <c r="H57" t="s">
        <v>91</v>
      </c>
      <c r="I57" t="s">
        <v>151</v>
      </c>
      <c r="J57" t="s">
        <v>143</v>
      </c>
      <c r="L57" t="s">
        <v>606</v>
      </c>
      <c r="M57" s="17" t="str">
        <f t="shared" si="1"/>
        <v>nextPerStart</v>
      </c>
      <c r="N57" s="133" t="str">
        <f t="shared" si="2"/>
        <v>P</v>
      </c>
      <c r="O57" s="140">
        <f t="shared" si="3"/>
        <v>8</v>
      </c>
      <c r="P57" s="141" t="str">
        <f t="shared" si="4"/>
        <v>Jul 11 2011</v>
      </c>
      <c r="Q57" s="144" t="str">
        <f t="shared" si="0"/>
        <v>7/11/2011</v>
      </c>
      <c r="R57" s="147" t="str">
        <f t="shared" si="5"/>
        <v>Jul 11 2011</v>
      </c>
      <c r="S57" s="109" t="s">
        <v>340</v>
      </c>
      <c r="T57" s="109" t="s">
        <v>341</v>
      </c>
      <c r="U57" s="109" t="s">
        <v>342</v>
      </c>
      <c r="V57" s="109" t="s">
        <v>343</v>
      </c>
      <c r="W57" s="109" t="s">
        <v>344</v>
      </c>
      <c r="X57" s="109" t="s">
        <v>345</v>
      </c>
      <c r="Y57" s="109" t="s">
        <v>346</v>
      </c>
      <c r="Z57" s="109" t="s">
        <v>347</v>
      </c>
      <c r="AA57" s="109" t="s">
        <v>348</v>
      </c>
      <c r="AB57" s="109" t="s">
        <v>349</v>
      </c>
      <c r="AC57" s="109" t="s">
        <v>350</v>
      </c>
      <c r="AD57" s="109" t="s">
        <v>351</v>
      </c>
      <c r="AE57" s="109" t="s">
        <v>352</v>
      </c>
      <c r="AF57" s="127"/>
    </row>
    <row r="58" spans="1:32" ht="16.5" thickBot="1" x14ac:dyDescent="0.3">
      <c r="A58" s="1">
        <v>45202</v>
      </c>
      <c r="B58" s="3" t="s">
        <v>1236</v>
      </c>
      <c r="C58" s="57" t="s">
        <v>138</v>
      </c>
      <c r="F58" s="1">
        <v>45201</v>
      </c>
      <c r="G58" s="1">
        <v>45228</v>
      </c>
      <c r="H58" t="s">
        <v>96</v>
      </c>
      <c r="I58" t="s">
        <v>150</v>
      </c>
      <c r="J58" t="s">
        <v>12</v>
      </c>
      <c r="L58" t="s">
        <v>1271</v>
      </c>
      <c r="M58" s="17" t="str">
        <f t="shared" si="1"/>
        <v>nextPerEnd</v>
      </c>
      <c r="N58" s="133" t="s">
        <v>1280</v>
      </c>
      <c r="O58" s="140">
        <f t="shared" si="3"/>
        <v>13</v>
      </c>
      <c r="P58" s="141" t="str">
        <f t="shared" si="4"/>
        <v>Nov 27 2023</v>
      </c>
      <c r="Q58" s="144" t="str">
        <f t="shared" si="0"/>
        <v>11/27/2023</v>
      </c>
      <c r="R58" s="147">
        <f t="shared" si="5"/>
        <v>45256</v>
      </c>
      <c r="S58" s="109" t="s">
        <v>561</v>
      </c>
      <c r="T58" s="109" t="s">
        <v>562</v>
      </c>
      <c r="U58" s="109" t="s">
        <v>563</v>
      </c>
      <c r="V58" s="109" t="s">
        <v>564</v>
      </c>
      <c r="W58" s="109" t="s">
        <v>565</v>
      </c>
      <c r="X58" s="109" t="s">
        <v>566</v>
      </c>
      <c r="Y58" s="109" t="s">
        <v>567</v>
      </c>
      <c r="Z58" s="109" t="s">
        <v>568</v>
      </c>
      <c r="AA58" s="109" t="s">
        <v>569</v>
      </c>
      <c r="AB58" s="109" t="s">
        <v>570</v>
      </c>
      <c r="AC58" s="109" t="s">
        <v>571</v>
      </c>
      <c r="AD58" s="109" t="s">
        <v>572</v>
      </c>
      <c r="AE58" s="109" t="s">
        <v>573</v>
      </c>
      <c r="AF58" s="127"/>
    </row>
    <row r="59" spans="1:32" ht="16.5" thickBot="1" x14ac:dyDescent="0.3">
      <c r="A59" s="1">
        <v>37233</v>
      </c>
      <c r="B59" s="3" t="s">
        <v>1236</v>
      </c>
      <c r="C59" s="57" t="s">
        <v>138</v>
      </c>
      <c r="F59" s="1">
        <v>37228</v>
      </c>
      <c r="G59" s="1">
        <v>37255</v>
      </c>
      <c r="H59" t="s">
        <v>77</v>
      </c>
      <c r="I59" t="s">
        <v>14</v>
      </c>
      <c r="J59" t="s">
        <v>12</v>
      </c>
      <c r="L59" t="s">
        <v>1243</v>
      </c>
      <c r="M59" s="17" t="str">
        <f t="shared" si="1"/>
        <v>nextPerEnd</v>
      </c>
      <c r="N59" s="133" t="s">
        <v>1280</v>
      </c>
      <c r="O59" s="140">
        <f t="shared" si="3"/>
        <v>1</v>
      </c>
      <c r="P59" s="141" t="str">
        <f t="shared" si="4"/>
        <v>Next Year</v>
      </c>
      <c r="Q59" s="144" t="str">
        <f t="shared" si="0"/>
        <v>Next Year/ Y/ar</v>
      </c>
      <c r="R59" s="147" t="e">
        <f t="shared" si="5"/>
        <v>#VALUE!</v>
      </c>
      <c r="S59" s="109" t="s">
        <v>496</v>
      </c>
      <c r="T59" s="109" t="s">
        <v>497</v>
      </c>
      <c r="U59" s="109" t="s">
        <v>498</v>
      </c>
      <c r="V59" s="109" t="s">
        <v>499</v>
      </c>
      <c r="W59" s="109" t="s">
        <v>500</v>
      </c>
      <c r="X59" s="109" t="s">
        <v>501</v>
      </c>
      <c r="Y59" s="109" t="s">
        <v>502</v>
      </c>
      <c r="Z59" s="109" t="s">
        <v>503</v>
      </c>
      <c r="AA59" s="109" t="s">
        <v>504</v>
      </c>
      <c r="AB59" s="109" t="s">
        <v>505</v>
      </c>
      <c r="AC59" s="109" t="s">
        <v>506</v>
      </c>
      <c r="AD59" s="109" t="s">
        <v>507</v>
      </c>
      <c r="AE59" s="109" t="s">
        <v>508</v>
      </c>
      <c r="AF59" s="127"/>
    </row>
    <row r="60" spans="1:32" ht="16.5" thickBot="1" x14ac:dyDescent="0.3">
      <c r="A60" s="1">
        <v>47240</v>
      </c>
      <c r="B60" s="3" t="s">
        <v>1236</v>
      </c>
      <c r="C60" s="57" t="s">
        <v>138</v>
      </c>
      <c r="F60" s="1">
        <v>47231</v>
      </c>
      <c r="G60" s="1">
        <v>47258</v>
      </c>
      <c r="H60" t="s">
        <v>105</v>
      </c>
      <c r="I60" t="s">
        <v>142</v>
      </c>
      <c r="J60" t="s">
        <v>143</v>
      </c>
      <c r="L60" t="s">
        <v>1272</v>
      </c>
      <c r="M60" s="17" t="str">
        <f t="shared" si="1"/>
        <v>nextPerEnd</v>
      </c>
      <c r="N60" s="133" t="s">
        <v>1280</v>
      </c>
      <c r="O60" s="140">
        <f t="shared" si="3"/>
        <v>7</v>
      </c>
      <c r="P60" s="141" t="str">
        <f t="shared" si="4"/>
        <v>Jun 18 2029</v>
      </c>
      <c r="Q60" s="144" t="str">
        <f t="shared" si="0"/>
        <v>6/18/2029</v>
      </c>
      <c r="R60" s="147">
        <f t="shared" si="5"/>
        <v>47286</v>
      </c>
      <c r="S60" s="109" t="s">
        <v>483</v>
      </c>
      <c r="T60" s="109" t="s">
        <v>484</v>
      </c>
      <c r="U60" s="109" t="s">
        <v>485</v>
      </c>
      <c r="V60" s="109" t="s">
        <v>486</v>
      </c>
      <c r="W60" s="109" t="s">
        <v>487</v>
      </c>
      <c r="X60" s="109" t="s">
        <v>488</v>
      </c>
      <c r="Y60" s="109" t="s">
        <v>489</v>
      </c>
      <c r="Z60" s="109" t="s">
        <v>490</v>
      </c>
      <c r="AA60" s="109" t="s">
        <v>491</v>
      </c>
      <c r="AB60" s="109" t="s">
        <v>492</v>
      </c>
      <c r="AC60" s="109" t="s">
        <v>493</v>
      </c>
      <c r="AD60" s="109" t="s">
        <v>494</v>
      </c>
      <c r="AE60" s="109" t="s">
        <v>495</v>
      </c>
      <c r="AF60" s="127"/>
    </row>
    <row r="61" spans="1:32" ht="16.5" thickBot="1" x14ac:dyDescent="0.3">
      <c r="A61" s="1">
        <v>39924</v>
      </c>
      <c r="B61" s="3" t="s">
        <v>1236</v>
      </c>
      <c r="C61" s="57" t="s">
        <v>138</v>
      </c>
      <c r="F61" s="1">
        <v>39923</v>
      </c>
      <c r="G61" s="1">
        <v>39950</v>
      </c>
      <c r="H61" t="s">
        <v>89</v>
      </c>
      <c r="I61" t="s">
        <v>142</v>
      </c>
      <c r="J61" t="s">
        <v>143</v>
      </c>
      <c r="L61" t="s">
        <v>1273</v>
      </c>
      <c r="M61" s="17" t="str">
        <f t="shared" si="1"/>
        <v>nextPerEnd</v>
      </c>
      <c r="N61" s="133" t="s">
        <v>1280</v>
      </c>
      <c r="O61" s="140">
        <f t="shared" si="3"/>
        <v>7</v>
      </c>
      <c r="P61" s="141" t="str">
        <f t="shared" si="4"/>
        <v>Jun 15 2009</v>
      </c>
      <c r="Q61" s="144" t="str">
        <f t="shared" si="0"/>
        <v>6/15/2009</v>
      </c>
      <c r="R61" s="147">
        <f t="shared" si="5"/>
        <v>39978</v>
      </c>
      <c r="S61" s="109" t="s">
        <v>457</v>
      </c>
      <c r="T61" s="109" t="s">
        <v>458</v>
      </c>
      <c r="U61" s="109" t="s">
        <v>459</v>
      </c>
      <c r="V61" s="109" t="s">
        <v>460</v>
      </c>
      <c r="W61" s="109" t="s">
        <v>461</v>
      </c>
      <c r="X61" s="109" t="s">
        <v>462</v>
      </c>
      <c r="Y61" s="109" t="s">
        <v>463</v>
      </c>
      <c r="Z61" s="109" t="s">
        <v>464</v>
      </c>
      <c r="AA61" s="109" t="s">
        <v>465</v>
      </c>
      <c r="AB61" s="109" t="s">
        <v>466</v>
      </c>
      <c r="AC61" s="109" t="s">
        <v>467</v>
      </c>
      <c r="AD61" s="109" t="s">
        <v>468</v>
      </c>
      <c r="AE61" s="109" t="s">
        <v>469</v>
      </c>
      <c r="AF61" s="127"/>
    </row>
    <row r="62" spans="1:32" ht="16.5" thickBot="1" x14ac:dyDescent="0.3">
      <c r="A62" s="1">
        <v>43453</v>
      </c>
      <c r="B62" s="3" t="s">
        <v>1236</v>
      </c>
      <c r="C62" s="57" t="s">
        <v>138</v>
      </c>
      <c r="F62" s="1">
        <v>43437</v>
      </c>
      <c r="G62" s="1">
        <v>43464</v>
      </c>
      <c r="H62" t="s">
        <v>72</v>
      </c>
      <c r="I62" t="s">
        <v>14</v>
      </c>
      <c r="J62" t="s">
        <v>12</v>
      </c>
      <c r="L62" t="s">
        <v>1274</v>
      </c>
      <c r="M62" s="17" t="str">
        <f t="shared" si="1"/>
        <v>nextPerEnd</v>
      </c>
      <c r="N62" s="133" t="s">
        <v>1280</v>
      </c>
      <c r="O62" s="140">
        <f t="shared" si="3"/>
        <v>1</v>
      </c>
      <c r="P62" s="141" t="str">
        <f t="shared" si="4"/>
        <v>Next Year</v>
      </c>
      <c r="Q62" s="144" t="str">
        <f t="shared" si="0"/>
        <v>Next Year/ Y/ar</v>
      </c>
      <c r="R62" s="147" t="e">
        <f t="shared" si="5"/>
        <v>#VALUE!</v>
      </c>
      <c r="S62" s="109" t="s">
        <v>327</v>
      </c>
      <c r="T62" s="109" t="s">
        <v>328</v>
      </c>
      <c r="U62" s="109" t="s">
        <v>329</v>
      </c>
      <c r="V62" s="109" t="s">
        <v>330</v>
      </c>
      <c r="W62" s="109" t="s">
        <v>331</v>
      </c>
      <c r="X62" s="109" t="s">
        <v>332</v>
      </c>
      <c r="Y62" s="109" t="s">
        <v>333</v>
      </c>
      <c r="Z62" s="109" t="s">
        <v>334</v>
      </c>
      <c r="AA62" s="109" t="s">
        <v>335</v>
      </c>
      <c r="AB62" s="109" t="s">
        <v>336</v>
      </c>
      <c r="AC62" s="109" t="s">
        <v>337</v>
      </c>
      <c r="AD62" s="109" t="s">
        <v>338</v>
      </c>
      <c r="AE62" s="109" t="s">
        <v>339</v>
      </c>
      <c r="AF62" s="127"/>
    </row>
    <row r="63" spans="1:32" ht="16.5" thickBot="1" x14ac:dyDescent="0.3">
      <c r="A63" s="1">
        <v>44294</v>
      </c>
      <c r="B63" s="3" t="s">
        <v>1236</v>
      </c>
      <c r="C63" s="57" t="s">
        <v>138</v>
      </c>
      <c r="F63" s="1">
        <v>44277</v>
      </c>
      <c r="G63" s="1">
        <v>44304</v>
      </c>
      <c r="H63" t="s">
        <v>74</v>
      </c>
      <c r="I63" t="s">
        <v>12</v>
      </c>
      <c r="J63" t="s">
        <v>17</v>
      </c>
      <c r="L63" t="s">
        <v>1275</v>
      </c>
      <c r="M63" s="17" t="str">
        <f t="shared" si="1"/>
        <v>nextPerEnd</v>
      </c>
      <c r="N63" s="133" t="s">
        <v>1280</v>
      </c>
      <c r="O63" s="140">
        <f t="shared" si="3"/>
        <v>6</v>
      </c>
      <c r="P63" s="141" t="str">
        <f t="shared" si="4"/>
        <v>May 17 2021</v>
      </c>
      <c r="Q63" s="144" t="str">
        <f t="shared" si="0"/>
        <v>5/17/2021</v>
      </c>
      <c r="R63" s="147">
        <f t="shared" si="5"/>
        <v>44332</v>
      </c>
      <c r="S63" s="109" t="s">
        <v>1218</v>
      </c>
      <c r="T63" s="109" t="s">
        <v>1219</v>
      </c>
      <c r="U63" s="109" t="s">
        <v>1220</v>
      </c>
      <c r="V63" s="109" t="s">
        <v>1221</v>
      </c>
      <c r="W63" s="109" t="s">
        <v>1222</v>
      </c>
      <c r="X63" s="109" t="s">
        <v>1223</v>
      </c>
      <c r="Y63" s="109" t="s">
        <v>1224</v>
      </c>
      <c r="Z63" s="109" t="s">
        <v>1225</v>
      </c>
      <c r="AA63" s="109" t="s">
        <v>1226</v>
      </c>
      <c r="AB63" s="109" t="s">
        <v>1227</v>
      </c>
      <c r="AC63" s="109" t="s">
        <v>1228</v>
      </c>
      <c r="AD63" s="109" t="s">
        <v>1229</v>
      </c>
      <c r="AE63" s="109" t="s">
        <v>1230</v>
      </c>
      <c r="AF63" s="127"/>
    </row>
    <row r="64" spans="1:32" ht="16.5" thickBot="1" x14ac:dyDescent="0.3">
      <c r="A64" s="1">
        <v>45370</v>
      </c>
      <c r="B64" s="3" t="s">
        <v>1236</v>
      </c>
      <c r="C64" s="57" t="s">
        <v>138</v>
      </c>
      <c r="F64" s="1">
        <v>45348</v>
      </c>
      <c r="G64" s="1">
        <v>45375</v>
      </c>
      <c r="H64" t="s">
        <v>56</v>
      </c>
      <c r="I64" t="s">
        <v>54</v>
      </c>
      <c r="J64" t="s">
        <v>17</v>
      </c>
      <c r="L64" t="s">
        <v>1276</v>
      </c>
      <c r="M64" s="17" t="str">
        <f t="shared" si="1"/>
        <v>nextPerEnd</v>
      </c>
      <c r="N64" s="133" t="s">
        <v>1280</v>
      </c>
      <c r="O64" s="140">
        <f t="shared" si="3"/>
        <v>5</v>
      </c>
      <c r="P64" s="141" t="str">
        <f t="shared" si="4"/>
        <v>Apr 22 2024</v>
      </c>
      <c r="Q64" s="144" t="str">
        <f t="shared" si="0"/>
        <v>4/22/2024</v>
      </c>
      <c r="R64" s="147">
        <f t="shared" si="5"/>
        <v>45403</v>
      </c>
      <c r="S64" s="109" t="s">
        <v>392</v>
      </c>
      <c r="T64" s="109" t="s">
        <v>393</v>
      </c>
      <c r="U64" s="109" t="s">
        <v>394</v>
      </c>
      <c r="V64" s="109" t="s">
        <v>395</v>
      </c>
      <c r="W64" s="109" t="s">
        <v>396</v>
      </c>
      <c r="X64" s="109" t="s">
        <v>397</v>
      </c>
      <c r="Y64" s="109" t="s">
        <v>398</v>
      </c>
      <c r="Z64" s="109" t="s">
        <v>399</v>
      </c>
      <c r="AA64" s="109" t="s">
        <v>400</v>
      </c>
      <c r="AB64" s="109" t="s">
        <v>401</v>
      </c>
      <c r="AC64" s="109" t="s">
        <v>402</v>
      </c>
      <c r="AD64" s="109" t="s">
        <v>403</v>
      </c>
      <c r="AE64" s="109" t="s">
        <v>404</v>
      </c>
      <c r="AF64" s="127"/>
    </row>
    <row r="65" spans="1:32" ht="15.75" x14ac:dyDescent="0.25">
      <c r="A65" s="1">
        <v>40292</v>
      </c>
      <c r="B65" s="3" t="s">
        <v>1236</v>
      </c>
      <c r="C65" s="57" t="s">
        <v>138</v>
      </c>
      <c r="F65" s="1">
        <v>40287</v>
      </c>
      <c r="G65" s="1">
        <v>40314</v>
      </c>
      <c r="H65" t="s">
        <v>90</v>
      </c>
      <c r="I65" t="s">
        <v>142</v>
      </c>
      <c r="J65" t="s">
        <v>143</v>
      </c>
      <c r="L65" t="s">
        <v>1277</v>
      </c>
      <c r="M65" s="17" t="str">
        <f t="shared" si="1"/>
        <v>nextPerEnd</v>
      </c>
      <c r="N65" s="133" t="s">
        <v>1280</v>
      </c>
      <c r="O65" s="140">
        <f t="shared" si="3"/>
        <v>7</v>
      </c>
      <c r="P65" s="141" t="str">
        <f t="shared" si="4"/>
        <v>Jun 14 2010</v>
      </c>
      <c r="Q65" s="144" t="str">
        <f t="shared" si="0"/>
        <v>6/14/2010</v>
      </c>
      <c r="R65" s="147">
        <f t="shared" si="5"/>
        <v>40342</v>
      </c>
      <c r="S65" s="109" t="s">
        <v>509</v>
      </c>
      <c r="T65" s="109" t="s">
        <v>510</v>
      </c>
      <c r="U65" s="109" t="s">
        <v>511</v>
      </c>
      <c r="V65" s="109" t="s">
        <v>512</v>
      </c>
      <c r="W65" s="109" t="s">
        <v>513</v>
      </c>
      <c r="X65" s="109" t="s">
        <v>514</v>
      </c>
      <c r="Y65" s="109" t="s">
        <v>515</v>
      </c>
      <c r="Z65" s="109" t="s">
        <v>516</v>
      </c>
      <c r="AA65" s="109" t="s">
        <v>517</v>
      </c>
      <c r="AB65" s="109" t="s">
        <v>518</v>
      </c>
      <c r="AC65" s="109" t="s">
        <v>519</v>
      </c>
      <c r="AD65" s="109" t="s">
        <v>520</v>
      </c>
      <c r="AE65" s="109" t="s">
        <v>521</v>
      </c>
      <c r="AF65" s="127"/>
    </row>
    <row r="66" spans="1:32" ht="15.75" x14ac:dyDescent="0.25">
      <c r="A66" s="1"/>
      <c r="B66" s="3"/>
      <c r="F66" s="1"/>
      <c r="G66" s="1"/>
      <c r="L66" s="95"/>
      <c r="M66" s="92"/>
      <c r="N66" s="96"/>
      <c r="O66" s="94"/>
    </row>
    <row r="67" spans="1:32" ht="15.75" x14ac:dyDescent="0.25">
      <c r="A67" s="1"/>
      <c r="B67" s="3"/>
      <c r="F67" s="1"/>
      <c r="G67" s="1"/>
      <c r="L67" s="95"/>
      <c r="M67" s="92"/>
      <c r="N67" s="96"/>
      <c r="O67" s="94"/>
    </row>
    <row r="68" spans="1:32" ht="15.75" x14ac:dyDescent="0.25">
      <c r="A68" s="1"/>
      <c r="B68" s="3"/>
      <c r="F68" s="1"/>
      <c r="G68" s="1"/>
      <c r="L68" s="95"/>
      <c r="M68" s="92"/>
      <c r="N68" s="96"/>
      <c r="O68" s="94"/>
    </row>
    <row r="69" spans="1:32" ht="15.75" x14ac:dyDescent="0.25">
      <c r="A69" s="1"/>
      <c r="B69" s="3"/>
      <c r="F69" s="1"/>
      <c r="G69" s="1"/>
      <c r="L69" s="95"/>
      <c r="M69" s="92"/>
      <c r="N69" s="96"/>
      <c r="O69" s="94"/>
    </row>
    <row r="70" spans="1:32" ht="15.75" x14ac:dyDescent="0.25">
      <c r="A70" s="1"/>
      <c r="B70" s="3"/>
      <c r="F70" s="1"/>
      <c r="G70" s="1"/>
      <c r="L70" s="95"/>
      <c r="M70" s="92"/>
      <c r="N70" s="96"/>
      <c r="O70" s="94"/>
    </row>
    <row r="71" spans="1:32" ht="15.75" x14ac:dyDescent="0.25">
      <c r="A71" s="1"/>
      <c r="B71" s="3"/>
      <c r="F71" s="1"/>
      <c r="G71" s="1"/>
      <c r="L71" s="95"/>
      <c r="M71" s="92"/>
      <c r="N71" s="96"/>
      <c r="O71" s="94"/>
    </row>
    <row r="72" spans="1:32" ht="15.75" x14ac:dyDescent="0.25">
      <c r="A72" s="1"/>
      <c r="B72" s="3"/>
      <c r="F72" s="1"/>
      <c r="G72" s="1"/>
      <c r="L72" s="95"/>
      <c r="M72" s="92"/>
      <c r="N72" s="96"/>
      <c r="O72" s="94"/>
    </row>
    <row r="73" spans="1:32" ht="15.75" x14ac:dyDescent="0.25">
      <c r="A73" s="1"/>
      <c r="B73" s="3"/>
      <c r="F73" s="1"/>
      <c r="G73" s="1"/>
      <c r="L73" s="95"/>
      <c r="M73" s="92"/>
      <c r="N73" s="96"/>
      <c r="O73" s="94"/>
    </row>
    <row r="74" spans="1:32" ht="15.75" x14ac:dyDescent="0.25">
      <c r="A74" s="1"/>
      <c r="B74" s="3"/>
      <c r="F74" s="1"/>
      <c r="G74" s="1"/>
      <c r="L74" s="95"/>
      <c r="M74" s="92"/>
      <c r="N74" s="96"/>
      <c r="O74" s="94"/>
    </row>
    <row r="75" spans="1:32" ht="15.75" x14ac:dyDescent="0.25">
      <c r="A75" s="1"/>
      <c r="B75" s="3"/>
      <c r="F75" s="1"/>
      <c r="G75" s="1"/>
      <c r="L75" s="95"/>
      <c r="M75" s="92"/>
      <c r="N75" s="96"/>
      <c r="O75" s="94"/>
    </row>
    <row r="76" spans="1:32" ht="15.75" x14ac:dyDescent="0.25">
      <c r="A76" s="1"/>
      <c r="B76" s="3"/>
      <c r="F76" s="1"/>
      <c r="G76" s="1"/>
      <c r="L76" s="95"/>
      <c r="M76" s="92"/>
      <c r="N76" s="96"/>
      <c r="O76" s="94"/>
    </row>
    <row r="77" spans="1:32" ht="15.75" x14ac:dyDescent="0.25">
      <c r="A77" s="1"/>
      <c r="B77" s="3"/>
      <c r="F77" s="1"/>
      <c r="G77" s="1"/>
      <c r="L77" s="95"/>
      <c r="M77" s="92"/>
      <c r="N77" s="96"/>
      <c r="O77" s="94"/>
    </row>
    <row r="78" spans="1:32" ht="15.75" x14ac:dyDescent="0.25">
      <c r="A78" s="1"/>
      <c r="B78" s="3"/>
      <c r="F78" s="1"/>
      <c r="G78" s="1"/>
      <c r="L78" s="95"/>
      <c r="M78" s="92"/>
      <c r="N78" s="96"/>
      <c r="O78" s="94"/>
    </row>
    <row r="79" spans="1:32" ht="15.75" x14ac:dyDescent="0.25">
      <c r="A79" s="1"/>
      <c r="B79" s="3"/>
      <c r="F79" s="1"/>
      <c r="G79" s="1"/>
      <c r="L79" s="95"/>
      <c r="M79" s="92"/>
      <c r="N79" s="96"/>
      <c r="O79" s="94"/>
    </row>
    <row r="80" spans="1:32" ht="15.75" x14ac:dyDescent="0.25">
      <c r="A80" s="1"/>
      <c r="B80" s="3"/>
      <c r="F80" s="1"/>
      <c r="G80" s="1"/>
      <c r="L80" s="95"/>
      <c r="M80" s="92"/>
      <c r="N80" s="96"/>
      <c r="O80" s="94"/>
    </row>
    <row r="81" spans="1:15" ht="15.75" x14ac:dyDescent="0.25">
      <c r="A81" s="1"/>
      <c r="B81" s="3"/>
      <c r="F81" s="1"/>
      <c r="G81" s="1"/>
      <c r="L81" s="95"/>
      <c r="M81" s="92"/>
      <c r="N81" s="96"/>
      <c r="O81" s="94"/>
    </row>
    <row r="82" spans="1:15" ht="15.75" x14ac:dyDescent="0.25">
      <c r="A82" s="1"/>
      <c r="B82" s="3"/>
      <c r="F82" s="1"/>
      <c r="G82" s="1"/>
      <c r="L82" s="95"/>
      <c r="M82" s="92"/>
      <c r="N82" s="96"/>
      <c r="O82" s="94"/>
    </row>
    <row r="83" spans="1:15" ht="15.75" x14ac:dyDescent="0.25">
      <c r="A83" s="1"/>
      <c r="B83" s="3"/>
      <c r="F83" s="1"/>
      <c r="G83" s="1"/>
      <c r="L83" s="95"/>
      <c r="M83" s="92"/>
      <c r="N83" s="96"/>
      <c r="O83" s="94"/>
    </row>
    <row r="84" spans="1:15" ht="15.75" x14ac:dyDescent="0.25">
      <c r="A84" s="1"/>
      <c r="B84" s="3"/>
      <c r="F84" s="1"/>
      <c r="G84" s="1"/>
      <c r="L84" s="95"/>
      <c r="M84" s="92"/>
      <c r="N84" s="96"/>
      <c r="O84" s="94"/>
    </row>
    <row r="85" spans="1:15" ht="15.75" x14ac:dyDescent="0.25">
      <c r="A85" s="1"/>
      <c r="B85" s="3"/>
      <c r="F85" s="1"/>
      <c r="G85" s="1"/>
      <c r="L85" s="95"/>
      <c r="M85" s="92"/>
      <c r="N85" s="96"/>
      <c r="O85" s="94"/>
    </row>
    <row r="86" spans="1:15" ht="15.75" x14ac:dyDescent="0.25">
      <c r="A86" s="1"/>
      <c r="B86" s="3"/>
      <c r="F86" s="1"/>
      <c r="G86" s="1"/>
      <c r="L86" s="95"/>
      <c r="M86" s="92"/>
      <c r="N86" s="96"/>
      <c r="O86" s="94"/>
    </row>
    <row r="87" spans="1:15" ht="15.75" x14ac:dyDescent="0.25">
      <c r="A87" s="1"/>
      <c r="B87" s="3"/>
      <c r="F87" s="1"/>
      <c r="G87" s="1"/>
      <c r="L87" s="95"/>
      <c r="M87" s="92"/>
      <c r="N87" s="96"/>
      <c r="O87" s="94"/>
    </row>
    <row r="88" spans="1:15" ht="15.75" x14ac:dyDescent="0.25">
      <c r="A88" s="1"/>
      <c r="B88" s="3"/>
      <c r="F88" s="1"/>
      <c r="G88" s="1"/>
      <c r="L88" s="95"/>
      <c r="M88" s="92"/>
      <c r="N88" s="96"/>
      <c r="O88" s="94"/>
    </row>
    <row r="89" spans="1:15" ht="15.75" x14ac:dyDescent="0.25">
      <c r="A89" s="1"/>
      <c r="B89" s="3"/>
      <c r="F89" s="1"/>
      <c r="G89" s="1"/>
      <c r="L89" s="95"/>
      <c r="M89" s="92"/>
      <c r="N89" s="96"/>
      <c r="O89" s="94"/>
    </row>
    <row r="90" spans="1:15" ht="15.75" x14ac:dyDescent="0.25">
      <c r="A90" s="1"/>
      <c r="B90" s="3"/>
      <c r="F90" s="1"/>
      <c r="G90" s="1"/>
      <c r="L90" s="95"/>
      <c r="M90" s="92"/>
      <c r="N90" s="96"/>
      <c r="O90" s="94"/>
    </row>
    <row r="91" spans="1:15" ht="15.75" x14ac:dyDescent="0.25">
      <c r="A91" s="1"/>
      <c r="B91" s="3"/>
      <c r="F91" s="1"/>
      <c r="G91" s="1"/>
      <c r="L91" s="95"/>
      <c r="M91" s="92"/>
      <c r="N91" s="96"/>
      <c r="O91" s="94"/>
    </row>
    <row r="92" spans="1:15" ht="15.75" x14ac:dyDescent="0.25">
      <c r="A92" s="1"/>
      <c r="B92" s="3"/>
      <c r="F92" s="1"/>
      <c r="G92" s="1"/>
      <c r="L92" s="95"/>
      <c r="M92" s="92"/>
      <c r="N92" s="96"/>
      <c r="O92" s="94"/>
    </row>
    <row r="93" spans="1:15" ht="15.75" x14ac:dyDescent="0.25">
      <c r="A93" s="1"/>
      <c r="B93" s="3"/>
      <c r="F93" s="1"/>
      <c r="G93" s="1"/>
      <c r="L93" s="95"/>
      <c r="M93" s="92"/>
      <c r="N93" s="96"/>
      <c r="O93" s="94"/>
    </row>
    <row r="94" spans="1:15" ht="15.75" x14ac:dyDescent="0.25">
      <c r="A94" s="1"/>
      <c r="B94" s="3"/>
      <c r="F94" s="1"/>
      <c r="G94" s="1"/>
      <c r="L94" s="95"/>
      <c r="M94" s="92"/>
      <c r="N94" s="96"/>
      <c r="O94" s="94"/>
    </row>
    <row r="95" spans="1:15" ht="15.75" x14ac:dyDescent="0.25">
      <c r="A95" s="1"/>
      <c r="B95" s="3"/>
      <c r="F95" s="1"/>
      <c r="G95" s="1"/>
      <c r="L95" s="95"/>
      <c r="M95" s="92"/>
      <c r="N95" s="96"/>
      <c r="O95" s="94"/>
    </row>
    <row r="96" spans="1:15" ht="15.75" x14ac:dyDescent="0.25">
      <c r="A96" s="1"/>
      <c r="B96" s="3"/>
      <c r="F96" s="1"/>
      <c r="G96" s="1"/>
      <c r="L96" s="95"/>
      <c r="M96" s="92"/>
      <c r="N96" s="96"/>
      <c r="O96" s="94"/>
    </row>
    <row r="97" spans="1:15" ht="15.75" x14ac:dyDescent="0.25">
      <c r="A97" s="1"/>
      <c r="B97" s="3"/>
      <c r="F97" s="1"/>
      <c r="G97" s="1"/>
      <c r="L97" s="95"/>
      <c r="M97" s="92"/>
      <c r="N97" s="96"/>
      <c r="O97" s="94"/>
    </row>
    <row r="98" spans="1:15" ht="15.75" x14ac:dyDescent="0.25">
      <c r="A98" s="1"/>
      <c r="B98" s="3"/>
      <c r="F98" s="1"/>
      <c r="G98" s="1"/>
      <c r="L98" s="95"/>
      <c r="M98" s="92"/>
      <c r="N98" s="96"/>
      <c r="O98" s="94"/>
    </row>
    <row r="99" spans="1:15" ht="15.75" x14ac:dyDescent="0.25">
      <c r="A99" s="1"/>
      <c r="B99" s="3"/>
      <c r="F99" s="1"/>
      <c r="G99" s="1"/>
      <c r="L99" s="95"/>
      <c r="M99" s="92"/>
      <c r="N99" s="96"/>
      <c r="O99" s="94"/>
    </row>
    <row r="100" spans="1:15" x14ac:dyDescent="0.25">
      <c r="A100" s="1"/>
      <c r="B100" s="3"/>
      <c r="F100" s="1"/>
      <c r="G100" s="1"/>
      <c r="L100" s="95"/>
      <c r="M100" s="92"/>
      <c r="N100" s="95"/>
      <c r="O100" s="95"/>
    </row>
    <row r="101" spans="1:15" x14ac:dyDescent="0.25">
      <c r="A101" s="1"/>
      <c r="B101" s="3"/>
      <c r="F101" s="1"/>
      <c r="G101" s="1"/>
      <c r="L101" s="95"/>
      <c r="M101" s="92"/>
      <c r="N101" s="95"/>
      <c r="O101" s="95"/>
    </row>
    <row r="102" spans="1:15" x14ac:dyDescent="0.25">
      <c r="A102" s="1"/>
      <c r="B102" s="3"/>
      <c r="F102" s="1"/>
      <c r="G102" s="1"/>
      <c r="L102" s="95"/>
      <c r="M102" s="92"/>
      <c r="N102" s="95"/>
      <c r="O102" s="95"/>
    </row>
    <row r="103" spans="1:15" x14ac:dyDescent="0.25">
      <c r="A103" s="1"/>
      <c r="B103" s="3"/>
      <c r="F103" s="1"/>
      <c r="G103" s="1"/>
      <c r="L103" s="95"/>
      <c r="M103" s="92"/>
      <c r="N103" s="95"/>
      <c r="O103" s="95"/>
    </row>
    <row r="104" spans="1:15" x14ac:dyDescent="0.25">
      <c r="A104" s="1"/>
      <c r="B104" s="3"/>
      <c r="F104" s="1"/>
      <c r="G104" s="1"/>
      <c r="L104" s="95"/>
      <c r="M104" s="92"/>
      <c r="N104" s="95"/>
      <c r="O104" s="95"/>
    </row>
    <row r="105" spans="1:15" x14ac:dyDescent="0.25">
      <c r="A105" s="1"/>
      <c r="B105" s="3"/>
      <c r="F105" s="1"/>
      <c r="G105" s="1"/>
      <c r="L105" s="95"/>
      <c r="M105" s="92"/>
      <c r="N105" s="95"/>
      <c r="O105" s="95"/>
    </row>
    <row r="106" spans="1:15" x14ac:dyDescent="0.25">
      <c r="A106" s="1"/>
      <c r="B106" s="3"/>
      <c r="F106" s="1"/>
      <c r="G106" s="1"/>
      <c r="L106" s="95"/>
      <c r="M106" s="92"/>
      <c r="N106" s="95"/>
      <c r="O106" s="95"/>
    </row>
    <row r="107" spans="1:15" x14ac:dyDescent="0.25">
      <c r="A107" s="1"/>
      <c r="B107" s="3"/>
      <c r="F107" s="1"/>
      <c r="G107" s="1"/>
      <c r="L107" s="95"/>
      <c r="M107" s="92"/>
      <c r="N107" s="95"/>
      <c r="O107" s="95"/>
    </row>
    <row r="108" spans="1:15" x14ac:dyDescent="0.25">
      <c r="A108" s="1"/>
      <c r="B108" s="3"/>
      <c r="F108" s="1"/>
      <c r="G108" s="1"/>
      <c r="L108" s="95"/>
      <c r="M108" s="92"/>
      <c r="N108" s="95"/>
      <c r="O108" s="95"/>
    </row>
    <row r="109" spans="1:15" x14ac:dyDescent="0.25">
      <c r="A109" s="1"/>
      <c r="B109" s="3"/>
      <c r="F109" s="1"/>
      <c r="G109" s="1"/>
      <c r="L109" s="95"/>
      <c r="M109" s="92"/>
      <c r="N109" s="95"/>
      <c r="O109" s="95"/>
    </row>
    <row r="110" spans="1:15" x14ac:dyDescent="0.25">
      <c r="A110" s="1"/>
      <c r="B110" s="3"/>
      <c r="F110" s="1"/>
      <c r="G110" s="1"/>
      <c r="L110" s="95"/>
      <c r="M110" s="92"/>
      <c r="N110" s="95"/>
      <c r="O110" s="95"/>
    </row>
    <row r="111" spans="1:15" x14ac:dyDescent="0.25">
      <c r="A111" s="1"/>
      <c r="B111" s="3"/>
      <c r="F111" s="1"/>
      <c r="G111" s="1"/>
      <c r="L111" s="95"/>
      <c r="M111" s="92"/>
      <c r="N111" s="95"/>
      <c r="O111" s="95"/>
    </row>
    <row r="112" spans="1:15" x14ac:dyDescent="0.25">
      <c r="A112" s="1"/>
      <c r="B112" s="3"/>
      <c r="F112" s="1"/>
      <c r="G112" s="1"/>
      <c r="L112" s="95"/>
      <c r="M112" s="92"/>
      <c r="N112" s="95"/>
      <c r="O112" s="95"/>
    </row>
    <row r="113" spans="1:15" x14ac:dyDescent="0.25">
      <c r="A113" s="1"/>
      <c r="B113" s="3"/>
      <c r="F113" s="1"/>
      <c r="G113" s="1"/>
      <c r="L113" s="95"/>
      <c r="M113" s="92"/>
      <c r="N113" s="95"/>
      <c r="O113" s="95"/>
    </row>
    <row r="114" spans="1:15" x14ac:dyDescent="0.25">
      <c r="A114" s="1"/>
      <c r="B114" s="3"/>
      <c r="F114" s="1"/>
      <c r="G114" s="1"/>
      <c r="L114" s="95"/>
      <c r="M114" s="92"/>
      <c r="N114" s="95"/>
      <c r="O114" s="95"/>
    </row>
    <row r="115" spans="1:15" x14ac:dyDescent="0.25">
      <c r="A115" s="1"/>
      <c r="B115" s="3"/>
      <c r="F115" s="1"/>
      <c r="G115" s="1"/>
      <c r="L115" s="95"/>
      <c r="M115" s="95"/>
      <c r="N115" s="95"/>
      <c r="O115" s="95"/>
    </row>
    <row r="116" spans="1:15" x14ac:dyDescent="0.25">
      <c r="A116" s="1"/>
      <c r="B116" s="3"/>
      <c r="F116" s="1"/>
      <c r="G116" s="1"/>
      <c r="L116" s="95"/>
      <c r="M116" s="95"/>
      <c r="N116" s="95"/>
      <c r="O116" s="95"/>
    </row>
    <row r="117" spans="1:15" x14ac:dyDescent="0.25">
      <c r="A117" s="1"/>
      <c r="B117" s="3"/>
      <c r="F117" s="1"/>
      <c r="G117" s="1"/>
      <c r="L117" s="95"/>
      <c r="M117" s="95"/>
      <c r="N117" s="95"/>
      <c r="O117" s="95"/>
    </row>
    <row r="118" spans="1:15" x14ac:dyDescent="0.25">
      <c r="A118" s="1"/>
      <c r="B118" s="3"/>
      <c r="F118" s="1"/>
      <c r="G118" s="1"/>
      <c r="L118" s="95"/>
      <c r="M118" s="95"/>
      <c r="N118" s="95"/>
      <c r="O118" s="95"/>
    </row>
    <row r="119" spans="1:15" x14ac:dyDescent="0.25">
      <c r="A119" s="1"/>
      <c r="B119" s="3"/>
      <c r="F119" s="1"/>
      <c r="G119" s="1"/>
      <c r="L119" s="95"/>
      <c r="M119" s="95"/>
      <c r="N119" s="95"/>
      <c r="O119" s="95"/>
    </row>
    <row r="120" spans="1:15" x14ac:dyDescent="0.25">
      <c r="A120" s="1"/>
      <c r="B120" s="3"/>
      <c r="F120" s="1"/>
      <c r="G120" s="1"/>
      <c r="L120" s="95"/>
      <c r="M120" s="95"/>
      <c r="N120" s="95"/>
      <c r="O120" s="95"/>
    </row>
    <row r="121" spans="1:15" x14ac:dyDescent="0.25">
      <c r="A121" s="1"/>
      <c r="B121" s="3"/>
      <c r="F121" s="1"/>
      <c r="G121" s="1"/>
      <c r="L121" s="95"/>
      <c r="M121" s="95"/>
      <c r="N121" s="95"/>
      <c r="O121" s="95"/>
    </row>
    <row r="122" spans="1:15" x14ac:dyDescent="0.25">
      <c r="A122" s="1"/>
      <c r="B122" s="3"/>
      <c r="F122" s="1"/>
      <c r="G122" s="1"/>
      <c r="L122" s="95"/>
      <c r="M122" s="95"/>
      <c r="N122" s="95"/>
      <c r="O122" s="95"/>
    </row>
    <row r="123" spans="1:15" x14ac:dyDescent="0.25">
      <c r="A123" s="1"/>
      <c r="B123" s="1"/>
      <c r="F123" s="1"/>
      <c r="G123" s="1"/>
      <c r="L123" s="95"/>
      <c r="M123" s="95"/>
      <c r="N123" s="95"/>
      <c r="O123" s="95"/>
    </row>
    <row r="124" spans="1:15" x14ac:dyDescent="0.25">
      <c r="A124" s="1"/>
      <c r="B124" s="1"/>
      <c r="F124" s="1"/>
      <c r="G124" s="1"/>
      <c r="L124" s="95"/>
      <c r="M124" s="95"/>
      <c r="N124" s="95"/>
      <c r="O124" s="95"/>
    </row>
    <row r="125" spans="1:15" x14ac:dyDescent="0.25">
      <c r="A125" s="1"/>
      <c r="B125" s="1"/>
      <c r="F125" s="1"/>
      <c r="G125" s="1"/>
      <c r="L125" s="95"/>
      <c r="M125" s="95"/>
      <c r="N125" s="95"/>
      <c r="O125" s="95"/>
    </row>
    <row r="126" spans="1:15" x14ac:dyDescent="0.25">
      <c r="A126" s="1"/>
      <c r="B126" s="1"/>
      <c r="F126" s="1"/>
      <c r="G126" s="1"/>
      <c r="L126" s="95"/>
      <c r="M126" s="95"/>
      <c r="N126" s="95"/>
      <c r="O126" s="95"/>
    </row>
    <row r="127" spans="1:15" x14ac:dyDescent="0.25">
      <c r="A127" s="1"/>
      <c r="B127" s="1"/>
      <c r="F127" s="1"/>
      <c r="G127" s="1"/>
      <c r="L127" s="95"/>
      <c r="M127" s="95"/>
      <c r="N127" s="95"/>
      <c r="O127" s="95"/>
    </row>
    <row r="128" spans="1:15" x14ac:dyDescent="0.25">
      <c r="A128" s="1"/>
      <c r="B128" s="1"/>
      <c r="F128" s="1"/>
      <c r="G128" s="1"/>
      <c r="L128" s="95"/>
      <c r="M128" s="95"/>
      <c r="N128" s="95"/>
      <c r="O128" s="95"/>
    </row>
    <row r="129" spans="1:15" x14ac:dyDescent="0.25">
      <c r="A129" s="1"/>
      <c r="B129" s="1"/>
      <c r="F129" s="1"/>
      <c r="G129" s="1"/>
      <c r="L129" s="95"/>
      <c r="M129" s="95"/>
      <c r="N129" s="95"/>
      <c r="O129" s="95"/>
    </row>
    <row r="130" spans="1:15" x14ac:dyDescent="0.25">
      <c r="A130" s="1"/>
      <c r="B130" s="1"/>
      <c r="F130" s="1"/>
      <c r="G130" s="1"/>
      <c r="L130" s="95"/>
      <c r="M130" s="95"/>
      <c r="N130" s="95"/>
      <c r="O130" s="95"/>
    </row>
    <row r="131" spans="1:15" x14ac:dyDescent="0.25">
      <c r="A131" s="1"/>
      <c r="B131" s="1"/>
      <c r="F131" s="1"/>
      <c r="G131" s="1"/>
    </row>
    <row r="132" spans="1:15" x14ac:dyDescent="0.25">
      <c r="A132" s="1"/>
      <c r="B132" s="1"/>
      <c r="F132" s="1"/>
      <c r="G132" s="1"/>
    </row>
    <row r="133" spans="1:15" x14ac:dyDescent="0.25">
      <c r="A133" s="1"/>
      <c r="B133" s="1"/>
      <c r="F133" s="1"/>
      <c r="G133" s="1"/>
    </row>
    <row r="134" spans="1:15" x14ac:dyDescent="0.25">
      <c r="A134" s="1"/>
      <c r="B134" s="1"/>
      <c r="F134" s="1"/>
      <c r="G134" s="1"/>
    </row>
    <row r="135" spans="1:15" x14ac:dyDescent="0.25">
      <c r="A135" s="1"/>
      <c r="B135" s="1"/>
      <c r="F135" s="1"/>
      <c r="G135" s="1"/>
    </row>
    <row r="136" spans="1:15" x14ac:dyDescent="0.25">
      <c r="A136" s="1"/>
      <c r="B136" s="1"/>
      <c r="F136" s="1"/>
      <c r="G136" s="1"/>
    </row>
    <row r="137" spans="1:15" x14ac:dyDescent="0.25">
      <c r="A137" s="1"/>
      <c r="B137" s="1"/>
      <c r="F137" s="1"/>
      <c r="G137" s="1"/>
    </row>
    <row r="138" spans="1:15" x14ac:dyDescent="0.25">
      <c r="A138" s="1"/>
      <c r="B138" s="1"/>
      <c r="F138" s="1"/>
      <c r="G138" s="1"/>
    </row>
    <row r="139" spans="1:15" x14ac:dyDescent="0.25">
      <c r="A139" s="1"/>
      <c r="B139" s="1"/>
      <c r="F139" s="1"/>
      <c r="G139" s="1"/>
    </row>
    <row r="140" spans="1:15" x14ac:dyDescent="0.25">
      <c r="A140" s="1"/>
      <c r="B140" s="1"/>
      <c r="F140" s="1"/>
      <c r="G140" s="1"/>
    </row>
    <row r="141" spans="1:15" x14ac:dyDescent="0.25">
      <c r="A141" s="1"/>
      <c r="B141" s="1"/>
      <c r="F141" s="1"/>
      <c r="G141" s="1"/>
    </row>
    <row r="142" spans="1:15" x14ac:dyDescent="0.25">
      <c r="A142" s="1"/>
      <c r="B142" s="1"/>
      <c r="F142" s="1"/>
      <c r="G142" s="1"/>
    </row>
    <row r="143" spans="1:15" x14ac:dyDescent="0.25">
      <c r="A143" s="1"/>
      <c r="B143" s="1"/>
      <c r="F143" s="1"/>
      <c r="G143" s="1"/>
    </row>
    <row r="144" spans="1:15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99">
    <cfRule type="cellIs" dxfId="2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8849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0</xdr:row>
                <xdr:rowOff>485775</xdr:rowOff>
              </to>
            </anchor>
          </controlPr>
        </control>
      </mc:Choice>
      <mc:Fallback>
        <control shapeId="78849" r:id="rId4" name="ExecuteQueries"/>
      </mc:Fallback>
    </mc:AlternateContent>
    <mc:AlternateContent xmlns:mc="http://schemas.openxmlformats.org/markup-compatibility/2006">
      <mc:Choice Requires="x14">
        <control shapeId="78850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0</xdr:row>
                <xdr:rowOff>485775</xdr:rowOff>
              </to>
            </anchor>
          </controlPr>
        </control>
      </mc:Choice>
      <mc:Fallback>
        <control shapeId="78850" r:id="rId6" name="ClearBt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9" tint="-0.249977111117893"/>
  </sheetPr>
  <dimension ref="A1:AL425"/>
  <sheetViews>
    <sheetView workbookViewId="0">
      <selection activeCell="L22" sqref="L22"/>
    </sheetView>
  </sheetViews>
  <sheetFormatPr defaultRowHeight="15" x14ac:dyDescent="0.25"/>
  <cols>
    <col min="1" max="1" width="10.7109375" bestFit="1" customWidth="1"/>
    <col min="2" max="2" width="20.7109375" customWidth="1"/>
    <col min="3" max="3" width="24.7109375" customWidth="1"/>
    <col min="4" max="4" width="21.7109375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1.140625" bestFit="1" customWidth="1"/>
    <col min="13" max="13" width="10.7109375" bestFit="1" customWidth="1"/>
    <col min="14" max="14" width="12.140625" customWidth="1"/>
    <col min="15" max="15" width="11.28515625" bestFit="1" customWidth="1"/>
    <col min="16" max="16" width="11" bestFit="1" customWidth="1"/>
    <col min="17" max="17" width="11.5703125" bestFit="1" customWidth="1"/>
    <col min="18" max="18" width="10.85546875" bestFit="1" customWidth="1"/>
    <col min="19" max="19" width="10.28515625" bestFit="1" customWidth="1"/>
    <col min="20" max="20" width="11.28515625" bestFit="1" customWidth="1"/>
    <col min="21" max="21" width="11.140625" bestFit="1" customWidth="1"/>
    <col min="22" max="22" width="10.28515625" bestFit="1" customWidth="1"/>
    <col min="23" max="23" width="10.85546875" bestFit="1" customWidth="1"/>
    <col min="24" max="24" width="11.42578125" bestFit="1" customWidth="1"/>
  </cols>
  <sheetData>
    <row r="1" spans="1:38" x14ac:dyDescent="0.25">
      <c r="E1"/>
      <c r="K1"/>
    </row>
    <row r="2" spans="1:38" x14ac:dyDescent="0.25">
      <c r="E2"/>
      <c r="H2" t="s">
        <v>20</v>
      </c>
      <c r="I2" s="5">
        <v>61</v>
      </c>
      <c r="K2"/>
    </row>
    <row r="3" spans="1:38" x14ac:dyDescent="0.25">
      <c r="E3"/>
      <c r="K3"/>
    </row>
    <row r="4" spans="1:38" s="2" customFormat="1" ht="15.75" thickBot="1" x14ac:dyDescent="0.3"/>
    <row r="5" spans="1:3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38"/>
      <c r="M5" s="139"/>
    </row>
    <row r="6" spans="1:3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31"/>
      <c r="M6" s="130"/>
    </row>
    <row r="7" spans="1:38" s="2" customFormat="1" x14ac:dyDescent="0.25">
      <c r="F7" s="6"/>
      <c r="G7" s="6"/>
    </row>
    <row r="8" spans="1:38" x14ac:dyDescent="0.25">
      <c r="A8" s="55">
        <v>37953</v>
      </c>
      <c r="B8" s="129" t="s">
        <v>250</v>
      </c>
      <c r="C8" s="56" t="s">
        <v>108</v>
      </c>
      <c r="D8" s="4"/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Z8" s="127" t="s">
        <v>353</v>
      </c>
      <c r="AA8" s="127" t="s">
        <v>354</v>
      </c>
      <c r="AB8" s="127" t="s">
        <v>355</v>
      </c>
      <c r="AC8" s="127" t="s">
        <v>356</v>
      </c>
      <c r="AD8" s="127" t="s">
        <v>357</v>
      </c>
      <c r="AE8" s="127" t="s">
        <v>358</v>
      </c>
      <c r="AF8" s="127" t="s">
        <v>359</v>
      </c>
      <c r="AG8" s="127" t="s">
        <v>360</v>
      </c>
      <c r="AH8" s="127" t="s">
        <v>361</v>
      </c>
      <c r="AI8" s="127" t="s">
        <v>362</v>
      </c>
      <c r="AJ8" s="127" t="s">
        <v>363</v>
      </c>
      <c r="AK8" s="127" t="s">
        <v>364</v>
      </c>
      <c r="AL8" s="127" t="s">
        <v>365</v>
      </c>
    </row>
    <row r="9" spans="1:38" x14ac:dyDescent="0.25">
      <c r="A9" s="55">
        <v>37954</v>
      </c>
      <c r="B9" s="129" t="s">
        <v>250</v>
      </c>
      <c r="C9" s="56" t="s">
        <v>108</v>
      </c>
      <c r="D9" s="4"/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353</v>
      </c>
      <c r="M9" t="s">
        <v>354</v>
      </c>
      <c r="N9" t="s">
        <v>355</v>
      </c>
      <c r="O9" t="s">
        <v>356</v>
      </c>
      <c r="P9" t="s">
        <v>357</v>
      </c>
      <c r="Q9" t="s">
        <v>358</v>
      </c>
      <c r="R9" t="s">
        <v>359</v>
      </c>
      <c r="S9" t="s">
        <v>360</v>
      </c>
      <c r="T9" t="s">
        <v>361</v>
      </c>
      <c r="U9" t="s">
        <v>362</v>
      </c>
      <c r="V9" t="s">
        <v>363</v>
      </c>
      <c r="W9" t="s">
        <v>364</v>
      </c>
      <c r="X9" t="s">
        <v>365</v>
      </c>
      <c r="Z9" s="127" t="s">
        <v>353</v>
      </c>
      <c r="AA9" s="127" t="s">
        <v>354</v>
      </c>
      <c r="AB9" s="127" t="s">
        <v>355</v>
      </c>
      <c r="AC9" s="127" t="s">
        <v>356</v>
      </c>
      <c r="AD9" s="127" t="s">
        <v>357</v>
      </c>
      <c r="AE9" s="127" t="s">
        <v>358</v>
      </c>
      <c r="AF9" s="127" t="s">
        <v>359</v>
      </c>
      <c r="AG9" s="127" t="s">
        <v>360</v>
      </c>
      <c r="AH9" s="127" t="s">
        <v>361</v>
      </c>
      <c r="AI9" s="127" t="s">
        <v>362</v>
      </c>
      <c r="AJ9" s="127" t="s">
        <v>363</v>
      </c>
      <c r="AK9" s="127" t="s">
        <v>364</v>
      </c>
      <c r="AL9" s="127" t="s">
        <v>365</v>
      </c>
    </row>
    <row r="10" spans="1:38" x14ac:dyDescent="0.25">
      <c r="A10" s="55">
        <v>37955</v>
      </c>
      <c r="B10" s="129" t="s">
        <v>250</v>
      </c>
      <c r="C10" s="56" t="s">
        <v>108</v>
      </c>
      <c r="D10" s="4"/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353</v>
      </c>
      <c r="M10" t="s">
        <v>354</v>
      </c>
      <c r="N10" t="s">
        <v>355</v>
      </c>
      <c r="O10" t="s">
        <v>356</v>
      </c>
      <c r="P10" t="s">
        <v>357</v>
      </c>
      <c r="Q10" t="s">
        <v>358</v>
      </c>
      <c r="R10" t="s">
        <v>359</v>
      </c>
      <c r="S10" t="s">
        <v>360</v>
      </c>
      <c r="T10" t="s">
        <v>361</v>
      </c>
      <c r="U10" t="s">
        <v>362</v>
      </c>
      <c r="V10" t="s">
        <v>363</v>
      </c>
      <c r="W10" t="s">
        <v>364</v>
      </c>
      <c r="X10" t="s">
        <v>365</v>
      </c>
      <c r="Z10" s="127" t="s">
        <v>353</v>
      </c>
      <c r="AA10" s="127" t="s">
        <v>354</v>
      </c>
      <c r="AB10" s="127" t="s">
        <v>355</v>
      </c>
      <c r="AC10" s="127" t="s">
        <v>356</v>
      </c>
      <c r="AD10" s="127" t="s">
        <v>357</v>
      </c>
      <c r="AE10" s="127" t="s">
        <v>358</v>
      </c>
      <c r="AF10" s="127" t="s">
        <v>359</v>
      </c>
      <c r="AG10" s="127" t="s">
        <v>360</v>
      </c>
      <c r="AH10" s="127" t="s">
        <v>361</v>
      </c>
      <c r="AI10" s="127" t="s">
        <v>362</v>
      </c>
      <c r="AJ10" s="127" t="s">
        <v>363</v>
      </c>
      <c r="AK10" s="127" t="s">
        <v>364</v>
      </c>
      <c r="AL10" s="127" t="s">
        <v>365</v>
      </c>
    </row>
    <row r="11" spans="1:38" x14ac:dyDescent="0.25">
      <c r="A11" s="55">
        <v>37956</v>
      </c>
      <c r="B11" s="129" t="s">
        <v>250</v>
      </c>
      <c r="C11" s="56" t="s">
        <v>108</v>
      </c>
      <c r="D11" s="4"/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353</v>
      </c>
      <c r="M11" t="s">
        <v>354</v>
      </c>
      <c r="N11" t="s">
        <v>355</v>
      </c>
      <c r="O11" t="s">
        <v>356</v>
      </c>
      <c r="P11" t="s">
        <v>357</v>
      </c>
      <c r="Q11" t="s">
        <v>358</v>
      </c>
      <c r="R11" t="s">
        <v>359</v>
      </c>
      <c r="S11" t="s">
        <v>360</v>
      </c>
      <c r="T11" t="s">
        <v>361</v>
      </c>
      <c r="U11" t="s">
        <v>362</v>
      </c>
      <c r="V11" t="s">
        <v>363</v>
      </c>
      <c r="W11" t="s">
        <v>364</v>
      </c>
      <c r="X11" t="s">
        <v>365</v>
      </c>
      <c r="Z11" s="127" t="s">
        <v>353</v>
      </c>
      <c r="AA11" s="127" t="s">
        <v>354</v>
      </c>
      <c r="AB11" s="127" t="s">
        <v>355</v>
      </c>
      <c r="AC11" s="127" t="s">
        <v>356</v>
      </c>
      <c r="AD11" s="127" t="s">
        <v>357</v>
      </c>
      <c r="AE11" s="127" t="s">
        <v>358</v>
      </c>
      <c r="AF11" s="127" t="s">
        <v>359</v>
      </c>
      <c r="AG11" s="127" t="s">
        <v>360</v>
      </c>
      <c r="AH11" s="127" t="s">
        <v>361</v>
      </c>
      <c r="AI11" s="127" t="s">
        <v>362</v>
      </c>
      <c r="AJ11" s="127" t="s">
        <v>363</v>
      </c>
      <c r="AK11" s="127" t="s">
        <v>364</v>
      </c>
      <c r="AL11" s="127" t="s">
        <v>365</v>
      </c>
    </row>
    <row r="12" spans="1:38" x14ac:dyDescent="0.25">
      <c r="A12" s="55">
        <v>38320</v>
      </c>
      <c r="B12" s="129" t="s">
        <v>250</v>
      </c>
      <c r="C12" s="56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548</v>
      </c>
      <c r="M12" t="s">
        <v>549</v>
      </c>
      <c r="N12" t="s">
        <v>550</v>
      </c>
      <c r="O12" t="s">
        <v>551</v>
      </c>
      <c r="P12" t="s">
        <v>552</v>
      </c>
      <c r="Q12" t="s">
        <v>553</v>
      </c>
      <c r="R12" t="s">
        <v>554</v>
      </c>
      <c r="S12" t="s">
        <v>555</v>
      </c>
      <c r="T12" t="s">
        <v>556</v>
      </c>
      <c r="U12" t="s">
        <v>557</v>
      </c>
      <c r="V12" t="s">
        <v>558</v>
      </c>
      <c r="W12" t="s">
        <v>559</v>
      </c>
      <c r="X12" t="s">
        <v>560</v>
      </c>
      <c r="Z12" s="127" t="s">
        <v>548</v>
      </c>
      <c r="AA12" s="127" t="s">
        <v>549</v>
      </c>
      <c r="AB12" s="127" t="s">
        <v>550</v>
      </c>
      <c r="AC12" s="127" t="s">
        <v>551</v>
      </c>
      <c r="AD12" s="127" t="s">
        <v>552</v>
      </c>
      <c r="AE12" s="127" t="s">
        <v>553</v>
      </c>
      <c r="AF12" s="127" t="s">
        <v>554</v>
      </c>
      <c r="AG12" s="127" t="s">
        <v>555</v>
      </c>
      <c r="AH12" s="127" t="s">
        <v>556</v>
      </c>
      <c r="AI12" s="127" t="s">
        <v>557</v>
      </c>
      <c r="AJ12" s="127" t="s">
        <v>558</v>
      </c>
      <c r="AK12" s="127" t="s">
        <v>559</v>
      </c>
      <c r="AL12" s="127" t="s">
        <v>560</v>
      </c>
    </row>
    <row r="13" spans="1:38" x14ac:dyDescent="0.25">
      <c r="A13" s="55">
        <v>38684</v>
      </c>
      <c r="B13" s="129" t="s">
        <v>250</v>
      </c>
      <c r="C13" s="56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366</v>
      </c>
      <c r="M13" t="s">
        <v>367</v>
      </c>
      <c r="N13" t="s">
        <v>368</v>
      </c>
      <c r="O13" t="s">
        <v>369</v>
      </c>
      <c r="P13" t="s">
        <v>370</v>
      </c>
      <c r="Q13" t="s">
        <v>371</v>
      </c>
      <c r="R13" t="s">
        <v>372</v>
      </c>
      <c r="S13" t="s">
        <v>373</v>
      </c>
      <c r="T13" t="s">
        <v>374</v>
      </c>
      <c r="U13" t="s">
        <v>375</v>
      </c>
      <c r="V13" t="s">
        <v>376</v>
      </c>
      <c r="W13" t="s">
        <v>377</v>
      </c>
      <c r="X13" t="s">
        <v>378</v>
      </c>
      <c r="Z13" s="127" t="s">
        <v>366</v>
      </c>
      <c r="AA13" s="127" t="s">
        <v>367</v>
      </c>
      <c r="AB13" s="127" t="s">
        <v>368</v>
      </c>
      <c r="AC13" s="127" t="s">
        <v>369</v>
      </c>
      <c r="AD13" s="127" t="s">
        <v>370</v>
      </c>
      <c r="AE13" s="127" t="s">
        <v>371</v>
      </c>
      <c r="AF13" s="127" t="s">
        <v>372</v>
      </c>
      <c r="AG13" s="127" t="s">
        <v>373</v>
      </c>
      <c r="AH13" s="127" t="s">
        <v>374</v>
      </c>
      <c r="AI13" s="127" t="s">
        <v>375</v>
      </c>
      <c r="AJ13" s="127" t="s">
        <v>376</v>
      </c>
      <c r="AK13" s="127" t="s">
        <v>377</v>
      </c>
      <c r="AL13" s="127" t="s">
        <v>378</v>
      </c>
    </row>
    <row r="14" spans="1:38" x14ac:dyDescent="0.25">
      <c r="A14" s="55">
        <v>46356</v>
      </c>
      <c r="B14" s="129" t="s">
        <v>250</v>
      </c>
      <c r="C14" s="56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535</v>
      </c>
      <c r="M14" t="s">
        <v>536</v>
      </c>
      <c r="N14" t="s">
        <v>537</v>
      </c>
      <c r="O14" t="s">
        <v>538</v>
      </c>
      <c r="P14" t="s">
        <v>539</v>
      </c>
      <c r="Q14" t="s">
        <v>540</v>
      </c>
      <c r="R14" t="s">
        <v>541</v>
      </c>
      <c r="S14" t="s">
        <v>542</v>
      </c>
      <c r="T14" t="s">
        <v>543</v>
      </c>
      <c r="U14" t="s">
        <v>544</v>
      </c>
      <c r="V14" t="s">
        <v>545</v>
      </c>
      <c r="W14" t="s">
        <v>546</v>
      </c>
      <c r="X14" t="s">
        <v>547</v>
      </c>
      <c r="Z14" s="127" t="s">
        <v>535</v>
      </c>
      <c r="AA14" s="127" t="s">
        <v>536</v>
      </c>
      <c r="AB14" s="127" t="s">
        <v>537</v>
      </c>
      <c r="AC14" s="127" t="s">
        <v>538</v>
      </c>
      <c r="AD14" s="127" t="s">
        <v>539</v>
      </c>
      <c r="AE14" s="127" t="s">
        <v>540</v>
      </c>
      <c r="AF14" s="127" t="s">
        <v>541</v>
      </c>
      <c r="AG14" s="127" t="s">
        <v>542</v>
      </c>
      <c r="AH14" s="127" t="s">
        <v>543</v>
      </c>
      <c r="AI14" s="127" t="s">
        <v>544</v>
      </c>
      <c r="AJ14" s="127" t="s">
        <v>545</v>
      </c>
      <c r="AK14" s="127" t="s">
        <v>546</v>
      </c>
      <c r="AL14" s="127" t="s">
        <v>547</v>
      </c>
    </row>
    <row r="15" spans="1:38" x14ac:dyDescent="0.25">
      <c r="A15" s="55">
        <v>46720</v>
      </c>
      <c r="B15" s="129" t="s">
        <v>250</v>
      </c>
      <c r="C15" s="56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610</v>
      </c>
      <c r="M15" t="s">
        <v>611</v>
      </c>
      <c r="N15" t="s">
        <v>612</v>
      </c>
      <c r="O15" t="s">
        <v>613</v>
      </c>
      <c r="P15" t="s">
        <v>614</v>
      </c>
      <c r="Q15" t="s">
        <v>615</v>
      </c>
      <c r="R15" t="s">
        <v>616</v>
      </c>
      <c r="S15" t="s">
        <v>617</v>
      </c>
      <c r="T15" t="s">
        <v>618</v>
      </c>
      <c r="U15" t="s">
        <v>619</v>
      </c>
      <c r="V15" t="s">
        <v>620</v>
      </c>
      <c r="W15" t="s">
        <v>621</v>
      </c>
      <c r="X15" t="s">
        <v>622</v>
      </c>
      <c r="Z15" s="127" t="s">
        <v>610</v>
      </c>
      <c r="AA15" s="127" t="s">
        <v>611</v>
      </c>
      <c r="AB15" s="127" t="s">
        <v>612</v>
      </c>
      <c r="AC15" s="127" t="s">
        <v>613</v>
      </c>
      <c r="AD15" s="127" t="s">
        <v>614</v>
      </c>
      <c r="AE15" s="127" t="s">
        <v>615</v>
      </c>
      <c r="AF15" s="127" t="s">
        <v>616</v>
      </c>
      <c r="AG15" s="127" t="s">
        <v>617</v>
      </c>
      <c r="AH15" s="127" t="s">
        <v>618</v>
      </c>
      <c r="AI15" s="127" t="s">
        <v>619</v>
      </c>
      <c r="AJ15" s="127" t="s">
        <v>620</v>
      </c>
      <c r="AK15" s="127" t="s">
        <v>621</v>
      </c>
      <c r="AL15" s="127" t="s">
        <v>622</v>
      </c>
    </row>
    <row r="16" spans="1:38" x14ac:dyDescent="0.25">
      <c r="A16" s="55">
        <v>47084</v>
      </c>
      <c r="B16" s="129" t="s">
        <v>250</v>
      </c>
      <c r="C16" s="5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623</v>
      </c>
      <c r="M16" t="s">
        <v>624</v>
      </c>
      <c r="N16" t="s">
        <v>625</v>
      </c>
      <c r="O16" t="s">
        <v>626</v>
      </c>
      <c r="P16" t="s">
        <v>627</v>
      </c>
      <c r="Q16" t="s">
        <v>628</v>
      </c>
      <c r="R16" t="s">
        <v>629</v>
      </c>
      <c r="S16" t="s">
        <v>630</v>
      </c>
      <c r="T16" t="s">
        <v>631</v>
      </c>
      <c r="U16" t="s">
        <v>632</v>
      </c>
      <c r="V16" t="s">
        <v>633</v>
      </c>
      <c r="W16" t="s">
        <v>634</v>
      </c>
      <c r="X16" t="s">
        <v>635</v>
      </c>
      <c r="Z16" s="127" t="s">
        <v>623</v>
      </c>
      <c r="AA16" s="127" t="s">
        <v>624</v>
      </c>
      <c r="AB16" s="127" t="s">
        <v>625</v>
      </c>
      <c r="AC16" s="127" t="s">
        <v>626</v>
      </c>
      <c r="AD16" s="127" t="s">
        <v>627</v>
      </c>
      <c r="AE16" s="127" t="s">
        <v>628</v>
      </c>
      <c r="AF16" s="127" t="s">
        <v>629</v>
      </c>
      <c r="AG16" s="127" t="s">
        <v>630</v>
      </c>
      <c r="AH16" s="127" t="s">
        <v>631</v>
      </c>
      <c r="AI16" s="127" t="s">
        <v>632</v>
      </c>
      <c r="AJ16" s="127" t="s">
        <v>633</v>
      </c>
      <c r="AK16" s="127" t="s">
        <v>634</v>
      </c>
      <c r="AL16" s="127" t="s">
        <v>635</v>
      </c>
    </row>
    <row r="17" spans="1:38" x14ac:dyDescent="0.25">
      <c r="A17" s="55">
        <v>47455</v>
      </c>
      <c r="B17" s="129" t="s">
        <v>250</v>
      </c>
      <c r="C17" s="56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483</v>
      </c>
      <c r="M17" t="s">
        <v>484</v>
      </c>
      <c r="N17" t="s">
        <v>485</v>
      </c>
      <c r="O17" t="s">
        <v>486</v>
      </c>
      <c r="P17" t="s">
        <v>487</v>
      </c>
      <c r="Q17" t="s">
        <v>488</v>
      </c>
      <c r="R17" t="s">
        <v>489</v>
      </c>
      <c r="S17" t="s">
        <v>490</v>
      </c>
      <c r="T17" t="s">
        <v>491</v>
      </c>
      <c r="U17" t="s">
        <v>492</v>
      </c>
      <c r="V17" t="s">
        <v>493</v>
      </c>
      <c r="W17" t="s">
        <v>494</v>
      </c>
      <c r="X17" t="s">
        <v>495</v>
      </c>
      <c r="Z17" s="127" t="s">
        <v>483</v>
      </c>
      <c r="AA17" s="127" t="s">
        <v>484</v>
      </c>
      <c r="AB17" s="127" t="s">
        <v>485</v>
      </c>
      <c r="AC17" s="127" t="s">
        <v>486</v>
      </c>
      <c r="AD17" s="127" t="s">
        <v>487</v>
      </c>
      <c r="AE17" s="127" t="s">
        <v>488</v>
      </c>
      <c r="AF17" s="127" t="s">
        <v>489</v>
      </c>
      <c r="AG17" s="127" t="s">
        <v>490</v>
      </c>
      <c r="AH17" s="127" t="s">
        <v>491</v>
      </c>
      <c r="AI17" s="127" t="s">
        <v>492</v>
      </c>
      <c r="AJ17" s="127" t="s">
        <v>493</v>
      </c>
      <c r="AK17" s="127" t="s">
        <v>494</v>
      </c>
      <c r="AL17" s="127" t="s">
        <v>495</v>
      </c>
    </row>
    <row r="18" spans="1:38" x14ac:dyDescent="0.25">
      <c r="A18" s="55">
        <v>47819</v>
      </c>
      <c r="B18" s="129" t="s">
        <v>250</v>
      </c>
      <c r="C18" s="56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636</v>
      </c>
      <c r="M18" t="s">
        <v>637</v>
      </c>
      <c r="N18" t="s">
        <v>638</v>
      </c>
      <c r="O18" t="s">
        <v>639</v>
      </c>
      <c r="P18" t="s">
        <v>640</v>
      </c>
      <c r="Q18" t="s">
        <v>641</v>
      </c>
      <c r="R18" t="s">
        <v>642</v>
      </c>
      <c r="S18" t="s">
        <v>643</v>
      </c>
      <c r="T18" t="s">
        <v>644</v>
      </c>
      <c r="U18" t="s">
        <v>645</v>
      </c>
      <c r="V18" t="s">
        <v>646</v>
      </c>
      <c r="W18" t="s">
        <v>647</v>
      </c>
      <c r="X18" t="s">
        <v>648</v>
      </c>
      <c r="Z18" s="127" t="s">
        <v>636</v>
      </c>
      <c r="AA18" s="127" t="s">
        <v>637</v>
      </c>
      <c r="AB18" s="127" t="s">
        <v>638</v>
      </c>
      <c r="AC18" s="127" t="s">
        <v>639</v>
      </c>
      <c r="AD18" s="127" t="s">
        <v>640</v>
      </c>
      <c r="AE18" s="127" t="s">
        <v>641</v>
      </c>
      <c r="AF18" s="127" t="s">
        <v>642</v>
      </c>
      <c r="AG18" s="127" t="s">
        <v>643</v>
      </c>
      <c r="AH18" s="127" t="s">
        <v>644</v>
      </c>
      <c r="AI18" s="127" t="s">
        <v>645</v>
      </c>
      <c r="AJ18" s="127" t="s">
        <v>646</v>
      </c>
      <c r="AK18" s="127" t="s">
        <v>647</v>
      </c>
      <c r="AL18" s="127" t="s">
        <v>648</v>
      </c>
    </row>
    <row r="19" spans="1:38" x14ac:dyDescent="0.25">
      <c r="A19" s="55">
        <v>37255</v>
      </c>
      <c r="B19" s="129" t="s">
        <v>250</v>
      </c>
      <c r="C19" s="56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496</v>
      </c>
      <c r="M19" t="s">
        <v>497</v>
      </c>
      <c r="N19" t="s">
        <v>498</v>
      </c>
      <c r="O19" t="s">
        <v>499</v>
      </c>
      <c r="P19" t="s">
        <v>500</v>
      </c>
      <c r="Q19" t="s">
        <v>501</v>
      </c>
      <c r="R19" t="s">
        <v>502</v>
      </c>
      <c r="S19" t="s">
        <v>503</v>
      </c>
      <c r="T19" t="s">
        <v>504</v>
      </c>
      <c r="U19" t="s">
        <v>505</v>
      </c>
      <c r="V19" t="s">
        <v>506</v>
      </c>
      <c r="W19" t="s">
        <v>507</v>
      </c>
      <c r="X19" t="s">
        <v>508</v>
      </c>
      <c r="Z19" s="127" t="s">
        <v>496</v>
      </c>
      <c r="AA19" s="127" t="s">
        <v>497</v>
      </c>
      <c r="AB19" s="127" t="s">
        <v>498</v>
      </c>
      <c r="AC19" s="127" t="s">
        <v>499</v>
      </c>
      <c r="AD19" s="127" t="s">
        <v>500</v>
      </c>
      <c r="AE19" s="127" t="s">
        <v>501</v>
      </c>
      <c r="AF19" s="127" t="s">
        <v>502</v>
      </c>
      <c r="AG19" s="127" t="s">
        <v>503</v>
      </c>
      <c r="AH19" s="127" t="s">
        <v>504</v>
      </c>
      <c r="AI19" s="127" t="s">
        <v>505</v>
      </c>
      <c r="AJ19" s="127" t="s">
        <v>506</v>
      </c>
      <c r="AK19" s="127" t="s">
        <v>507</v>
      </c>
      <c r="AL19" s="127" t="s">
        <v>508</v>
      </c>
    </row>
    <row r="20" spans="1:38" x14ac:dyDescent="0.25">
      <c r="A20" s="55">
        <v>37619</v>
      </c>
      <c r="B20" s="129" t="s">
        <v>250</v>
      </c>
      <c r="C20" s="56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444</v>
      </c>
      <c r="M20" t="s">
        <v>445</v>
      </c>
      <c r="N20" t="s">
        <v>446</v>
      </c>
      <c r="O20" t="s">
        <v>447</v>
      </c>
      <c r="P20" t="s">
        <v>448</v>
      </c>
      <c r="Q20" t="s">
        <v>449</v>
      </c>
      <c r="R20" t="s">
        <v>450</v>
      </c>
      <c r="S20" t="s">
        <v>451</v>
      </c>
      <c r="T20" t="s">
        <v>452</v>
      </c>
      <c r="U20" t="s">
        <v>453</v>
      </c>
      <c r="V20" t="s">
        <v>454</v>
      </c>
      <c r="W20" t="s">
        <v>455</v>
      </c>
      <c r="X20" t="s">
        <v>456</v>
      </c>
      <c r="Z20" s="127" t="s">
        <v>444</v>
      </c>
      <c r="AA20" s="127" t="s">
        <v>445</v>
      </c>
      <c r="AB20" s="127" t="s">
        <v>446</v>
      </c>
      <c r="AC20" s="127" t="s">
        <v>447</v>
      </c>
      <c r="AD20" s="127" t="s">
        <v>448</v>
      </c>
      <c r="AE20" s="127" t="s">
        <v>449</v>
      </c>
      <c r="AF20" s="127" t="s">
        <v>450</v>
      </c>
      <c r="AG20" s="127" t="s">
        <v>451</v>
      </c>
      <c r="AH20" s="127" t="s">
        <v>452</v>
      </c>
      <c r="AI20" s="127" t="s">
        <v>453</v>
      </c>
      <c r="AJ20" s="127" t="s">
        <v>454</v>
      </c>
      <c r="AK20" s="127" t="s">
        <v>455</v>
      </c>
      <c r="AL20" s="127" t="s">
        <v>456</v>
      </c>
    </row>
    <row r="21" spans="1:38" x14ac:dyDescent="0.25">
      <c r="A21" s="55">
        <v>37983</v>
      </c>
      <c r="B21" s="129" t="s">
        <v>250</v>
      </c>
      <c r="C21" s="56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353</v>
      </c>
      <c r="M21" t="s">
        <v>354</v>
      </c>
      <c r="N21" t="s">
        <v>355</v>
      </c>
      <c r="O21" t="s">
        <v>356</v>
      </c>
      <c r="P21" t="s">
        <v>357</v>
      </c>
      <c r="Q21" t="s">
        <v>358</v>
      </c>
      <c r="R21" t="s">
        <v>359</v>
      </c>
      <c r="S21" t="s">
        <v>360</v>
      </c>
      <c r="T21" t="s">
        <v>361</v>
      </c>
      <c r="U21" t="s">
        <v>362</v>
      </c>
      <c r="V21" t="s">
        <v>363</v>
      </c>
      <c r="W21" t="s">
        <v>364</v>
      </c>
      <c r="X21" t="s">
        <v>365</v>
      </c>
      <c r="Z21" s="127" t="s">
        <v>353</v>
      </c>
      <c r="AA21" s="127" t="s">
        <v>354</v>
      </c>
      <c r="AB21" s="127" t="s">
        <v>355</v>
      </c>
      <c r="AC21" s="127" t="s">
        <v>356</v>
      </c>
      <c r="AD21" s="127" t="s">
        <v>357</v>
      </c>
      <c r="AE21" s="127" t="s">
        <v>358</v>
      </c>
      <c r="AF21" s="127" t="s">
        <v>359</v>
      </c>
      <c r="AG21" s="127" t="s">
        <v>360</v>
      </c>
      <c r="AH21" s="127" t="s">
        <v>361</v>
      </c>
      <c r="AI21" s="127" t="s">
        <v>362</v>
      </c>
      <c r="AJ21" s="127" t="s">
        <v>363</v>
      </c>
      <c r="AK21" s="127" t="s">
        <v>364</v>
      </c>
      <c r="AL21" s="127" t="s">
        <v>365</v>
      </c>
    </row>
    <row r="22" spans="1:38" ht="15" customHeight="1" x14ac:dyDescent="0.25">
      <c r="A22" s="55">
        <v>38347</v>
      </c>
      <c r="B22" s="129" t="s">
        <v>250</v>
      </c>
      <c r="C22" s="56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548</v>
      </c>
      <c r="M22" t="s">
        <v>549</v>
      </c>
      <c r="N22" t="s">
        <v>550</v>
      </c>
      <c r="O22" t="s">
        <v>551</v>
      </c>
      <c r="P22" t="s">
        <v>552</v>
      </c>
      <c r="Q22" t="s">
        <v>553</v>
      </c>
      <c r="R22" t="s">
        <v>554</v>
      </c>
      <c r="S22" t="s">
        <v>555</v>
      </c>
      <c r="T22" t="s">
        <v>556</v>
      </c>
      <c r="U22" t="s">
        <v>557</v>
      </c>
      <c r="V22" t="s">
        <v>558</v>
      </c>
      <c r="W22" t="s">
        <v>559</v>
      </c>
      <c r="X22" t="s">
        <v>560</v>
      </c>
      <c r="Z22" s="127" t="s">
        <v>548</v>
      </c>
      <c r="AA22" s="127" t="s">
        <v>549</v>
      </c>
      <c r="AB22" s="127" t="s">
        <v>550</v>
      </c>
      <c r="AC22" s="127" t="s">
        <v>551</v>
      </c>
      <c r="AD22" s="127" t="s">
        <v>552</v>
      </c>
      <c r="AE22" s="127" t="s">
        <v>553</v>
      </c>
      <c r="AF22" s="127" t="s">
        <v>554</v>
      </c>
      <c r="AG22" s="127" t="s">
        <v>555</v>
      </c>
      <c r="AH22" s="127" t="s">
        <v>556</v>
      </c>
      <c r="AI22" s="127" t="s">
        <v>557</v>
      </c>
      <c r="AJ22" s="127" t="s">
        <v>558</v>
      </c>
      <c r="AK22" s="127" t="s">
        <v>559</v>
      </c>
      <c r="AL22" s="127" t="s">
        <v>560</v>
      </c>
    </row>
    <row r="23" spans="1:38" x14ac:dyDescent="0.25">
      <c r="A23" s="55">
        <v>38711</v>
      </c>
      <c r="B23" s="129" t="s">
        <v>250</v>
      </c>
      <c r="C23" s="56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366</v>
      </c>
      <c r="M23" t="s">
        <v>367</v>
      </c>
      <c r="N23" t="s">
        <v>368</v>
      </c>
      <c r="O23" t="s">
        <v>369</v>
      </c>
      <c r="P23" t="s">
        <v>370</v>
      </c>
      <c r="Q23" t="s">
        <v>371</v>
      </c>
      <c r="R23" t="s">
        <v>372</v>
      </c>
      <c r="S23" t="s">
        <v>373</v>
      </c>
      <c r="T23" t="s">
        <v>374</v>
      </c>
      <c r="U23" t="s">
        <v>375</v>
      </c>
      <c r="V23" t="s">
        <v>376</v>
      </c>
      <c r="W23" t="s">
        <v>377</v>
      </c>
      <c r="X23" t="s">
        <v>378</v>
      </c>
      <c r="Z23" s="127" t="s">
        <v>366</v>
      </c>
      <c r="AA23" s="127" t="s">
        <v>367</v>
      </c>
      <c r="AB23" s="127" t="s">
        <v>368</v>
      </c>
      <c r="AC23" s="127" t="s">
        <v>369</v>
      </c>
      <c r="AD23" s="127" t="s">
        <v>370</v>
      </c>
      <c r="AE23" s="127" t="s">
        <v>371</v>
      </c>
      <c r="AF23" s="127" t="s">
        <v>372</v>
      </c>
      <c r="AG23" s="127" t="s">
        <v>373</v>
      </c>
      <c r="AH23" s="127" t="s">
        <v>374</v>
      </c>
      <c r="AI23" s="127" t="s">
        <v>375</v>
      </c>
      <c r="AJ23" s="127" t="s">
        <v>376</v>
      </c>
      <c r="AK23" s="127" t="s">
        <v>377</v>
      </c>
      <c r="AL23" s="127" t="s">
        <v>378</v>
      </c>
    </row>
    <row r="24" spans="1:38" x14ac:dyDescent="0.25">
      <c r="A24" s="55">
        <v>39082</v>
      </c>
      <c r="B24" s="129" t="s">
        <v>250</v>
      </c>
      <c r="C24" s="56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649</v>
      </c>
      <c r="M24" t="s">
        <v>650</v>
      </c>
      <c r="N24" t="s">
        <v>651</v>
      </c>
      <c r="O24" t="s">
        <v>652</v>
      </c>
      <c r="P24" t="s">
        <v>653</v>
      </c>
      <c r="Q24" t="s">
        <v>654</v>
      </c>
      <c r="R24" t="s">
        <v>655</v>
      </c>
      <c r="S24" t="s">
        <v>656</v>
      </c>
      <c r="T24" t="s">
        <v>657</v>
      </c>
      <c r="U24" t="s">
        <v>658</v>
      </c>
      <c r="V24" t="s">
        <v>659</v>
      </c>
      <c r="W24" t="s">
        <v>660</v>
      </c>
      <c r="X24" t="s">
        <v>661</v>
      </c>
      <c r="Z24" s="127" t="s">
        <v>649</v>
      </c>
      <c r="AA24" s="127" t="s">
        <v>650</v>
      </c>
      <c r="AB24" s="127" t="s">
        <v>651</v>
      </c>
      <c r="AC24" s="127" t="s">
        <v>652</v>
      </c>
      <c r="AD24" s="127" t="s">
        <v>653</v>
      </c>
      <c r="AE24" s="127" t="s">
        <v>654</v>
      </c>
      <c r="AF24" s="127" t="s">
        <v>655</v>
      </c>
      <c r="AG24" s="127" t="s">
        <v>656</v>
      </c>
      <c r="AH24" s="127" t="s">
        <v>657</v>
      </c>
      <c r="AI24" s="127" t="s">
        <v>658</v>
      </c>
      <c r="AJ24" s="127" t="s">
        <v>659</v>
      </c>
      <c r="AK24" s="127" t="s">
        <v>660</v>
      </c>
      <c r="AL24" s="127" t="s">
        <v>661</v>
      </c>
    </row>
    <row r="25" spans="1:38" x14ac:dyDescent="0.25">
      <c r="A25" s="55">
        <v>39446</v>
      </c>
      <c r="B25" s="129" t="s">
        <v>250</v>
      </c>
      <c r="C25" s="56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431</v>
      </c>
      <c r="M25" t="s">
        <v>432</v>
      </c>
      <c r="N25" t="s">
        <v>433</v>
      </c>
      <c r="O25" t="s">
        <v>434</v>
      </c>
      <c r="P25" t="s">
        <v>435</v>
      </c>
      <c r="Q25" t="s">
        <v>436</v>
      </c>
      <c r="R25" t="s">
        <v>437</v>
      </c>
      <c r="S25" t="s">
        <v>438</v>
      </c>
      <c r="T25" t="s">
        <v>439</v>
      </c>
      <c r="U25" t="s">
        <v>440</v>
      </c>
      <c r="V25" t="s">
        <v>441</v>
      </c>
      <c r="W25" t="s">
        <v>442</v>
      </c>
      <c r="X25" t="s">
        <v>443</v>
      </c>
      <c r="Z25" s="127" t="s">
        <v>431</v>
      </c>
      <c r="AA25" s="127" t="s">
        <v>432</v>
      </c>
      <c r="AB25" s="127" t="s">
        <v>433</v>
      </c>
      <c r="AC25" s="127" t="s">
        <v>434</v>
      </c>
      <c r="AD25" s="127" t="s">
        <v>435</v>
      </c>
      <c r="AE25" s="127" t="s">
        <v>436</v>
      </c>
      <c r="AF25" s="127" t="s">
        <v>437</v>
      </c>
      <c r="AG25" s="127" t="s">
        <v>438</v>
      </c>
      <c r="AH25" s="127" t="s">
        <v>439</v>
      </c>
      <c r="AI25" s="127" t="s">
        <v>440</v>
      </c>
      <c r="AJ25" s="127" t="s">
        <v>441</v>
      </c>
      <c r="AK25" s="127" t="s">
        <v>442</v>
      </c>
      <c r="AL25" s="127" t="s">
        <v>443</v>
      </c>
    </row>
    <row r="26" spans="1:38" x14ac:dyDescent="0.25">
      <c r="A26" s="55">
        <v>39810</v>
      </c>
      <c r="B26" s="129" t="s">
        <v>250</v>
      </c>
      <c r="C26" s="5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470</v>
      </c>
      <c r="M26" t="s">
        <v>471</v>
      </c>
      <c r="N26" t="s">
        <v>472</v>
      </c>
      <c r="O26" t="s">
        <v>473</v>
      </c>
      <c r="P26" t="s">
        <v>474</v>
      </c>
      <c r="Q26" t="s">
        <v>475</v>
      </c>
      <c r="R26" t="s">
        <v>476</v>
      </c>
      <c r="S26" t="s">
        <v>477</v>
      </c>
      <c r="T26" t="s">
        <v>478</v>
      </c>
      <c r="U26" t="s">
        <v>479</v>
      </c>
      <c r="V26" t="s">
        <v>480</v>
      </c>
      <c r="W26" t="s">
        <v>481</v>
      </c>
      <c r="X26" t="s">
        <v>482</v>
      </c>
      <c r="Z26" s="127" t="s">
        <v>470</v>
      </c>
      <c r="AA26" s="127" t="s">
        <v>471</v>
      </c>
      <c r="AB26" s="127" t="s">
        <v>472</v>
      </c>
      <c r="AC26" s="127" t="s">
        <v>473</v>
      </c>
      <c r="AD26" s="127" t="s">
        <v>474</v>
      </c>
      <c r="AE26" s="127" t="s">
        <v>475</v>
      </c>
      <c r="AF26" s="127" t="s">
        <v>476</v>
      </c>
      <c r="AG26" s="127" t="s">
        <v>477</v>
      </c>
      <c r="AH26" s="127" t="s">
        <v>478</v>
      </c>
      <c r="AI26" s="127" t="s">
        <v>479</v>
      </c>
      <c r="AJ26" s="127" t="s">
        <v>480</v>
      </c>
      <c r="AK26" s="127" t="s">
        <v>481</v>
      </c>
      <c r="AL26" s="127" t="s">
        <v>482</v>
      </c>
    </row>
    <row r="27" spans="1:38" x14ac:dyDescent="0.25">
      <c r="A27" s="55">
        <v>40174</v>
      </c>
      <c r="B27" s="129" t="s">
        <v>250</v>
      </c>
      <c r="C27" s="56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457</v>
      </c>
      <c r="M27" t="s">
        <v>458</v>
      </c>
      <c r="N27" t="s">
        <v>459</v>
      </c>
      <c r="O27" t="s">
        <v>460</v>
      </c>
      <c r="P27" t="s">
        <v>461</v>
      </c>
      <c r="Q27" t="s">
        <v>462</v>
      </c>
      <c r="R27" t="s">
        <v>463</v>
      </c>
      <c r="S27" t="s">
        <v>464</v>
      </c>
      <c r="T27" t="s">
        <v>465</v>
      </c>
      <c r="U27" t="s">
        <v>466</v>
      </c>
      <c r="V27" t="s">
        <v>467</v>
      </c>
      <c r="W27" t="s">
        <v>468</v>
      </c>
      <c r="X27" t="s">
        <v>469</v>
      </c>
      <c r="Z27" s="127" t="s">
        <v>457</v>
      </c>
      <c r="AA27" s="127" t="s">
        <v>458</v>
      </c>
      <c r="AB27" s="127" t="s">
        <v>459</v>
      </c>
      <c r="AC27" s="127" t="s">
        <v>460</v>
      </c>
      <c r="AD27" s="127" t="s">
        <v>461</v>
      </c>
      <c r="AE27" s="127" t="s">
        <v>462</v>
      </c>
      <c r="AF27" s="127" t="s">
        <v>463</v>
      </c>
      <c r="AG27" s="127" t="s">
        <v>464</v>
      </c>
      <c r="AH27" s="127" t="s">
        <v>465</v>
      </c>
      <c r="AI27" s="127" t="s">
        <v>466</v>
      </c>
      <c r="AJ27" s="127" t="s">
        <v>467</v>
      </c>
      <c r="AK27" s="127" t="s">
        <v>468</v>
      </c>
      <c r="AL27" s="127" t="s">
        <v>469</v>
      </c>
    </row>
    <row r="28" spans="1:38" x14ac:dyDescent="0.25">
      <c r="A28" s="55">
        <v>40538</v>
      </c>
      <c r="B28" s="129" t="s">
        <v>250</v>
      </c>
      <c r="C28" s="56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509</v>
      </c>
      <c r="M28" t="s">
        <v>510</v>
      </c>
      <c r="N28" t="s">
        <v>511</v>
      </c>
      <c r="O28" t="s">
        <v>512</v>
      </c>
      <c r="P28" t="s">
        <v>513</v>
      </c>
      <c r="Q28" t="s">
        <v>514</v>
      </c>
      <c r="R28" t="s">
        <v>515</v>
      </c>
      <c r="S28" t="s">
        <v>516</v>
      </c>
      <c r="T28" t="s">
        <v>517</v>
      </c>
      <c r="U28" t="s">
        <v>518</v>
      </c>
      <c r="V28" t="s">
        <v>519</v>
      </c>
      <c r="W28" t="s">
        <v>520</v>
      </c>
      <c r="X28" t="s">
        <v>521</v>
      </c>
      <c r="Z28" s="127" t="s">
        <v>509</v>
      </c>
      <c r="AA28" s="127" t="s">
        <v>510</v>
      </c>
      <c r="AB28" s="127" t="s">
        <v>511</v>
      </c>
      <c r="AC28" s="127" t="s">
        <v>512</v>
      </c>
      <c r="AD28" s="127" t="s">
        <v>513</v>
      </c>
      <c r="AE28" s="127" t="s">
        <v>514</v>
      </c>
      <c r="AF28" s="127" t="s">
        <v>515</v>
      </c>
      <c r="AG28" s="127" t="s">
        <v>516</v>
      </c>
      <c r="AH28" s="127" t="s">
        <v>517</v>
      </c>
      <c r="AI28" s="127" t="s">
        <v>518</v>
      </c>
      <c r="AJ28" s="127" t="s">
        <v>519</v>
      </c>
      <c r="AK28" s="127" t="s">
        <v>520</v>
      </c>
      <c r="AL28" s="127" t="s">
        <v>521</v>
      </c>
    </row>
    <row r="29" spans="1:38" x14ac:dyDescent="0.25">
      <c r="A29" s="55">
        <v>40902</v>
      </c>
      <c r="B29" s="129" t="s">
        <v>250</v>
      </c>
      <c r="C29" s="56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340</v>
      </c>
      <c r="M29" t="s">
        <v>341</v>
      </c>
      <c r="N29" t="s">
        <v>342</v>
      </c>
      <c r="O29" t="s">
        <v>343</v>
      </c>
      <c r="P29" t="s">
        <v>344</v>
      </c>
      <c r="Q29" t="s">
        <v>345</v>
      </c>
      <c r="R29" t="s">
        <v>346</v>
      </c>
      <c r="S29" t="s">
        <v>347</v>
      </c>
      <c r="T29" t="s">
        <v>348</v>
      </c>
      <c r="U29" t="s">
        <v>349</v>
      </c>
      <c r="V29" t="s">
        <v>350</v>
      </c>
      <c r="W29" t="s">
        <v>351</v>
      </c>
      <c r="X29" t="s">
        <v>352</v>
      </c>
      <c r="Z29" s="127" t="s">
        <v>340</v>
      </c>
      <c r="AA29" s="127" t="s">
        <v>341</v>
      </c>
      <c r="AB29" s="127" t="s">
        <v>342</v>
      </c>
      <c r="AC29" s="127" t="s">
        <v>343</v>
      </c>
      <c r="AD29" s="127" t="s">
        <v>344</v>
      </c>
      <c r="AE29" s="127" t="s">
        <v>345</v>
      </c>
      <c r="AF29" s="127" t="s">
        <v>346</v>
      </c>
      <c r="AG29" s="127" t="s">
        <v>347</v>
      </c>
      <c r="AH29" s="127" t="s">
        <v>348</v>
      </c>
      <c r="AI29" s="127" t="s">
        <v>349</v>
      </c>
      <c r="AJ29" s="127" t="s">
        <v>350</v>
      </c>
      <c r="AK29" s="127" t="s">
        <v>351</v>
      </c>
      <c r="AL29" s="127" t="s">
        <v>352</v>
      </c>
    </row>
    <row r="30" spans="1:38" x14ac:dyDescent="0.25">
      <c r="A30" s="55">
        <v>41273</v>
      </c>
      <c r="B30" s="129" t="s">
        <v>250</v>
      </c>
      <c r="C30" s="56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1179</v>
      </c>
      <c r="M30" t="s">
        <v>1180</v>
      </c>
      <c r="N30" t="s">
        <v>1181</v>
      </c>
      <c r="O30" t="s">
        <v>1182</v>
      </c>
      <c r="P30" t="s">
        <v>1183</v>
      </c>
      <c r="Q30" t="s">
        <v>1184</v>
      </c>
      <c r="R30" t="s">
        <v>1185</v>
      </c>
      <c r="S30" t="s">
        <v>1186</v>
      </c>
      <c r="T30" t="s">
        <v>1187</v>
      </c>
      <c r="U30" t="s">
        <v>1188</v>
      </c>
      <c r="V30" t="s">
        <v>1189</v>
      </c>
      <c r="W30" t="s">
        <v>1190</v>
      </c>
      <c r="X30" t="s">
        <v>1191</v>
      </c>
      <c r="Z30" s="127" t="s">
        <v>1179</v>
      </c>
      <c r="AA30" s="127" t="s">
        <v>1180</v>
      </c>
      <c r="AB30" s="127" t="s">
        <v>1181</v>
      </c>
      <c r="AC30" s="127" t="s">
        <v>1182</v>
      </c>
      <c r="AD30" s="127" t="s">
        <v>1183</v>
      </c>
      <c r="AE30" s="127" t="s">
        <v>1184</v>
      </c>
      <c r="AF30" s="127" t="s">
        <v>1185</v>
      </c>
      <c r="AG30" s="127" t="s">
        <v>1186</v>
      </c>
      <c r="AH30" s="127" t="s">
        <v>1187</v>
      </c>
      <c r="AI30" s="127" t="s">
        <v>1188</v>
      </c>
      <c r="AJ30" s="127" t="s">
        <v>1189</v>
      </c>
      <c r="AK30" s="127" t="s">
        <v>1190</v>
      </c>
      <c r="AL30" s="127" t="s">
        <v>1191</v>
      </c>
    </row>
    <row r="31" spans="1:38" x14ac:dyDescent="0.25">
      <c r="A31" s="55">
        <v>41637</v>
      </c>
      <c r="B31" s="129" t="s">
        <v>250</v>
      </c>
      <c r="C31" s="56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275</v>
      </c>
      <c r="M31" t="s">
        <v>276</v>
      </c>
      <c r="N31" t="s">
        <v>277</v>
      </c>
      <c r="O31" t="s">
        <v>278</v>
      </c>
      <c r="P31" t="s">
        <v>279</v>
      </c>
      <c r="Q31" t="s">
        <v>280</v>
      </c>
      <c r="R31" t="s">
        <v>281</v>
      </c>
      <c r="S31" t="s">
        <v>282</v>
      </c>
      <c r="T31" t="s">
        <v>283</v>
      </c>
      <c r="U31" t="s">
        <v>284</v>
      </c>
      <c r="V31" t="s">
        <v>285</v>
      </c>
      <c r="W31" t="s">
        <v>286</v>
      </c>
      <c r="X31" t="s">
        <v>287</v>
      </c>
      <c r="Z31" s="127" t="s">
        <v>275</v>
      </c>
      <c r="AA31" s="127" t="s">
        <v>276</v>
      </c>
      <c r="AB31" s="127" t="s">
        <v>277</v>
      </c>
      <c r="AC31" s="127" t="s">
        <v>278</v>
      </c>
      <c r="AD31" s="127" t="s">
        <v>279</v>
      </c>
      <c r="AE31" s="127" t="s">
        <v>280</v>
      </c>
      <c r="AF31" s="127" t="s">
        <v>281</v>
      </c>
      <c r="AG31" s="127" t="s">
        <v>282</v>
      </c>
      <c r="AH31" s="127" t="s">
        <v>283</v>
      </c>
      <c r="AI31" s="127" t="s">
        <v>284</v>
      </c>
      <c r="AJ31" s="127" t="s">
        <v>285</v>
      </c>
      <c r="AK31" s="127" t="s">
        <v>286</v>
      </c>
      <c r="AL31" s="127" t="s">
        <v>287</v>
      </c>
    </row>
    <row r="32" spans="1:38" x14ac:dyDescent="0.25">
      <c r="A32" s="55">
        <v>42001</v>
      </c>
      <c r="B32" s="129" t="s">
        <v>250</v>
      </c>
      <c r="C32" s="56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288</v>
      </c>
      <c r="M32" t="s">
        <v>289</v>
      </c>
      <c r="N32" t="s">
        <v>290</v>
      </c>
      <c r="O32" t="s">
        <v>291</v>
      </c>
      <c r="P32" t="s">
        <v>292</v>
      </c>
      <c r="Q32" t="s">
        <v>293</v>
      </c>
      <c r="R32" t="s">
        <v>294</v>
      </c>
      <c r="S32" t="s">
        <v>295</v>
      </c>
      <c r="T32" t="s">
        <v>296</v>
      </c>
      <c r="U32" t="s">
        <v>297</v>
      </c>
      <c r="V32" t="s">
        <v>298</v>
      </c>
      <c r="W32" t="s">
        <v>299</v>
      </c>
      <c r="X32" t="s">
        <v>300</v>
      </c>
      <c r="Z32" s="127" t="s">
        <v>288</v>
      </c>
      <c r="AA32" s="127" t="s">
        <v>289</v>
      </c>
      <c r="AB32" s="127" t="s">
        <v>290</v>
      </c>
      <c r="AC32" s="127" t="s">
        <v>291</v>
      </c>
      <c r="AD32" s="127" t="s">
        <v>292</v>
      </c>
      <c r="AE32" s="127" t="s">
        <v>293</v>
      </c>
      <c r="AF32" s="127" t="s">
        <v>294</v>
      </c>
      <c r="AG32" s="127" t="s">
        <v>295</v>
      </c>
      <c r="AH32" s="127" t="s">
        <v>296</v>
      </c>
      <c r="AI32" s="127" t="s">
        <v>297</v>
      </c>
      <c r="AJ32" s="127" t="s">
        <v>298</v>
      </c>
      <c r="AK32" s="127" t="s">
        <v>299</v>
      </c>
      <c r="AL32" s="127" t="s">
        <v>300</v>
      </c>
    </row>
    <row r="33" spans="1:38" x14ac:dyDescent="0.25">
      <c r="A33" s="55">
        <v>42365</v>
      </c>
      <c r="B33" s="129" t="s">
        <v>250</v>
      </c>
      <c r="C33" s="56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405</v>
      </c>
      <c r="M33" t="s">
        <v>406</v>
      </c>
      <c r="N33" t="s">
        <v>407</v>
      </c>
      <c r="O33" t="s">
        <v>408</v>
      </c>
      <c r="P33" t="s">
        <v>409</v>
      </c>
      <c r="Q33" t="s">
        <v>410</v>
      </c>
      <c r="R33" t="s">
        <v>411</v>
      </c>
      <c r="S33" t="s">
        <v>412</v>
      </c>
      <c r="T33" t="s">
        <v>413</v>
      </c>
      <c r="U33" t="s">
        <v>414</v>
      </c>
      <c r="V33" t="s">
        <v>415</v>
      </c>
      <c r="W33" t="s">
        <v>416</v>
      </c>
      <c r="X33" t="s">
        <v>417</v>
      </c>
      <c r="Z33" s="127" t="s">
        <v>405</v>
      </c>
      <c r="AA33" s="127" t="s">
        <v>406</v>
      </c>
      <c r="AB33" s="127" t="s">
        <v>407</v>
      </c>
      <c r="AC33" s="127" t="s">
        <v>408</v>
      </c>
      <c r="AD33" s="127" t="s">
        <v>409</v>
      </c>
      <c r="AE33" s="127" t="s">
        <v>410</v>
      </c>
      <c r="AF33" s="127" t="s">
        <v>411</v>
      </c>
      <c r="AG33" s="127" t="s">
        <v>412</v>
      </c>
      <c r="AH33" s="127" t="s">
        <v>413</v>
      </c>
      <c r="AI33" s="127" t="s">
        <v>414</v>
      </c>
      <c r="AJ33" s="127" t="s">
        <v>415</v>
      </c>
      <c r="AK33" s="127" t="s">
        <v>416</v>
      </c>
      <c r="AL33" s="127" t="s">
        <v>417</v>
      </c>
    </row>
    <row r="34" spans="1:38" x14ac:dyDescent="0.25">
      <c r="A34" s="55">
        <v>42729</v>
      </c>
      <c r="B34" s="129" t="s">
        <v>250</v>
      </c>
      <c r="C34" s="56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301</v>
      </c>
      <c r="M34" t="s">
        <v>302</v>
      </c>
      <c r="N34" t="s">
        <v>303</v>
      </c>
      <c r="O34" t="s">
        <v>304</v>
      </c>
      <c r="P34" t="s">
        <v>305</v>
      </c>
      <c r="Q34" t="s">
        <v>306</v>
      </c>
      <c r="R34" t="s">
        <v>307</v>
      </c>
      <c r="S34" t="s">
        <v>308</v>
      </c>
      <c r="T34" t="s">
        <v>309</v>
      </c>
      <c r="U34" t="s">
        <v>310</v>
      </c>
      <c r="V34" t="s">
        <v>311</v>
      </c>
      <c r="W34" t="s">
        <v>312</v>
      </c>
      <c r="X34" t="s">
        <v>313</v>
      </c>
      <c r="Z34" s="127" t="s">
        <v>301</v>
      </c>
      <c r="AA34" s="127" t="s">
        <v>302</v>
      </c>
      <c r="AB34" s="127" t="s">
        <v>303</v>
      </c>
      <c r="AC34" s="127" t="s">
        <v>304</v>
      </c>
      <c r="AD34" s="127" t="s">
        <v>305</v>
      </c>
      <c r="AE34" s="127" t="s">
        <v>306</v>
      </c>
      <c r="AF34" s="127" t="s">
        <v>307</v>
      </c>
      <c r="AG34" s="127" t="s">
        <v>308</v>
      </c>
      <c r="AH34" s="127" t="s">
        <v>309</v>
      </c>
      <c r="AI34" s="127" t="s">
        <v>310</v>
      </c>
      <c r="AJ34" s="127" t="s">
        <v>311</v>
      </c>
      <c r="AK34" s="127" t="s">
        <v>312</v>
      </c>
      <c r="AL34" s="127" t="s">
        <v>313</v>
      </c>
    </row>
    <row r="35" spans="1:38" x14ac:dyDescent="0.25">
      <c r="A35" s="55">
        <v>36857</v>
      </c>
      <c r="B35" s="129" t="s">
        <v>250</v>
      </c>
      <c r="C35" s="56" t="s">
        <v>111</v>
      </c>
      <c r="F35" s="1">
        <v>36836</v>
      </c>
      <c r="G35" s="1">
        <v>36863</v>
      </c>
      <c r="H35" t="s">
        <v>76</v>
      </c>
      <c r="I35" t="s">
        <v>13</v>
      </c>
      <c r="J35" t="s">
        <v>12</v>
      </c>
      <c r="L35" t="s">
        <v>1192</v>
      </c>
      <c r="M35" t="s">
        <v>1193</v>
      </c>
      <c r="N35" t="s">
        <v>1194</v>
      </c>
      <c r="O35" t="s">
        <v>1195</v>
      </c>
      <c r="P35" t="s">
        <v>1196</v>
      </c>
      <c r="Q35" t="s">
        <v>1197</v>
      </c>
      <c r="R35" t="s">
        <v>1198</v>
      </c>
      <c r="S35" t="s">
        <v>1199</v>
      </c>
      <c r="T35" t="s">
        <v>1200</v>
      </c>
      <c r="U35" t="s">
        <v>1201</v>
      </c>
      <c r="V35" t="s">
        <v>1202</v>
      </c>
      <c r="W35" t="s">
        <v>1203</v>
      </c>
      <c r="X35" t="s">
        <v>1204</v>
      </c>
      <c r="Z35" s="127" t="s">
        <v>1192</v>
      </c>
      <c r="AA35" s="127" t="s">
        <v>1193</v>
      </c>
      <c r="AB35" s="127" t="s">
        <v>1194</v>
      </c>
      <c r="AC35" s="127" t="s">
        <v>1195</v>
      </c>
      <c r="AD35" s="127" t="s">
        <v>1196</v>
      </c>
      <c r="AE35" s="127" t="s">
        <v>1197</v>
      </c>
      <c r="AF35" s="127" t="s">
        <v>1198</v>
      </c>
      <c r="AG35" s="127" t="s">
        <v>1199</v>
      </c>
      <c r="AH35" s="127" t="s">
        <v>1200</v>
      </c>
      <c r="AI35" s="127" t="s">
        <v>1201</v>
      </c>
      <c r="AJ35" s="127" t="s">
        <v>1202</v>
      </c>
      <c r="AK35" s="127" t="s">
        <v>1203</v>
      </c>
      <c r="AL35" s="127" t="s">
        <v>1204</v>
      </c>
    </row>
    <row r="36" spans="1:38" x14ac:dyDescent="0.25">
      <c r="A36" s="55">
        <v>39048</v>
      </c>
      <c r="B36" s="129" t="s">
        <v>250</v>
      </c>
      <c r="C36" s="56" t="s">
        <v>111</v>
      </c>
      <c r="F36" s="1">
        <v>39048</v>
      </c>
      <c r="G36" s="1">
        <v>39082</v>
      </c>
      <c r="H36" t="s">
        <v>86</v>
      </c>
      <c r="I36" t="s">
        <v>14</v>
      </c>
      <c r="J36" t="s">
        <v>12</v>
      </c>
      <c r="L36" t="s">
        <v>649</v>
      </c>
      <c r="M36" t="s">
        <v>650</v>
      </c>
      <c r="N36" t="s">
        <v>651</v>
      </c>
      <c r="O36" t="s">
        <v>652</v>
      </c>
      <c r="P36" t="s">
        <v>653</v>
      </c>
      <c r="Q36" t="s">
        <v>654</v>
      </c>
      <c r="R36" t="s">
        <v>655</v>
      </c>
      <c r="S36" t="s">
        <v>656</v>
      </c>
      <c r="T36" t="s">
        <v>657</v>
      </c>
      <c r="U36" t="s">
        <v>658</v>
      </c>
      <c r="V36" t="s">
        <v>659</v>
      </c>
      <c r="W36" t="s">
        <v>660</v>
      </c>
      <c r="X36" t="s">
        <v>661</v>
      </c>
      <c r="Z36" s="127" t="s">
        <v>649</v>
      </c>
      <c r="AA36" s="127" t="s">
        <v>650</v>
      </c>
      <c r="AB36" s="127" t="s">
        <v>651</v>
      </c>
      <c r="AC36" s="127" t="s">
        <v>652</v>
      </c>
      <c r="AD36" s="127" t="s">
        <v>653</v>
      </c>
      <c r="AE36" s="127" t="s">
        <v>654</v>
      </c>
      <c r="AF36" s="127" t="s">
        <v>655</v>
      </c>
      <c r="AG36" s="127" t="s">
        <v>656</v>
      </c>
      <c r="AH36" s="127" t="s">
        <v>657</v>
      </c>
      <c r="AI36" s="127" t="s">
        <v>658</v>
      </c>
      <c r="AJ36" s="127" t="s">
        <v>659</v>
      </c>
      <c r="AK36" s="127" t="s">
        <v>660</v>
      </c>
      <c r="AL36" s="127" t="s">
        <v>661</v>
      </c>
    </row>
    <row r="37" spans="1:38" x14ac:dyDescent="0.25">
      <c r="A37" s="55">
        <v>43066</v>
      </c>
      <c r="B37" s="129" t="s">
        <v>250</v>
      </c>
      <c r="C37" s="56" t="s">
        <v>111</v>
      </c>
      <c r="F37" s="1">
        <v>43066</v>
      </c>
      <c r="G37" s="1">
        <v>43100</v>
      </c>
      <c r="H37" t="s">
        <v>70</v>
      </c>
      <c r="I37" t="s">
        <v>14</v>
      </c>
      <c r="J37" t="s">
        <v>12</v>
      </c>
      <c r="L37" t="s">
        <v>314</v>
      </c>
      <c r="M37" t="s">
        <v>315</v>
      </c>
      <c r="N37" t="s">
        <v>316</v>
      </c>
      <c r="O37" t="s">
        <v>317</v>
      </c>
      <c r="P37" t="s">
        <v>318</v>
      </c>
      <c r="Q37" t="s">
        <v>319</v>
      </c>
      <c r="R37" t="s">
        <v>320</v>
      </c>
      <c r="S37" t="s">
        <v>321</v>
      </c>
      <c r="T37" t="s">
        <v>322</v>
      </c>
      <c r="U37" t="s">
        <v>323</v>
      </c>
      <c r="V37" t="s">
        <v>324</v>
      </c>
      <c r="W37" t="s">
        <v>325</v>
      </c>
      <c r="X37" t="s">
        <v>326</v>
      </c>
      <c r="Z37" s="127" t="s">
        <v>314</v>
      </c>
      <c r="AA37" s="127" t="s">
        <v>315</v>
      </c>
      <c r="AB37" s="127" t="s">
        <v>316</v>
      </c>
      <c r="AC37" s="127" t="s">
        <v>317</v>
      </c>
      <c r="AD37" s="127" t="s">
        <v>318</v>
      </c>
      <c r="AE37" s="127" t="s">
        <v>319</v>
      </c>
      <c r="AF37" s="127" t="s">
        <v>320</v>
      </c>
      <c r="AG37" s="127" t="s">
        <v>321</v>
      </c>
      <c r="AH37" s="127" t="s">
        <v>322</v>
      </c>
      <c r="AI37" s="127" t="s">
        <v>323</v>
      </c>
      <c r="AJ37" s="127" t="s">
        <v>324</v>
      </c>
      <c r="AK37" s="127" t="s">
        <v>325</v>
      </c>
      <c r="AL37" s="127" t="s">
        <v>326</v>
      </c>
    </row>
    <row r="38" spans="1:38" x14ac:dyDescent="0.25">
      <c r="A38" s="55">
        <v>47084</v>
      </c>
      <c r="B38" s="129" t="s">
        <v>250</v>
      </c>
      <c r="C38" s="56" t="s">
        <v>111</v>
      </c>
      <c r="F38" s="1">
        <v>47084</v>
      </c>
      <c r="G38" s="1">
        <v>47118</v>
      </c>
      <c r="H38" t="s">
        <v>103</v>
      </c>
      <c r="I38" t="s">
        <v>14</v>
      </c>
      <c r="J38" t="s">
        <v>12</v>
      </c>
      <c r="L38" t="s">
        <v>623</v>
      </c>
      <c r="M38" t="s">
        <v>624</v>
      </c>
      <c r="N38" t="s">
        <v>625</v>
      </c>
      <c r="O38" t="s">
        <v>626</v>
      </c>
      <c r="P38" t="s">
        <v>627</v>
      </c>
      <c r="Q38" t="s">
        <v>628</v>
      </c>
      <c r="R38" t="s">
        <v>629</v>
      </c>
      <c r="S38" t="s">
        <v>630</v>
      </c>
      <c r="T38" t="s">
        <v>631</v>
      </c>
      <c r="U38" t="s">
        <v>632</v>
      </c>
      <c r="V38" t="s">
        <v>633</v>
      </c>
      <c r="W38" t="s">
        <v>634</v>
      </c>
      <c r="X38" t="s">
        <v>635</v>
      </c>
      <c r="Z38" s="127" t="s">
        <v>623</v>
      </c>
      <c r="AA38" s="127" t="s">
        <v>624</v>
      </c>
      <c r="AB38" s="127" t="s">
        <v>625</v>
      </c>
      <c r="AC38" s="127" t="s">
        <v>626</v>
      </c>
      <c r="AD38" s="127" t="s">
        <v>627</v>
      </c>
      <c r="AE38" s="127" t="s">
        <v>628</v>
      </c>
      <c r="AF38" s="127" t="s">
        <v>629</v>
      </c>
      <c r="AG38" s="127" t="s">
        <v>630</v>
      </c>
      <c r="AH38" s="127" t="s">
        <v>631</v>
      </c>
      <c r="AI38" s="127" t="s">
        <v>632</v>
      </c>
      <c r="AJ38" s="127" t="s">
        <v>633</v>
      </c>
      <c r="AK38" s="127" t="s">
        <v>634</v>
      </c>
      <c r="AL38" s="127" t="s">
        <v>635</v>
      </c>
    </row>
    <row r="39" spans="1:38" x14ac:dyDescent="0.25">
      <c r="A39" s="55">
        <v>36891</v>
      </c>
      <c r="B39" s="129" t="s">
        <v>250</v>
      </c>
      <c r="C39" s="56" t="s">
        <v>112</v>
      </c>
      <c r="F39" s="1">
        <v>36864</v>
      </c>
      <c r="G39" s="1">
        <v>36891</v>
      </c>
      <c r="H39" t="s">
        <v>76</v>
      </c>
      <c r="I39" t="s">
        <v>14</v>
      </c>
      <c r="J39" t="s">
        <v>12</v>
      </c>
      <c r="L39" t="s">
        <v>1192</v>
      </c>
      <c r="M39" t="s">
        <v>1193</v>
      </c>
      <c r="N39" t="s">
        <v>1194</v>
      </c>
      <c r="O39" t="s">
        <v>1195</v>
      </c>
      <c r="P39" t="s">
        <v>1196</v>
      </c>
      <c r="Q39" t="s">
        <v>1197</v>
      </c>
      <c r="R39" t="s">
        <v>1198</v>
      </c>
      <c r="S39" t="s">
        <v>1199</v>
      </c>
      <c r="T39" t="s">
        <v>1200</v>
      </c>
      <c r="U39" t="s">
        <v>1201</v>
      </c>
      <c r="V39" t="s">
        <v>1202</v>
      </c>
      <c r="W39" t="s">
        <v>1203</v>
      </c>
      <c r="X39" t="s">
        <v>1204</v>
      </c>
      <c r="Z39" s="127" t="s">
        <v>1192</v>
      </c>
      <c r="AA39" s="127" t="s">
        <v>1193</v>
      </c>
      <c r="AB39" s="127" t="s">
        <v>1194</v>
      </c>
      <c r="AC39" s="127" t="s">
        <v>1195</v>
      </c>
      <c r="AD39" s="127" t="s">
        <v>1196</v>
      </c>
      <c r="AE39" s="127" t="s">
        <v>1197</v>
      </c>
      <c r="AF39" s="127" t="s">
        <v>1198</v>
      </c>
      <c r="AG39" s="127" t="s">
        <v>1199</v>
      </c>
      <c r="AH39" s="127" t="s">
        <v>1200</v>
      </c>
      <c r="AI39" s="127" t="s">
        <v>1201</v>
      </c>
      <c r="AJ39" s="127" t="s">
        <v>1202</v>
      </c>
      <c r="AK39" s="127" t="s">
        <v>1203</v>
      </c>
      <c r="AL39" s="127" t="s">
        <v>1204</v>
      </c>
    </row>
    <row r="40" spans="1:38" x14ac:dyDescent="0.25">
      <c r="A40" s="55">
        <v>39082</v>
      </c>
      <c r="B40" s="129" t="s">
        <v>250</v>
      </c>
      <c r="C40" s="56" t="s">
        <v>112</v>
      </c>
      <c r="F40" s="1">
        <v>39048</v>
      </c>
      <c r="G40" s="1">
        <v>39082</v>
      </c>
      <c r="H40" t="s">
        <v>86</v>
      </c>
      <c r="I40" t="s">
        <v>14</v>
      </c>
      <c r="J40" t="s">
        <v>12</v>
      </c>
      <c r="L40" t="s">
        <v>649</v>
      </c>
      <c r="M40" t="s">
        <v>650</v>
      </c>
      <c r="N40" t="s">
        <v>651</v>
      </c>
      <c r="O40" t="s">
        <v>652</v>
      </c>
      <c r="P40" t="s">
        <v>653</v>
      </c>
      <c r="Q40" t="s">
        <v>654</v>
      </c>
      <c r="R40" t="s">
        <v>655</v>
      </c>
      <c r="S40" t="s">
        <v>656</v>
      </c>
      <c r="T40" t="s">
        <v>657</v>
      </c>
      <c r="U40" t="s">
        <v>658</v>
      </c>
      <c r="V40" t="s">
        <v>659</v>
      </c>
      <c r="W40" t="s">
        <v>660</v>
      </c>
      <c r="X40" t="s">
        <v>661</v>
      </c>
      <c r="Z40" s="127" t="s">
        <v>649</v>
      </c>
      <c r="AA40" s="127" t="s">
        <v>650</v>
      </c>
      <c r="AB40" s="127" t="s">
        <v>651</v>
      </c>
      <c r="AC40" s="127" t="s">
        <v>652</v>
      </c>
      <c r="AD40" s="127" t="s">
        <v>653</v>
      </c>
      <c r="AE40" s="127" t="s">
        <v>654</v>
      </c>
      <c r="AF40" s="127" t="s">
        <v>655</v>
      </c>
      <c r="AG40" s="127" t="s">
        <v>656</v>
      </c>
      <c r="AH40" s="127" t="s">
        <v>657</v>
      </c>
      <c r="AI40" s="127" t="s">
        <v>658</v>
      </c>
      <c r="AJ40" s="127" t="s">
        <v>659</v>
      </c>
      <c r="AK40" s="127" t="s">
        <v>660</v>
      </c>
      <c r="AL40" s="127" t="s">
        <v>661</v>
      </c>
    </row>
    <row r="41" spans="1:38" x14ac:dyDescent="0.25">
      <c r="A41" s="55">
        <v>43100</v>
      </c>
      <c r="B41" s="129" t="s">
        <v>250</v>
      </c>
      <c r="C41" s="56" t="s">
        <v>112</v>
      </c>
      <c r="F41" s="1">
        <v>43066</v>
      </c>
      <c r="G41" s="1">
        <v>43100</v>
      </c>
      <c r="H41" t="s">
        <v>70</v>
      </c>
      <c r="I41" t="s">
        <v>14</v>
      </c>
      <c r="J41" t="s">
        <v>12</v>
      </c>
      <c r="L41" t="s">
        <v>314</v>
      </c>
      <c r="M41" t="s">
        <v>315</v>
      </c>
      <c r="N41" t="s">
        <v>316</v>
      </c>
      <c r="O41" t="s">
        <v>317</v>
      </c>
      <c r="P41" t="s">
        <v>318</v>
      </c>
      <c r="Q41" t="s">
        <v>319</v>
      </c>
      <c r="R41" t="s">
        <v>320</v>
      </c>
      <c r="S41" t="s">
        <v>321</v>
      </c>
      <c r="T41" t="s">
        <v>322</v>
      </c>
      <c r="U41" t="s">
        <v>323</v>
      </c>
      <c r="V41" t="s">
        <v>324</v>
      </c>
      <c r="W41" t="s">
        <v>325</v>
      </c>
      <c r="X41" t="s">
        <v>326</v>
      </c>
      <c r="Z41" s="127" t="s">
        <v>314</v>
      </c>
      <c r="AA41" s="127" t="s">
        <v>315</v>
      </c>
      <c r="AB41" s="127" t="s">
        <v>316</v>
      </c>
      <c r="AC41" s="127" t="s">
        <v>317</v>
      </c>
      <c r="AD41" s="127" t="s">
        <v>318</v>
      </c>
      <c r="AE41" s="127" t="s">
        <v>319</v>
      </c>
      <c r="AF41" s="127" t="s">
        <v>320</v>
      </c>
      <c r="AG41" s="127" t="s">
        <v>321</v>
      </c>
      <c r="AH41" s="127" t="s">
        <v>322</v>
      </c>
      <c r="AI41" s="127" t="s">
        <v>323</v>
      </c>
      <c r="AJ41" s="127" t="s">
        <v>324</v>
      </c>
      <c r="AK41" s="127" t="s">
        <v>325</v>
      </c>
      <c r="AL41" s="127" t="s">
        <v>326</v>
      </c>
    </row>
    <row r="42" spans="1:38" x14ac:dyDescent="0.25">
      <c r="A42" s="55">
        <v>47118</v>
      </c>
      <c r="B42" s="129" t="s">
        <v>250</v>
      </c>
      <c r="C42" s="56" t="s">
        <v>112</v>
      </c>
      <c r="F42" s="1">
        <v>47084</v>
      </c>
      <c r="G42" s="1">
        <v>47118</v>
      </c>
      <c r="H42" t="s">
        <v>103</v>
      </c>
      <c r="I42" t="s">
        <v>14</v>
      </c>
      <c r="J42" t="s">
        <v>12</v>
      </c>
      <c r="L42" t="s">
        <v>623</v>
      </c>
      <c r="M42" t="s">
        <v>624</v>
      </c>
      <c r="N42" t="s">
        <v>625</v>
      </c>
      <c r="O42" t="s">
        <v>626</v>
      </c>
      <c r="P42" t="s">
        <v>627</v>
      </c>
      <c r="Q42" t="s">
        <v>628</v>
      </c>
      <c r="R42" t="s">
        <v>629</v>
      </c>
      <c r="S42" t="s">
        <v>630</v>
      </c>
      <c r="T42" t="s">
        <v>631</v>
      </c>
      <c r="U42" t="s">
        <v>632</v>
      </c>
      <c r="V42" t="s">
        <v>633</v>
      </c>
      <c r="W42" t="s">
        <v>634</v>
      </c>
      <c r="X42" t="s">
        <v>635</v>
      </c>
      <c r="Z42" s="127" t="s">
        <v>623</v>
      </c>
      <c r="AA42" s="127" t="s">
        <v>624</v>
      </c>
      <c r="AB42" s="127" t="s">
        <v>625</v>
      </c>
      <c r="AC42" s="127" t="s">
        <v>626</v>
      </c>
      <c r="AD42" s="127" t="s">
        <v>627</v>
      </c>
      <c r="AE42" s="127" t="s">
        <v>628</v>
      </c>
      <c r="AF42" s="127" t="s">
        <v>629</v>
      </c>
      <c r="AG42" s="127" t="s">
        <v>630</v>
      </c>
      <c r="AH42" s="127" t="s">
        <v>631</v>
      </c>
      <c r="AI42" s="127" t="s">
        <v>632</v>
      </c>
      <c r="AJ42" s="127" t="s">
        <v>633</v>
      </c>
      <c r="AK42" s="127" t="s">
        <v>634</v>
      </c>
      <c r="AL42" s="127" t="s">
        <v>635</v>
      </c>
    </row>
    <row r="43" spans="1:38" x14ac:dyDescent="0.25">
      <c r="A43" s="55">
        <v>36857</v>
      </c>
      <c r="B43" s="129" t="s">
        <v>250</v>
      </c>
      <c r="C43" s="56" t="s">
        <v>111</v>
      </c>
      <c r="F43" s="1">
        <v>36836</v>
      </c>
      <c r="G43" s="1">
        <v>36863</v>
      </c>
      <c r="H43" t="s">
        <v>76</v>
      </c>
      <c r="I43" t="s">
        <v>13</v>
      </c>
      <c r="J43" t="s">
        <v>12</v>
      </c>
      <c r="L43" t="s">
        <v>1192</v>
      </c>
      <c r="M43" t="s">
        <v>1193</v>
      </c>
      <c r="N43" t="s">
        <v>1194</v>
      </c>
      <c r="O43" t="s">
        <v>1195</v>
      </c>
      <c r="P43" t="s">
        <v>1196</v>
      </c>
      <c r="Q43" t="s">
        <v>1197</v>
      </c>
      <c r="R43" t="s">
        <v>1198</v>
      </c>
      <c r="S43" t="s">
        <v>1199</v>
      </c>
      <c r="T43" t="s">
        <v>1200</v>
      </c>
      <c r="U43" t="s">
        <v>1201</v>
      </c>
      <c r="V43" t="s">
        <v>1202</v>
      </c>
      <c r="W43" t="s">
        <v>1203</v>
      </c>
      <c r="X43" t="s">
        <v>1204</v>
      </c>
      <c r="Z43" s="127" t="s">
        <v>1192</v>
      </c>
      <c r="AA43" s="127" t="s">
        <v>1193</v>
      </c>
      <c r="AB43" s="127" t="s">
        <v>1194</v>
      </c>
      <c r="AC43" s="127" t="s">
        <v>1195</v>
      </c>
      <c r="AD43" s="127" t="s">
        <v>1196</v>
      </c>
      <c r="AE43" s="127" t="s">
        <v>1197</v>
      </c>
      <c r="AF43" s="127" t="s">
        <v>1198</v>
      </c>
      <c r="AG43" s="127" t="s">
        <v>1199</v>
      </c>
      <c r="AH43" s="127" t="s">
        <v>1200</v>
      </c>
      <c r="AI43" s="127" t="s">
        <v>1201</v>
      </c>
      <c r="AJ43" s="127" t="s">
        <v>1202</v>
      </c>
      <c r="AK43" s="127" t="s">
        <v>1203</v>
      </c>
      <c r="AL43" s="127" t="s">
        <v>1204</v>
      </c>
    </row>
    <row r="44" spans="1:38" x14ac:dyDescent="0.25">
      <c r="A44" s="55">
        <v>39048</v>
      </c>
      <c r="B44" s="129" t="s">
        <v>250</v>
      </c>
      <c r="C44" s="56" t="s">
        <v>111</v>
      </c>
      <c r="F44" s="1">
        <v>39048</v>
      </c>
      <c r="G44" s="1">
        <v>39082</v>
      </c>
      <c r="H44" t="s">
        <v>86</v>
      </c>
      <c r="I44" t="s">
        <v>14</v>
      </c>
      <c r="J44" t="s">
        <v>12</v>
      </c>
      <c r="L44" t="s">
        <v>649</v>
      </c>
      <c r="M44" t="s">
        <v>650</v>
      </c>
      <c r="N44" t="s">
        <v>651</v>
      </c>
      <c r="O44" t="s">
        <v>652</v>
      </c>
      <c r="P44" t="s">
        <v>653</v>
      </c>
      <c r="Q44" t="s">
        <v>654</v>
      </c>
      <c r="R44" t="s">
        <v>655</v>
      </c>
      <c r="S44" t="s">
        <v>656</v>
      </c>
      <c r="T44" t="s">
        <v>657</v>
      </c>
      <c r="U44" t="s">
        <v>658</v>
      </c>
      <c r="V44" t="s">
        <v>659</v>
      </c>
      <c r="W44" t="s">
        <v>660</v>
      </c>
      <c r="X44" t="s">
        <v>661</v>
      </c>
      <c r="Z44" s="127" t="s">
        <v>649</v>
      </c>
      <c r="AA44" s="127" t="s">
        <v>650</v>
      </c>
      <c r="AB44" s="127" t="s">
        <v>651</v>
      </c>
      <c r="AC44" s="127" t="s">
        <v>652</v>
      </c>
      <c r="AD44" s="127" t="s">
        <v>653</v>
      </c>
      <c r="AE44" s="127" t="s">
        <v>654</v>
      </c>
      <c r="AF44" s="127" t="s">
        <v>655</v>
      </c>
      <c r="AG44" s="127" t="s">
        <v>656</v>
      </c>
      <c r="AH44" s="127" t="s">
        <v>657</v>
      </c>
      <c r="AI44" s="127" t="s">
        <v>658</v>
      </c>
      <c r="AJ44" s="127" t="s">
        <v>659</v>
      </c>
      <c r="AK44" s="127" t="s">
        <v>660</v>
      </c>
      <c r="AL44" s="127" t="s">
        <v>661</v>
      </c>
    </row>
    <row r="45" spans="1:38" x14ac:dyDescent="0.25">
      <c r="A45" s="55">
        <v>43066</v>
      </c>
      <c r="B45" s="129" t="s">
        <v>250</v>
      </c>
      <c r="C45" s="56" t="s">
        <v>111</v>
      </c>
      <c r="F45" s="1">
        <v>43066</v>
      </c>
      <c r="G45" s="1">
        <v>43100</v>
      </c>
      <c r="H45" t="s">
        <v>70</v>
      </c>
      <c r="I45" t="s">
        <v>14</v>
      </c>
      <c r="J45" t="s">
        <v>12</v>
      </c>
      <c r="L45" t="s">
        <v>314</v>
      </c>
      <c r="M45" t="s">
        <v>315</v>
      </c>
      <c r="N45" t="s">
        <v>316</v>
      </c>
      <c r="O45" t="s">
        <v>317</v>
      </c>
      <c r="P45" t="s">
        <v>318</v>
      </c>
      <c r="Q45" t="s">
        <v>319</v>
      </c>
      <c r="R45" t="s">
        <v>320</v>
      </c>
      <c r="S45" t="s">
        <v>321</v>
      </c>
      <c r="T45" t="s">
        <v>322</v>
      </c>
      <c r="U45" t="s">
        <v>323</v>
      </c>
      <c r="V45" t="s">
        <v>324</v>
      </c>
      <c r="W45" t="s">
        <v>325</v>
      </c>
      <c r="X45" t="s">
        <v>326</v>
      </c>
      <c r="Z45" s="127" t="s">
        <v>314</v>
      </c>
      <c r="AA45" s="127" t="s">
        <v>315</v>
      </c>
      <c r="AB45" s="127" t="s">
        <v>316</v>
      </c>
      <c r="AC45" s="127" t="s">
        <v>317</v>
      </c>
      <c r="AD45" s="127" t="s">
        <v>318</v>
      </c>
      <c r="AE45" s="127" t="s">
        <v>319</v>
      </c>
      <c r="AF45" s="127" t="s">
        <v>320</v>
      </c>
      <c r="AG45" s="127" t="s">
        <v>321</v>
      </c>
      <c r="AH45" s="127" t="s">
        <v>322</v>
      </c>
      <c r="AI45" s="127" t="s">
        <v>323</v>
      </c>
      <c r="AJ45" s="127" t="s">
        <v>324</v>
      </c>
      <c r="AK45" s="127" t="s">
        <v>325</v>
      </c>
      <c r="AL45" s="127" t="s">
        <v>326</v>
      </c>
    </row>
    <row r="46" spans="1:38" x14ac:dyDescent="0.25">
      <c r="A46" s="55">
        <v>47084</v>
      </c>
      <c r="B46" s="129" t="s">
        <v>250</v>
      </c>
      <c r="C46" s="56" t="s">
        <v>111</v>
      </c>
      <c r="F46" s="1">
        <v>47084</v>
      </c>
      <c r="G46" s="1">
        <v>47118</v>
      </c>
      <c r="H46" t="s">
        <v>103</v>
      </c>
      <c r="I46" t="s">
        <v>14</v>
      </c>
      <c r="J46" t="s">
        <v>12</v>
      </c>
      <c r="L46" t="s">
        <v>623</v>
      </c>
      <c r="M46" t="s">
        <v>624</v>
      </c>
      <c r="N46" t="s">
        <v>625</v>
      </c>
      <c r="O46" t="s">
        <v>626</v>
      </c>
      <c r="P46" t="s">
        <v>627</v>
      </c>
      <c r="Q46" t="s">
        <v>628</v>
      </c>
      <c r="R46" t="s">
        <v>629</v>
      </c>
      <c r="S46" t="s">
        <v>630</v>
      </c>
      <c r="T46" t="s">
        <v>631</v>
      </c>
      <c r="U46" t="s">
        <v>632</v>
      </c>
      <c r="V46" t="s">
        <v>633</v>
      </c>
      <c r="W46" t="s">
        <v>634</v>
      </c>
      <c r="X46" t="s">
        <v>635</v>
      </c>
      <c r="Z46" s="127" t="s">
        <v>623</v>
      </c>
      <c r="AA46" s="127" t="s">
        <v>624</v>
      </c>
      <c r="AB46" s="127" t="s">
        <v>625</v>
      </c>
      <c r="AC46" s="127" t="s">
        <v>626</v>
      </c>
      <c r="AD46" s="127" t="s">
        <v>627</v>
      </c>
      <c r="AE46" s="127" t="s">
        <v>628</v>
      </c>
      <c r="AF46" s="127" t="s">
        <v>629</v>
      </c>
      <c r="AG46" s="127" t="s">
        <v>630</v>
      </c>
      <c r="AH46" s="127" t="s">
        <v>631</v>
      </c>
      <c r="AI46" s="127" t="s">
        <v>632</v>
      </c>
      <c r="AJ46" s="127" t="s">
        <v>633</v>
      </c>
      <c r="AK46" s="127" t="s">
        <v>634</v>
      </c>
      <c r="AL46" s="127" t="s">
        <v>635</v>
      </c>
    </row>
    <row r="47" spans="1:38" x14ac:dyDescent="0.25">
      <c r="A47" s="55">
        <v>36891</v>
      </c>
      <c r="B47" s="129" t="s">
        <v>250</v>
      </c>
      <c r="C47" s="56" t="s">
        <v>112</v>
      </c>
      <c r="F47" s="1">
        <v>36864</v>
      </c>
      <c r="G47" s="1">
        <v>36891</v>
      </c>
      <c r="H47" t="s">
        <v>76</v>
      </c>
      <c r="I47" t="s">
        <v>14</v>
      </c>
      <c r="J47" t="s">
        <v>12</v>
      </c>
      <c r="L47" t="s">
        <v>1192</v>
      </c>
      <c r="M47" t="s">
        <v>1193</v>
      </c>
      <c r="N47" t="s">
        <v>1194</v>
      </c>
      <c r="O47" t="s">
        <v>1195</v>
      </c>
      <c r="P47" t="s">
        <v>1196</v>
      </c>
      <c r="Q47" t="s">
        <v>1197</v>
      </c>
      <c r="R47" t="s">
        <v>1198</v>
      </c>
      <c r="S47" t="s">
        <v>1199</v>
      </c>
      <c r="T47" t="s">
        <v>1200</v>
      </c>
      <c r="U47" t="s">
        <v>1201</v>
      </c>
      <c r="V47" t="s">
        <v>1202</v>
      </c>
      <c r="W47" t="s">
        <v>1203</v>
      </c>
      <c r="X47" t="s">
        <v>1204</v>
      </c>
      <c r="Z47" s="127" t="s">
        <v>1192</v>
      </c>
      <c r="AA47" s="127" t="s">
        <v>1193</v>
      </c>
      <c r="AB47" s="127" t="s">
        <v>1194</v>
      </c>
      <c r="AC47" s="127" t="s">
        <v>1195</v>
      </c>
      <c r="AD47" s="127" t="s">
        <v>1196</v>
      </c>
      <c r="AE47" s="127" t="s">
        <v>1197</v>
      </c>
      <c r="AF47" s="127" t="s">
        <v>1198</v>
      </c>
      <c r="AG47" s="127" t="s">
        <v>1199</v>
      </c>
      <c r="AH47" s="127" t="s">
        <v>1200</v>
      </c>
      <c r="AI47" s="127" t="s">
        <v>1201</v>
      </c>
      <c r="AJ47" s="127" t="s">
        <v>1202</v>
      </c>
      <c r="AK47" s="127" t="s">
        <v>1203</v>
      </c>
      <c r="AL47" s="127" t="s">
        <v>1204</v>
      </c>
    </row>
    <row r="48" spans="1:38" x14ac:dyDescent="0.25">
      <c r="A48" s="55">
        <v>39082</v>
      </c>
      <c r="B48" s="129" t="s">
        <v>250</v>
      </c>
      <c r="C48" s="56" t="s">
        <v>112</v>
      </c>
      <c r="F48" s="1">
        <v>39048</v>
      </c>
      <c r="G48" s="1">
        <v>39082</v>
      </c>
      <c r="H48" t="s">
        <v>86</v>
      </c>
      <c r="I48" t="s">
        <v>14</v>
      </c>
      <c r="J48" t="s">
        <v>12</v>
      </c>
      <c r="L48" t="s">
        <v>649</v>
      </c>
      <c r="M48" t="s">
        <v>650</v>
      </c>
      <c r="N48" t="s">
        <v>651</v>
      </c>
      <c r="O48" t="s">
        <v>652</v>
      </c>
      <c r="P48" t="s">
        <v>653</v>
      </c>
      <c r="Q48" t="s">
        <v>654</v>
      </c>
      <c r="R48" t="s">
        <v>655</v>
      </c>
      <c r="S48" t="s">
        <v>656</v>
      </c>
      <c r="T48" t="s">
        <v>657</v>
      </c>
      <c r="U48" t="s">
        <v>658</v>
      </c>
      <c r="V48" t="s">
        <v>659</v>
      </c>
      <c r="W48" t="s">
        <v>660</v>
      </c>
      <c r="X48" t="s">
        <v>661</v>
      </c>
      <c r="Z48" s="127" t="s">
        <v>649</v>
      </c>
      <c r="AA48" s="127" t="s">
        <v>650</v>
      </c>
      <c r="AB48" s="127" t="s">
        <v>651</v>
      </c>
      <c r="AC48" s="127" t="s">
        <v>652</v>
      </c>
      <c r="AD48" s="127" t="s">
        <v>653</v>
      </c>
      <c r="AE48" s="127" t="s">
        <v>654</v>
      </c>
      <c r="AF48" s="127" t="s">
        <v>655</v>
      </c>
      <c r="AG48" s="127" t="s">
        <v>656</v>
      </c>
      <c r="AH48" s="127" t="s">
        <v>657</v>
      </c>
      <c r="AI48" s="127" t="s">
        <v>658</v>
      </c>
      <c r="AJ48" s="127" t="s">
        <v>659</v>
      </c>
      <c r="AK48" s="127" t="s">
        <v>660</v>
      </c>
      <c r="AL48" s="127" t="s">
        <v>661</v>
      </c>
    </row>
    <row r="49" spans="1:38" x14ac:dyDescent="0.25">
      <c r="A49" s="55">
        <v>43100</v>
      </c>
      <c r="B49" s="129" t="s">
        <v>250</v>
      </c>
      <c r="C49" s="56" t="s">
        <v>112</v>
      </c>
      <c r="F49" s="1">
        <v>43066</v>
      </c>
      <c r="G49" s="1">
        <v>43100</v>
      </c>
      <c r="H49" t="s">
        <v>70</v>
      </c>
      <c r="I49" t="s">
        <v>14</v>
      </c>
      <c r="J49" t="s">
        <v>12</v>
      </c>
      <c r="L49" t="s">
        <v>314</v>
      </c>
      <c r="M49" t="s">
        <v>315</v>
      </c>
      <c r="N49" t="s">
        <v>316</v>
      </c>
      <c r="O49" t="s">
        <v>317</v>
      </c>
      <c r="P49" t="s">
        <v>318</v>
      </c>
      <c r="Q49" t="s">
        <v>319</v>
      </c>
      <c r="R49" t="s">
        <v>320</v>
      </c>
      <c r="S49" t="s">
        <v>321</v>
      </c>
      <c r="T49" t="s">
        <v>322</v>
      </c>
      <c r="U49" t="s">
        <v>323</v>
      </c>
      <c r="V49" t="s">
        <v>324</v>
      </c>
      <c r="W49" t="s">
        <v>325</v>
      </c>
      <c r="X49" t="s">
        <v>326</v>
      </c>
      <c r="Z49" s="127" t="s">
        <v>314</v>
      </c>
      <c r="AA49" s="127" t="s">
        <v>315</v>
      </c>
      <c r="AB49" s="127" t="s">
        <v>316</v>
      </c>
      <c r="AC49" s="127" t="s">
        <v>317</v>
      </c>
      <c r="AD49" s="127" t="s">
        <v>318</v>
      </c>
      <c r="AE49" s="127" t="s">
        <v>319</v>
      </c>
      <c r="AF49" s="127" t="s">
        <v>320</v>
      </c>
      <c r="AG49" s="127" t="s">
        <v>321</v>
      </c>
      <c r="AH49" s="127" t="s">
        <v>322</v>
      </c>
      <c r="AI49" s="127" t="s">
        <v>323</v>
      </c>
      <c r="AJ49" s="127" t="s">
        <v>324</v>
      </c>
      <c r="AK49" s="127" t="s">
        <v>325</v>
      </c>
      <c r="AL49" s="127" t="s">
        <v>326</v>
      </c>
    </row>
    <row r="50" spans="1:38" x14ac:dyDescent="0.25">
      <c r="A50" s="55">
        <v>47118</v>
      </c>
      <c r="B50" s="129" t="s">
        <v>250</v>
      </c>
      <c r="C50" s="56" t="s">
        <v>112</v>
      </c>
      <c r="F50" s="1">
        <v>47084</v>
      </c>
      <c r="G50" s="1">
        <v>47118</v>
      </c>
      <c r="H50" t="s">
        <v>103</v>
      </c>
      <c r="I50" t="s">
        <v>14</v>
      </c>
      <c r="J50" t="s">
        <v>12</v>
      </c>
      <c r="L50" t="s">
        <v>623</v>
      </c>
      <c r="M50" t="s">
        <v>624</v>
      </c>
      <c r="N50" t="s">
        <v>625</v>
      </c>
      <c r="O50" t="s">
        <v>626</v>
      </c>
      <c r="P50" t="s">
        <v>627</v>
      </c>
      <c r="Q50" t="s">
        <v>628</v>
      </c>
      <c r="R50" t="s">
        <v>629</v>
      </c>
      <c r="S50" t="s">
        <v>630</v>
      </c>
      <c r="T50" t="s">
        <v>631</v>
      </c>
      <c r="U50" t="s">
        <v>632</v>
      </c>
      <c r="V50" t="s">
        <v>633</v>
      </c>
      <c r="W50" t="s">
        <v>634</v>
      </c>
      <c r="X50" t="s">
        <v>635</v>
      </c>
      <c r="Z50" s="127" t="s">
        <v>623</v>
      </c>
      <c r="AA50" s="127" t="s">
        <v>624</v>
      </c>
      <c r="AB50" s="127" t="s">
        <v>625</v>
      </c>
      <c r="AC50" s="127" t="s">
        <v>626</v>
      </c>
      <c r="AD50" s="127" t="s">
        <v>627</v>
      </c>
      <c r="AE50" s="127" t="s">
        <v>628</v>
      </c>
      <c r="AF50" s="127" t="s">
        <v>629</v>
      </c>
      <c r="AG50" s="127" t="s">
        <v>630</v>
      </c>
      <c r="AH50" s="127" t="s">
        <v>631</v>
      </c>
      <c r="AI50" s="127" t="s">
        <v>632</v>
      </c>
      <c r="AJ50" s="127" t="s">
        <v>633</v>
      </c>
      <c r="AK50" s="127" t="s">
        <v>634</v>
      </c>
      <c r="AL50" s="127" t="s">
        <v>635</v>
      </c>
    </row>
    <row r="51" spans="1:38" x14ac:dyDescent="0.25">
      <c r="A51" s="1">
        <v>42658</v>
      </c>
      <c r="B51" s="129" t="s">
        <v>250</v>
      </c>
      <c r="C51" s="57" t="s">
        <v>138</v>
      </c>
      <c r="F51" s="1">
        <v>42646</v>
      </c>
      <c r="G51" s="1">
        <v>42673</v>
      </c>
      <c r="H51" t="s">
        <v>16</v>
      </c>
      <c r="I51" t="s">
        <v>150</v>
      </c>
      <c r="J51" t="s">
        <v>12</v>
      </c>
      <c r="L51" t="s">
        <v>301</v>
      </c>
      <c r="M51" t="s">
        <v>302</v>
      </c>
      <c r="N51" t="s">
        <v>303</v>
      </c>
      <c r="O51" t="s">
        <v>304</v>
      </c>
      <c r="P51" t="s">
        <v>305</v>
      </c>
      <c r="Q51" t="s">
        <v>306</v>
      </c>
      <c r="R51" t="s">
        <v>307</v>
      </c>
      <c r="S51" t="s">
        <v>308</v>
      </c>
      <c r="T51" t="s">
        <v>309</v>
      </c>
      <c r="U51" t="s">
        <v>310</v>
      </c>
      <c r="V51" t="s">
        <v>311</v>
      </c>
      <c r="W51" t="s">
        <v>312</v>
      </c>
      <c r="X51" t="s">
        <v>313</v>
      </c>
      <c r="Z51" s="127" t="s">
        <v>301</v>
      </c>
      <c r="AA51" s="127" t="s">
        <v>302</v>
      </c>
      <c r="AB51" s="127" t="s">
        <v>303</v>
      </c>
      <c r="AC51" s="127" t="s">
        <v>304</v>
      </c>
      <c r="AD51" s="127" t="s">
        <v>305</v>
      </c>
      <c r="AE51" s="127" t="s">
        <v>306</v>
      </c>
      <c r="AF51" s="127" t="s">
        <v>307</v>
      </c>
      <c r="AG51" s="127" t="s">
        <v>308</v>
      </c>
      <c r="AH51" s="127" t="s">
        <v>309</v>
      </c>
      <c r="AI51" s="127" t="s">
        <v>310</v>
      </c>
      <c r="AJ51" s="127" t="s">
        <v>311</v>
      </c>
      <c r="AK51" s="127" t="s">
        <v>312</v>
      </c>
      <c r="AL51" s="127" t="s">
        <v>313</v>
      </c>
    </row>
    <row r="52" spans="1:38" x14ac:dyDescent="0.25">
      <c r="A52" s="1">
        <v>46907</v>
      </c>
      <c r="B52" s="129" t="s">
        <v>250</v>
      </c>
      <c r="C52" s="57" t="s">
        <v>138</v>
      </c>
      <c r="F52" s="1">
        <v>46888</v>
      </c>
      <c r="G52" s="1">
        <v>46915</v>
      </c>
      <c r="H52" t="s">
        <v>103</v>
      </c>
      <c r="I52" t="s">
        <v>146</v>
      </c>
      <c r="J52" t="s">
        <v>143</v>
      </c>
      <c r="L52" t="s">
        <v>623</v>
      </c>
      <c r="M52" t="s">
        <v>624</v>
      </c>
      <c r="N52" t="s">
        <v>625</v>
      </c>
      <c r="O52" t="s">
        <v>626</v>
      </c>
      <c r="P52" t="s">
        <v>627</v>
      </c>
      <c r="Q52" t="s">
        <v>628</v>
      </c>
      <c r="R52" t="s">
        <v>629</v>
      </c>
      <c r="S52" t="s">
        <v>630</v>
      </c>
      <c r="T52" t="s">
        <v>631</v>
      </c>
      <c r="U52" t="s">
        <v>632</v>
      </c>
      <c r="V52" t="s">
        <v>633</v>
      </c>
      <c r="W52" t="s">
        <v>634</v>
      </c>
      <c r="X52" t="s">
        <v>635</v>
      </c>
      <c r="Z52" s="127" t="s">
        <v>623</v>
      </c>
      <c r="AA52" s="127" t="s">
        <v>624</v>
      </c>
      <c r="AB52" s="127" t="s">
        <v>625</v>
      </c>
      <c r="AC52" s="127" t="s">
        <v>626</v>
      </c>
      <c r="AD52" s="127" t="s">
        <v>627</v>
      </c>
      <c r="AE52" s="127" t="s">
        <v>628</v>
      </c>
      <c r="AF52" s="127" t="s">
        <v>629</v>
      </c>
      <c r="AG52" s="127" t="s">
        <v>630</v>
      </c>
      <c r="AH52" s="127" t="s">
        <v>631</v>
      </c>
      <c r="AI52" s="127" t="s">
        <v>632</v>
      </c>
      <c r="AJ52" s="127" t="s">
        <v>633</v>
      </c>
      <c r="AK52" s="127" t="s">
        <v>634</v>
      </c>
      <c r="AL52" s="127" t="s">
        <v>635</v>
      </c>
    </row>
    <row r="53" spans="1:38" x14ac:dyDescent="0.25">
      <c r="A53" s="1">
        <v>37749</v>
      </c>
      <c r="B53" s="129" t="s">
        <v>250</v>
      </c>
      <c r="C53" s="57" t="s">
        <v>138</v>
      </c>
      <c r="F53" s="1">
        <v>37732</v>
      </c>
      <c r="G53" s="1">
        <v>37759</v>
      </c>
      <c r="H53" t="s">
        <v>80</v>
      </c>
      <c r="I53" t="s">
        <v>142</v>
      </c>
      <c r="J53" t="s">
        <v>143</v>
      </c>
      <c r="L53" t="s">
        <v>353</v>
      </c>
      <c r="M53" t="s">
        <v>354</v>
      </c>
      <c r="N53" t="s">
        <v>355</v>
      </c>
      <c r="O53" t="s">
        <v>356</v>
      </c>
      <c r="P53" t="s">
        <v>357</v>
      </c>
      <c r="Q53" t="s">
        <v>358</v>
      </c>
      <c r="R53" t="s">
        <v>359</v>
      </c>
      <c r="S53" t="s">
        <v>360</v>
      </c>
      <c r="T53" t="s">
        <v>361</v>
      </c>
      <c r="U53" t="s">
        <v>362</v>
      </c>
      <c r="V53" t="s">
        <v>363</v>
      </c>
      <c r="W53" t="s">
        <v>364</v>
      </c>
      <c r="X53" t="s">
        <v>365</v>
      </c>
      <c r="Z53" s="127" t="s">
        <v>353</v>
      </c>
      <c r="AA53" s="127" t="s">
        <v>354</v>
      </c>
      <c r="AB53" s="127" t="s">
        <v>355</v>
      </c>
      <c r="AC53" s="127" t="s">
        <v>356</v>
      </c>
      <c r="AD53" s="127" t="s">
        <v>357</v>
      </c>
      <c r="AE53" s="127" t="s">
        <v>358</v>
      </c>
      <c r="AF53" s="127" t="s">
        <v>359</v>
      </c>
      <c r="AG53" s="127" t="s">
        <v>360</v>
      </c>
      <c r="AH53" s="127" t="s">
        <v>361</v>
      </c>
      <c r="AI53" s="127" t="s">
        <v>362</v>
      </c>
      <c r="AJ53" s="127" t="s">
        <v>363</v>
      </c>
      <c r="AK53" s="127" t="s">
        <v>364</v>
      </c>
      <c r="AL53" s="127" t="s">
        <v>365</v>
      </c>
    </row>
    <row r="54" spans="1:38" x14ac:dyDescent="0.25">
      <c r="A54" s="1">
        <v>40877</v>
      </c>
      <c r="B54" s="129" t="s">
        <v>250</v>
      </c>
      <c r="C54" s="57" t="s">
        <v>138</v>
      </c>
      <c r="F54" s="1">
        <v>40875</v>
      </c>
      <c r="G54" s="1">
        <v>40902</v>
      </c>
      <c r="H54" t="s">
        <v>91</v>
      </c>
      <c r="I54" t="s">
        <v>14</v>
      </c>
      <c r="J54" t="s">
        <v>12</v>
      </c>
      <c r="L54" t="s">
        <v>340</v>
      </c>
      <c r="M54" t="s">
        <v>341</v>
      </c>
      <c r="N54" t="s">
        <v>342</v>
      </c>
      <c r="O54" t="s">
        <v>343</v>
      </c>
      <c r="P54" t="s">
        <v>344</v>
      </c>
      <c r="Q54" t="s">
        <v>345</v>
      </c>
      <c r="R54" t="s">
        <v>346</v>
      </c>
      <c r="S54" t="s">
        <v>347</v>
      </c>
      <c r="T54" t="s">
        <v>348</v>
      </c>
      <c r="U54" t="s">
        <v>349</v>
      </c>
      <c r="V54" t="s">
        <v>350</v>
      </c>
      <c r="W54" t="s">
        <v>351</v>
      </c>
      <c r="X54" t="s">
        <v>352</v>
      </c>
      <c r="Z54" s="127" t="s">
        <v>340</v>
      </c>
      <c r="AA54" s="127" t="s">
        <v>341</v>
      </c>
      <c r="AB54" s="127" t="s">
        <v>342</v>
      </c>
      <c r="AC54" s="127" t="s">
        <v>343</v>
      </c>
      <c r="AD54" s="127" t="s">
        <v>344</v>
      </c>
      <c r="AE54" s="127" t="s">
        <v>345</v>
      </c>
      <c r="AF54" s="127" t="s">
        <v>346</v>
      </c>
      <c r="AG54" s="127" t="s">
        <v>347</v>
      </c>
      <c r="AH54" s="127" t="s">
        <v>348</v>
      </c>
      <c r="AI54" s="127" t="s">
        <v>349</v>
      </c>
      <c r="AJ54" s="127" t="s">
        <v>350</v>
      </c>
      <c r="AK54" s="127" t="s">
        <v>351</v>
      </c>
      <c r="AL54" s="127" t="s">
        <v>352</v>
      </c>
    </row>
    <row r="55" spans="1:38" x14ac:dyDescent="0.25">
      <c r="A55" s="1">
        <v>46512</v>
      </c>
      <c r="B55" s="129" t="s">
        <v>250</v>
      </c>
      <c r="C55" s="57" t="s">
        <v>138</v>
      </c>
      <c r="E55" s="2" t="s">
        <v>71</v>
      </c>
      <c r="F55" s="1">
        <v>46496</v>
      </c>
      <c r="G55" s="1">
        <v>46523</v>
      </c>
      <c r="H55" t="s">
        <v>101</v>
      </c>
      <c r="I55" t="s">
        <v>142</v>
      </c>
      <c r="J55" t="s">
        <v>143</v>
      </c>
      <c r="L55" t="s">
        <v>610</v>
      </c>
      <c r="M55" t="s">
        <v>611</v>
      </c>
      <c r="N55" t="s">
        <v>612</v>
      </c>
      <c r="O55" t="s">
        <v>613</v>
      </c>
      <c r="P55" t="s">
        <v>614</v>
      </c>
      <c r="Q55" t="s">
        <v>615</v>
      </c>
      <c r="R55" t="s">
        <v>616</v>
      </c>
      <c r="S55" t="s">
        <v>617</v>
      </c>
      <c r="T55" t="s">
        <v>618</v>
      </c>
      <c r="U55" t="s">
        <v>619</v>
      </c>
      <c r="V55" t="s">
        <v>620</v>
      </c>
      <c r="W55" t="s">
        <v>621</v>
      </c>
      <c r="X55" t="s">
        <v>622</v>
      </c>
      <c r="Z55" s="127" t="s">
        <v>610</v>
      </c>
      <c r="AA55" s="127" t="s">
        <v>611</v>
      </c>
      <c r="AB55" s="127" t="s">
        <v>612</v>
      </c>
      <c r="AC55" s="127" t="s">
        <v>613</v>
      </c>
      <c r="AD55" s="127" t="s">
        <v>614</v>
      </c>
      <c r="AE55" s="127" t="s">
        <v>615</v>
      </c>
      <c r="AF55" s="127" t="s">
        <v>616</v>
      </c>
      <c r="AG55" s="127" t="s">
        <v>617</v>
      </c>
      <c r="AH55" s="127" t="s">
        <v>618</v>
      </c>
      <c r="AI55" s="127" t="s">
        <v>619</v>
      </c>
      <c r="AJ55" s="127" t="s">
        <v>620</v>
      </c>
      <c r="AK55" s="127" t="s">
        <v>621</v>
      </c>
      <c r="AL55" s="127" t="s">
        <v>622</v>
      </c>
    </row>
    <row r="56" spans="1:38" x14ac:dyDescent="0.25">
      <c r="A56" s="1">
        <v>46577</v>
      </c>
      <c r="B56" s="129" t="s">
        <v>250</v>
      </c>
      <c r="C56" s="57" t="s">
        <v>138</v>
      </c>
      <c r="F56" s="1">
        <v>46552</v>
      </c>
      <c r="G56" s="1">
        <v>46579</v>
      </c>
      <c r="H56" t="s">
        <v>101</v>
      </c>
      <c r="I56" t="s">
        <v>151</v>
      </c>
      <c r="J56" t="s">
        <v>143</v>
      </c>
      <c r="L56" t="s">
        <v>610</v>
      </c>
      <c r="M56" t="s">
        <v>611</v>
      </c>
      <c r="N56" t="s">
        <v>612</v>
      </c>
      <c r="O56" t="s">
        <v>613</v>
      </c>
      <c r="P56" t="s">
        <v>614</v>
      </c>
      <c r="Q56" t="s">
        <v>615</v>
      </c>
      <c r="R56" t="s">
        <v>616</v>
      </c>
      <c r="S56" t="s">
        <v>617</v>
      </c>
      <c r="T56" t="s">
        <v>618</v>
      </c>
      <c r="U56" t="s">
        <v>619</v>
      </c>
      <c r="V56" t="s">
        <v>620</v>
      </c>
      <c r="W56" t="s">
        <v>621</v>
      </c>
      <c r="X56" t="s">
        <v>622</v>
      </c>
      <c r="Z56" s="127" t="s">
        <v>610</v>
      </c>
      <c r="AA56" s="127" t="s">
        <v>611</v>
      </c>
      <c r="AB56" s="127" t="s">
        <v>612</v>
      </c>
      <c r="AC56" s="127" t="s">
        <v>613</v>
      </c>
      <c r="AD56" s="127" t="s">
        <v>614</v>
      </c>
      <c r="AE56" s="127" t="s">
        <v>615</v>
      </c>
      <c r="AF56" s="127" t="s">
        <v>616</v>
      </c>
      <c r="AG56" s="127" t="s">
        <v>617</v>
      </c>
      <c r="AH56" s="127" t="s">
        <v>618</v>
      </c>
      <c r="AI56" s="127" t="s">
        <v>619</v>
      </c>
      <c r="AJ56" s="127" t="s">
        <v>620</v>
      </c>
      <c r="AK56" s="127" t="s">
        <v>621</v>
      </c>
      <c r="AL56" s="127" t="s">
        <v>622</v>
      </c>
    </row>
    <row r="57" spans="1:38" x14ac:dyDescent="0.25">
      <c r="A57" s="1">
        <v>45880</v>
      </c>
      <c r="B57" s="129" t="s">
        <v>250</v>
      </c>
      <c r="C57" s="57" t="s">
        <v>138</v>
      </c>
      <c r="F57" s="1">
        <v>45880</v>
      </c>
      <c r="G57" s="1">
        <v>45907</v>
      </c>
      <c r="H57" t="s">
        <v>97</v>
      </c>
      <c r="I57" t="s">
        <v>141</v>
      </c>
      <c r="J57" t="s">
        <v>54</v>
      </c>
      <c r="L57" t="s">
        <v>522</v>
      </c>
      <c r="M57" t="s">
        <v>523</v>
      </c>
      <c r="N57" t="s">
        <v>524</v>
      </c>
      <c r="O57" t="s">
        <v>525</v>
      </c>
      <c r="P57" t="s">
        <v>526</v>
      </c>
      <c r="Q57" t="s">
        <v>527</v>
      </c>
      <c r="R57" t="s">
        <v>528</v>
      </c>
      <c r="S57" t="s">
        <v>529</v>
      </c>
      <c r="T57" t="s">
        <v>530</v>
      </c>
      <c r="U57" t="s">
        <v>531</v>
      </c>
      <c r="V57" t="s">
        <v>532</v>
      </c>
      <c r="W57" t="s">
        <v>533</v>
      </c>
      <c r="X57" t="s">
        <v>534</v>
      </c>
      <c r="Z57" s="127" t="s">
        <v>522</v>
      </c>
      <c r="AA57" s="127" t="s">
        <v>523</v>
      </c>
      <c r="AB57" s="127" t="s">
        <v>524</v>
      </c>
      <c r="AC57" s="127" t="s">
        <v>525</v>
      </c>
      <c r="AD57" s="127" t="s">
        <v>526</v>
      </c>
      <c r="AE57" s="127" t="s">
        <v>527</v>
      </c>
      <c r="AF57" s="127" t="s">
        <v>528</v>
      </c>
      <c r="AG57" s="127" t="s">
        <v>529</v>
      </c>
      <c r="AH57" s="127" t="s">
        <v>530</v>
      </c>
      <c r="AI57" s="127" t="s">
        <v>531</v>
      </c>
      <c r="AJ57" s="127" t="s">
        <v>532</v>
      </c>
      <c r="AK57" s="127" t="s">
        <v>533</v>
      </c>
      <c r="AL57" s="127" t="s">
        <v>534</v>
      </c>
    </row>
    <row r="58" spans="1:38" x14ac:dyDescent="0.25">
      <c r="A58" s="1">
        <v>43625</v>
      </c>
      <c r="B58" s="129" t="s">
        <v>250</v>
      </c>
      <c r="C58" s="57" t="s">
        <v>138</v>
      </c>
      <c r="F58" s="1">
        <v>43605</v>
      </c>
      <c r="G58" s="1">
        <v>43632</v>
      </c>
      <c r="H58" t="s">
        <v>73</v>
      </c>
      <c r="I58" t="s">
        <v>146</v>
      </c>
      <c r="J58" t="s">
        <v>143</v>
      </c>
      <c r="L58" t="s">
        <v>1205</v>
      </c>
      <c r="M58" t="s">
        <v>1206</v>
      </c>
      <c r="N58" t="s">
        <v>1207</v>
      </c>
      <c r="O58" t="s">
        <v>1208</v>
      </c>
      <c r="P58" t="s">
        <v>1209</v>
      </c>
      <c r="Q58" t="s">
        <v>1210</v>
      </c>
      <c r="R58" t="s">
        <v>1211</v>
      </c>
      <c r="S58" t="s">
        <v>1212</v>
      </c>
      <c r="T58" t="s">
        <v>1213</v>
      </c>
      <c r="U58" t="s">
        <v>1214</v>
      </c>
      <c r="V58" t="s">
        <v>1215</v>
      </c>
      <c r="W58" t="s">
        <v>1216</v>
      </c>
      <c r="X58" t="s">
        <v>1217</v>
      </c>
      <c r="Z58" s="127" t="s">
        <v>1205</v>
      </c>
      <c r="AA58" s="127" t="s">
        <v>1206</v>
      </c>
      <c r="AB58" s="127" t="s">
        <v>1207</v>
      </c>
      <c r="AC58" s="127" t="s">
        <v>1208</v>
      </c>
      <c r="AD58" s="127" t="s">
        <v>1209</v>
      </c>
      <c r="AE58" s="127" t="s">
        <v>1210</v>
      </c>
      <c r="AF58" s="127" t="s">
        <v>1211</v>
      </c>
      <c r="AG58" s="127" t="s">
        <v>1212</v>
      </c>
      <c r="AH58" s="127" t="s">
        <v>1213</v>
      </c>
      <c r="AI58" s="127" t="s">
        <v>1214</v>
      </c>
      <c r="AJ58" s="127" t="s">
        <v>1215</v>
      </c>
      <c r="AK58" s="127" t="s">
        <v>1216</v>
      </c>
      <c r="AL58" s="127" t="s">
        <v>1217</v>
      </c>
    </row>
    <row r="59" spans="1:38" x14ac:dyDescent="0.25">
      <c r="A59" s="1">
        <v>45519</v>
      </c>
      <c r="B59" s="129" t="s">
        <v>250</v>
      </c>
      <c r="C59" s="57" t="s">
        <v>138</v>
      </c>
      <c r="F59" s="1">
        <v>45516</v>
      </c>
      <c r="G59" s="1">
        <v>45543</v>
      </c>
      <c r="H59" t="s">
        <v>56</v>
      </c>
      <c r="I59" t="s">
        <v>141</v>
      </c>
      <c r="J59" t="s">
        <v>54</v>
      </c>
      <c r="L59" t="s">
        <v>392</v>
      </c>
      <c r="M59" t="s">
        <v>393</v>
      </c>
      <c r="N59" t="s">
        <v>394</v>
      </c>
      <c r="O59" t="s">
        <v>395</v>
      </c>
      <c r="P59" t="s">
        <v>396</v>
      </c>
      <c r="Q59" t="s">
        <v>397</v>
      </c>
      <c r="R59" t="s">
        <v>398</v>
      </c>
      <c r="S59" t="s">
        <v>399</v>
      </c>
      <c r="T59" t="s">
        <v>400</v>
      </c>
      <c r="U59" t="s">
        <v>401</v>
      </c>
      <c r="V59" t="s">
        <v>402</v>
      </c>
      <c r="W59" t="s">
        <v>403</v>
      </c>
      <c r="X59" t="s">
        <v>404</v>
      </c>
      <c r="Z59" s="127" t="s">
        <v>392</v>
      </c>
      <c r="AA59" s="127" t="s">
        <v>393</v>
      </c>
      <c r="AB59" s="127" t="s">
        <v>394</v>
      </c>
      <c r="AC59" s="127" t="s">
        <v>395</v>
      </c>
      <c r="AD59" s="127" t="s">
        <v>396</v>
      </c>
      <c r="AE59" s="127" t="s">
        <v>397</v>
      </c>
      <c r="AF59" s="127" t="s">
        <v>398</v>
      </c>
      <c r="AG59" s="127" t="s">
        <v>399</v>
      </c>
      <c r="AH59" s="127" t="s">
        <v>400</v>
      </c>
      <c r="AI59" s="127" t="s">
        <v>401</v>
      </c>
      <c r="AJ59" s="127" t="s">
        <v>402</v>
      </c>
      <c r="AK59" s="127" t="s">
        <v>403</v>
      </c>
      <c r="AL59" s="127" t="s">
        <v>404</v>
      </c>
    </row>
    <row r="60" spans="1:38" x14ac:dyDescent="0.25">
      <c r="A60" s="1">
        <v>40723</v>
      </c>
      <c r="B60" s="129" t="s">
        <v>250</v>
      </c>
      <c r="C60" s="57" t="s">
        <v>138</v>
      </c>
      <c r="F60" s="1">
        <v>40707</v>
      </c>
      <c r="G60" s="1">
        <v>40734</v>
      </c>
      <c r="H60" t="s">
        <v>91</v>
      </c>
      <c r="I60" t="s">
        <v>151</v>
      </c>
      <c r="J60" t="s">
        <v>143</v>
      </c>
      <c r="L60" t="s">
        <v>340</v>
      </c>
      <c r="M60" t="s">
        <v>341</v>
      </c>
      <c r="N60" t="s">
        <v>342</v>
      </c>
      <c r="O60" t="s">
        <v>343</v>
      </c>
      <c r="P60" t="s">
        <v>344</v>
      </c>
      <c r="Q60" t="s">
        <v>345</v>
      </c>
      <c r="R60" t="s">
        <v>346</v>
      </c>
      <c r="S60" t="s">
        <v>347</v>
      </c>
      <c r="T60" t="s">
        <v>348</v>
      </c>
      <c r="U60" t="s">
        <v>349</v>
      </c>
      <c r="V60" t="s">
        <v>350</v>
      </c>
      <c r="W60" t="s">
        <v>351</v>
      </c>
      <c r="X60" t="s">
        <v>352</v>
      </c>
      <c r="Z60" s="127" t="s">
        <v>340</v>
      </c>
      <c r="AA60" s="127" t="s">
        <v>341</v>
      </c>
      <c r="AB60" s="127" t="s">
        <v>342</v>
      </c>
      <c r="AC60" s="127" t="s">
        <v>343</v>
      </c>
      <c r="AD60" s="127" t="s">
        <v>344</v>
      </c>
      <c r="AE60" s="127" t="s">
        <v>345</v>
      </c>
      <c r="AF60" s="127" t="s">
        <v>346</v>
      </c>
      <c r="AG60" s="127" t="s">
        <v>347</v>
      </c>
      <c r="AH60" s="127" t="s">
        <v>348</v>
      </c>
      <c r="AI60" s="127" t="s">
        <v>349</v>
      </c>
      <c r="AJ60" s="127" t="s">
        <v>350</v>
      </c>
      <c r="AK60" s="127" t="s">
        <v>351</v>
      </c>
      <c r="AL60" s="127" t="s">
        <v>352</v>
      </c>
    </row>
    <row r="61" spans="1:38" x14ac:dyDescent="0.25">
      <c r="A61" s="1">
        <v>45202</v>
      </c>
      <c r="B61" s="129" t="s">
        <v>250</v>
      </c>
      <c r="C61" s="57" t="s">
        <v>138</v>
      </c>
      <c r="F61" s="1">
        <v>45201</v>
      </c>
      <c r="G61" s="1">
        <v>45228</v>
      </c>
      <c r="H61" t="s">
        <v>96</v>
      </c>
      <c r="I61" t="s">
        <v>150</v>
      </c>
      <c r="J61" t="s">
        <v>12</v>
      </c>
      <c r="L61" t="s">
        <v>561</v>
      </c>
      <c r="M61" t="s">
        <v>562</v>
      </c>
      <c r="N61" t="s">
        <v>563</v>
      </c>
      <c r="O61" t="s">
        <v>564</v>
      </c>
      <c r="P61" t="s">
        <v>565</v>
      </c>
      <c r="Q61" t="s">
        <v>566</v>
      </c>
      <c r="R61" t="s">
        <v>567</v>
      </c>
      <c r="S61" t="s">
        <v>568</v>
      </c>
      <c r="T61" t="s">
        <v>569</v>
      </c>
      <c r="U61" t="s">
        <v>570</v>
      </c>
      <c r="V61" t="s">
        <v>571</v>
      </c>
      <c r="W61" t="s">
        <v>572</v>
      </c>
      <c r="X61" t="s">
        <v>573</v>
      </c>
      <c r="Z61" s="127" t="s">
        <v>561</v>
      </c>
      <c r="AA61" s="127" t="s">
        <v>562</v>
      </c>
      <c r="AB61" s="127" t="s">
        <v>563</v>
      </c>
      <c r="AC61" s="127" t="s">
        <v>564</v>
      </c>
      <c r="AD61" s="127" t="s">
        <v>565</v>
      </c>
      <c r="AE61" s="127" t="s">
        <v>566</v>
      </c>
      <c r="AF61" s="127" t="s">
        <v>567</v>
      </c>
      <c r="AG61" s="127" t="s">
        <v>568</v>
      </c>
      <c r="AH61" s="127" t="s">
        <v>569</v>
      </c>
      <c r="AI61" s="127" t="s">
        <v>570</v>
      </c>
      <c r="AJ61" s="127" t="s">
        <v>571</v>
      </c>
      <c r="AK61" s="127" t="s">
        <v>572</v>
      </c>
      <c r="AL61" s="127" t="s">
        <v>573</v>
      </c>
    </row>
    <row r="62" spans="1:38" x14ac:dyDescent="0.25">
      <c r="A62" s="1">
        <v>37233</v>
      </c>
      <c r="B62" s="129" t="s">
        <v>250</v>
      </c>
      <c r="C62" s="57" t="s">
        <v>138</v>
      </c>
      <c r="F62" s="1">
        <v>37228</v>
      </c>
      <c r="G62" s="1">
        <v>37255</v>
      </c>
      <c r="H62" t="s">
        <v>77</v>
      </c>
      <c r="I62" t="s">
        <v>14</v>
      </c>
      <c r="J62" t="s">
        <v>12</v>
      </c>
      <c r="L62" t="s">
        <v>496</v>
      </c>
      <c r="M62" t="s">
        <v>497</v>
      </c>
      <c r="N62" t="s">
        <v>498</v>
      </c>
      <c r="O62" t="s">
        <v>499</v>
      </c>
      <c r="P62" t="s">
        <v>500</v>
      </c>
      <c r="Q62" t="s">
        <v>501</v>
      </c>
      <c r="R62" t="s">
        <v>502</v>
      </c>
      <c r="S62" t="s">
        <v>503</v>
      </c>
      <c r="T62" t="s">
        <v>504</v>
      </c>
      <c r="U62" t="s">
        <v>505</v>
      </c>
      <c r="V62" t="s">
        <v>506</v>
      </c>
      <c r="W62" t="s">
        <v>507</v>
      </c>
      <c r="X62" t="s">
        <v>508</v>
      </c>
      <c r="Z62" s="127" t="s">
        <v>496</v>
      </c>
      <c r="AA62" s="127" t="s">
        <v>497</v>
      </c>
      <c r="AB62" s="127" t="s">
        <v>498</v>
      </c>
      <c r="AC62" s="127" t="s">
        <v>499</v>
      </c>
      <c r="AD62" s="127" t="s">
        <v>500</v>
      </c>
      <c r="AE62" s="127" t="s">
        <v>501</v>
      </c>
      <c r="AF62" s="127" t="s">
        <v>502</v>
      </c>
      <c r="AG62" s="127" t="s">
        <v>503</v>
      </c>
      <c r="AH62" s="127" t="s">
        <v>504</v>
      </c>
      <c r="AI62" s="127" t="s">
        <v>505</v>
      </c>
      <c r="AJ62" s="127" t="s">
        <v>506</v>
      </c>
      <c r="AK62" s="127" t="s">
        <v>507</v>
      </c>
      <c r="AL62" s="127" t="s">
        <v>508</v>
      </c>
    </row>
    <row r="63" spans="1:38" x14ac:dyDescent="0.25">
      <c r="A63" s="1">
        <v>47240</v>
      </c>
      <c r="B63" s="129" t="s">
        <v>250</v>
      </c>
      <c r="C63" s="57" t="s">
        <v>138</v>
      </c>
      <c r="F63" s="1">
        <v>47231</v>
      </c>
      <c r="G63" s="1">
        <v>47258</v>
      </c>
      <c r="H63" t="s">
        <v>105</v>
      </c>
      <c r="I63" t="s">
        <v>142</v>
      </c>
      <c r="J63" t="s">
        <v>143</v>
      </c>
      <c r="L63" t="s">
        <v>483</v>
      </c>
      <c r="M63" t="s">
        <v>484</v>
      </c>
      <c r="N63" t="s">
        <v>485</v>
      </c>
      <c r="O63" t="s">
        <v>486</v>
      </c>
      <c r="P63" t="s">
        <v>487</v>
      </c>
      <c r="Q63" t="s">
        <v>488</v>
      </c>
      <c r="R63" t="s">
        <v>489</v>
      </c>
      <c r="S63" t="s">
        <v>490</v>
      </c>
      <c r="T63" t="s">
        <v>491</v>
      </c>
      <c r="U63" t="s">
        <v>492</v>
      </c>
      <c r="V63" t="s">
        <v>493</v>
      </c>
      <c r="W63" t="s">
        <v>494</v>
      </c>
      <c r="X63" t="s">
        <v>495</v>
      </c>
      <c r="Z63" s="127" t="s">
        <v>483</v>
      </c>
      <c r="AA63" s="127" t="s">
        <v>484</v>
      </c>
      <c r="AB63" s="127" t="s">
        <v>485</v>
      </c>
      <c r="AC63" s="127" t="s">
        <v>486</v>
      </c>
      <c r="AD63" s="127" t="s">
        <v>487</v>
      </c>
      <c r="AE63" s="127" t="s">
        <v>488</v>
      </c>
      <c r="AF63" s="127" t="s">
        <v>489</v>
      </c>
      <c r="AG63" s="127" t="s">
        <v>490</v>
      </c>
      <c r="AH63" s="127" t="s">
        <v>491</v>
      </c>
      <c r="AI63" s="127" t="s">
        <v>492</v>
      </c>
      <c r="AJ63" s="127" t="s">
        <v>493</v>
      </c>
      <c r="AK63" s="127" t="s">
        <v>494</v>
      </c>
      <c r="AL63" s="127" t="s">
        <v>495</v>
      </c>
    </row>
    <row r="64" spans="1:38" x14ac:dyDescent="0.25">
      <c r="A64" s="1">
        <v>39924</v>
      </c>
      <c r="B64" s="129" t="s">
        <v>250</v>
      </c>
      <c r="C64" s="57" t="s">
        <v>138</v>
      </c>
      <c r="F64" s="1">
        <v>39923</v>
      </c>
      <c r="G64" s="1">
        <v>39950</v>
      </c>
      <c r="H64" t="s">
        <v>89</v>
      </c>
      <c r="I64" t="s">
        <v>142</v>
      </c>
      <c r="J64" t="s">
        <v>143</v>
      </c>
      <c r="L64" t="s">
        <v>457</v>
      </c>
      <c r="M64" t="s">
        <v>458</v>
      </c>
      <c r="N64" t="s">
        <v>459</v>
      </c>
      <c r="O64" t="s">
        <v>460</v>
      </c>
      <c r="P64" t="s">
        <v>461</v>
      </c>
      <c r="Q64" t="s">
        <v>462</v>
      </c>
      <c r="R64" t="s">
        <v>463</v>
      </c>
      <c r="S64" t="s">
        <v>464</v>
      </c>
      <c r="T64" t="s">
        <v>465</v>
      </c>
      <c r="U64" t="s">
        <v>466</v>
      </c>
      <c r="V64" t="s">
        <v>467</v>
      </c>
      <c r="W64" t="s">
        <v>468</v>
      </c>
      <c r="X64" t="s">
        <v>469</v>
      </c>
      <c r="Z64" s="127" t="s">
        <v>457</v>
      </c>
      <c r="AA64" s="127" t="s">
        <v>458</v>
      </c>
      <c r="AB64" s="127" t="s">
        <v>459</v>
      </c>
      <c r="AC64" s="127" t="s">
        <v>460</v>
      </c>
      <c r="AD64" s="127" t="s">
        <v>461</v>
      </c>
      <c r="AE64" s="127" t="s">
        <v>462</v>
      </c>
      <c r="AF64" s="127" t="s">
        <v>463</v>
      </c>
      <c r="AG64" s="127" t="s">
        <v>464</v>
      </c>
      <c r="AH64" s="127" t="s">
        <v>465</v>
      </c>
      <c r="AI64" s="127" t="s">
        <v>466</v>
      </c>
      <c r="AJ64" s="127" t="s">
        <v>467</v>
      </c>
      <c r="AK64" s="127" t="s">
        <v>468</v>
      </c>
      <c r="AL64" s="127" t="s">
        <v>469</v>
      </c>
    </row>
    <row r="65" spans="1:38" x14ac:dyDescent="0.25">
      <c r="A65" s="1">
        <v>43453</v>
      </c>
      <c r="B65" s="129" t="s">
        <v>250</v>
      </c>
      <c r="C65" s="57" t="s">
        <v>138</v>
      </c>
      <c r="F65" s="1">
        <v>43437</v>
      </c>
      <c r="G65" s="1">
        <v>43464</v>
      </c>
      <c r="H65" t="s">
        <v>72</v>
      </c>
      <c r="I65" t="s">
        <v>14</v>
      </c>
      <c r="J65" t="s">
        <v>12</v>
      </c>
      <c r="L65" t="s">
        <v>327</v>
      </c>
      <c r="M65" t="s">
        <v>328</v>
      </c>
      <c r="N65" t="s">
        <v>329</v>
      </c>
      <c r="O65" t="s">
        <v>330</v>
      </c>
      <c r="P65" t="s">
        <v>331</v>
      </c>
      <c r="Q65" t="s">
        <v>332</v>
      </c>
      <c r="R65" t="s">
        <v>333</v>
      </c>
      <c r="S65" t="s">
        <v>334</v>
      </c>
      <c r="T65" t="s">
        <v>335</v>
      </c>
      <c r="U65" t="s">
        <v>336</v>
      </c>
      <c r="V65" t="s">
        <v>337</v>
      </c>
      <c r="W65" t="s">
        <v>338</v>
      </c>
      <c r="X65" t="s">
        <v>339</v>
      </c>
      <c r="Z65" s="127" t="s">
        <v>327</v>
      </c>
      <c r="AA65" s="127" t="s">
        <v>328</v>
      </c>
      <c r="AB65" s="127" t="s">
        <v>329</v>
      </c>
      <c r="AC65" s="127" t="s">
        <v>330</v>
      </c>
      <c r="AD65" s="127" t="s">
        <v>331</v>
      </c>
      <c r="AE65" s="127" t="s">
        <v>332</v>
      </c>
      <c r="AF65" s="127" t="s">
        <v>333</v>
      </c>
      <c r="AG65" s="127" t="s">
        <v>334</v>
      </c>
      <c r="AH65" s="127" t="s">
        <v>335</v>
      </c>
      <c r="AI65" s="127" t="s">
        <v>336</v>
      </c>
      <c r="AJ65" s="127" t="s">
        <v>337</v>
      </c>
      <c r="AK65" s="127" t="s">
        <v>338</v>
      </c>
      <c r="AL65" s="127" t="s">
        <v>339</v>
      </c>
    </row>
    <row r="66" spans="1:38" x14ac:dyDescent="0.25">
      <c r="A66" s="1">
        <v>44294</v>
      </c>
      <c r="B66" s="129" t="s">
        <v>250</v>
      </c>
      <c r="C66" s="57" t="s">
        <v>138</v>
      </c>
      <c r="F66" s="1">
        <v>44277</v>
      </c>
      <c r="G66" s="1">
        <v>44304</v>
      </c>
      <c r="H66" t="s">
        <v>74</v>
      </c>
      <c r="I66" t="s">
        <v>12</v>
      </c>
      <c r="J66" t="s">
        <v>17</v>
      </c>
      <c r="L66" t="s">
        <v>1218</v>
      </c>
      <c r="M66" t="s">
        <v>1219</v>
      </c>
      <c r="N66" t="s">
        <v>1220</v>
      </c>
      <c r="O66" t="s">
        <v>1221</v>
      </c>
      <c r="P66" t="s">
        <v>1222</v>
      </c>
      <c r="Q66" t="s">
        <v>1223</v>
      </c>
      <c r="R66" t="s">
        <v>1224</v>
      </c>
      <c r="S66" t="s">
        <v>1225</v>
      </c>
      <c r="T66" t="s">
        <v>1226</v>
      </c>
      <c r="U66" t="s">
        <v>1227</v>
      </c>
      <c r="V66" t="s">
        <v>1228</v>
      </c>
      <c r="W66" t="s">
        <v>1229</v>
      </c>
      <c r="X66" t="s">
        <v>1230</v>
      </c>
      <c r="Z66" s="127" t="s">
        <v>1218</v>
      </c>
      <c r="AA66" s="127" t="s">
        <v>1219</v>
      </c>
      <c r="AB66" s="127" t="s">
        <v>1220</v>
      </c>
      <c r="AC66" s="127" t="s">
        <v>1221</v>
      </c>
      <c r="AD66" s="127" t="s">
        <v>1222</v>
      </c>
      <c r="AE66" s="127" t="s">
        <v>1223</v>
      </c>
      <c r="AF66" s="127" t="s">
        <v>1224</v>
      </c>
      <c r="AG66" s="127" t="s">
        <v>1225</v>
      </c>
      <c r="AH66" s="127" t="s">
        <v>1226</v>
      </c>
      <c r="AI66" s="127" t="s">
        <v>1227</v>
      </c>
      <c r="AJ66" s="127" t="s">
        <v>1228</v>
      </c>
      <c r="AK66" s="127" t="s">
        <v>1229</v>
      </c>
      <c r="AL66" s="127" t="s">
        <v>1230</v>
      </c>
    </row>
    <row r="67" spans="1:38" x14ac:dyDescent="0.25">
      <c r="A67" s="1">
        <v>45370</v>
      </c>
      <c r="B67" s="129" t="s">
        <v>250</v>
      </c>
      <c r="C67" s="57" t="s">
        <v>138</v>
      </c>
      <c r="F67" s="1">
        <v>45348</v>
      </c>
      <c r="G67" s="1">
        <v>45375</v>
      </c>
      <c r="H67" t="s">
        <v>56</v>
      </c>
      <c r="I67" t="s">
        <v>54</v>
      </c>
      <c r="J67" t="s">
        <v>17</v>
      </c>
      <c r="L67" t="s">
        <v>392</v>
      </c>
      <c r="M67" t="s">
        <v>393</v>
      </c>
      <c r="N67" t="s">
        <v>394</v>
      </c>
      <c r="O67" t="s">
        <v>395</v>
      </c>
      <c r="P67" t="s">
        <v>396</v>
      </c>
      <c r="Q67" t="s">
        <v>397</v>
      </c>
      <c r="R67" t="s">
        <v>398</v>
      </c>
      <c r="S67" t="s">
        <v>399</v>
      </c>
      <c r="T67" t="s">
        <v>400</v>
      </c>
      <c r="U67" t="s">
        <v>401</v>
      </c>
      <c r="V67" t="s">
        <v>402</v>
      </c>
      <c r="W67" t="s">
        <v>403</v>
      </c>
      <c r="X67" t="s">
        <v>404</v>
      </c>
      <c r="Z67" s="127" t="s">
        <v>392</v>
      </c>
      <c r="AA67" s="127" t="s">
        <v>393</v>
      </c>
      <c r="AB67" s="127" t="s">
        <v>394</v>
      </c>
      <c r="AC67" s="127" t="s">
        <v>395</v>
      </c>
      <c r="AD67" s="127" t="s">
        <v>396</v>
      </c>
      <c r="AE67" s="127" t="s">
        <v>397</v>
      </c>
      <c r="AF67" s="127" t="s">
        <v>398</v>
      </c>
      <c r="AG67" s="127" t="s">
        <v>399</v>
      </c>
      <c r="AH67" s="127" t="s">
        <v>400</v>
      </c>
      <c r="AI67" s="127" t="s">
        <v>401</v>
      </c>
      <c r="AJ67" s="127" t="s">
        <v>402</v>
      </c>
      <c r="AK67" s="127" t="s">
        <v>403</v>
      </c>
      <c r="AL67" s="127" t="s">
        <v>404</v>
      </c>
    </row>
    <row r="68" spans="1:38" x14ac:dyDescent="0.25">
      <c r="A68" s="1">
        <v>40292</v>
      </c>
      <c r="B68" s="129" t="s">
        <v>250</v>
      </c>
      <c r="C68" s="57" t="s">
        <v>138</v>
      </c>
      <c r="F68" s="1">
        <v>40287</v>
      </c>
      <c r="G68" s="1">
        <v>40314</v>
      </c>
      <c r="H68" t="s">
        <v>90</v>
      </c>
      <c r="I68" t="s">
        <v>142</v>
      </c>
      <c r="J68" t="s">
        <v>143</v>
      </c>
      <c r="L68" t="s">
        <v>509</v>
      </c>
      <c r="M68" t="s">
        <v>510</v>
      </c>
      <c r="N68" t="s">
        <v>511</v>
      </c>
      <c r="O68" t="s">
        <v>512</v>
      </c>
      <c r="P68" t="s">
        <v>513</v>
      </c>
      <c r="Q68" t="s">
        <v>514</v>
      </c>
      <c r="R68" t="s">
        <v>515</v>
      </c>
      <c r="S68" t="s">
        <v>516</v>
      </c>
      <c r="T68" t="s">
        <v>517</v>
      </c>
      <c r="U68" t="s">
        <v>518</v>
      </c>
      <c r="V68" t="s">
        <v>519</v>
      </c>
      <c r="W68" t="s">
        <v>520</v>
      </c>
      <c r="X68" t="s">
        <v>521</v>
      </c>
      <c r="Z68" s="127" t="s">
        <v>509</v>
      </c>
      <c r="AA68" s="127" t="s">
        <v>510</v>
      </c>
      <c r="AB68" s="127" t="s">
        <v>511</v>
      </c>
      <c r="AC68" s="127" t="s">
        <v>512</v>
      </c>
      <c r="AD68" s="127" t="s">
        <v>513</v>
      </c>
      <c r="AE68" s="127" t="s">
        <v>514</v>
      </c>
      <c r="AF68" s="127" t="s">
        <v>515</v>
      </c>
      <c r="AG68" s="127" t="s">
        <v>516</v>
      </c>
      <c r="AH68" s="127" t="s">
        <v>517</v>
      </c>
      <c r="AI68" s="127" t="s">
        <v>518</v>
      </c>
      <c r="AJ68" s="127" t="s">
        <v>519</v>
      </c>
      <c r="AK68" s="127" t="s">
        <v>520</v>
      </c>
      <c r="AL68" s="127" t="s">
        <v>521</v>
      </c>
    </row>
    <row r="69" spans="1:38" x14ac:dyDescent="0.25">
      <c r="A69" s="1"/>
      <c r="B69" s="3"/>
      <c r="F69" s="1"/>
      <c r="G69" s="1"/>
    </row>
    <row r="70" spans="1:38" x14ac:dyDescent="0.25">
      <c r="A70" s="1"/>
      <c r="B70" s="3"/>
      <c r="F70" s="1"/>
      <c r="G70" s="1"/>
    </row>
    <row r="71" spans="1:38" x14ac:dyDescent="0.25">
      <c r="A71" s="1"/>
      <c r="B71" s="3"/>
      <c r="F71" s="1"/>
      <c r="G71" s="1"/>
    </row>
    <row r="72" spans="1:38" x14ac:dyDescent="0.25">
      <c r="A72" s="1"/>
      <c r="B72" s="3"/>
      <c r="F72" s="1"/>
      <c r="G72" s="1"/>
    </row>
    <row r="73" spans="1:38" x14ac:dyDescent="0.25">
      <c r="A73" s="1"/>
      <c r="B73" s="3"/>
      <c r="F73" s="1"/>
      <c r="G73" s="1"/>
    </row>
    <row r="74" spans="1:38" x14ac:dyDescent="0.25">
      <c r="A74" s="1"/>
      <c r="B74" s="3"/>
      <c r="F74" s="1"/>
      <c r="G74" s="1"/>
    </row>
    <row r="75" spans="1:38" x14ac:dyDescent="0.25">
      <c r="A75" s="1"/>
      <c r="B75" s="3"/>
      <c r="F75" s="1"/>
      <c r="G75" s="1"/>
    </row>
    <row r="76" spans="1:38" x14ac:dyDescent="0.25">
      <c r="A76" s="1"/>
      <c r="B76" s="3"/>
      <c r="F76" s="1"/>
      <c r="G76" s="1"/>
    </row>
    <row r="77" spans="1:38" x14ac:dyDescent="0.25">
      <c r="A77" s="1"/>
      <c r="B77" s="3"/>
      <c r="F77" s="1"/>
      <c r="G77" s="1"/>
    </row>
    <row r="78" spans="1:38" x14ac:dyDescent="0.25">
      <c r="A78" s="1"/>
      <c r="B78" s="3"/>
      <c r="F78" s="1"/>
      <c r="G78" s="1"/>
    </row>
    <row r="79" spans="1:38" x14ac:dyDescent="0.25">
      <c r="A79" s="1"/>
      <c r="B79" s="3"/>
      <c r="F79" s="1"/>
      <c r="G79" s="1"/>
    </row>
    <row r="80" spans="1:38" x14ac:dyDescent="0.25">
      <c r="A80" s="1"/>
      <c r="B80" s="3"/>
      <c r="F80" s="1"/>
      <c r="G80" s="1"/>
    </row>
    <row r="81" spans="1:7" x14ac:dyDescent="0.25">
      <c r="A81" s="1"/>
      <c r="B81" s="3"/>
      <c r="F81" s="1"/>
      <c r="G81" s="1"/>
    </row>
    <row r="82" spans="1:7" x14ac:dyDescent="0.25">
      <c r="A82" s="1"/>
      <c r="B82" s="3"/>
      <c r="F82" s="1"/>
      <c r="G82" s="1"/>
    </row>
    <row r="83" spans="1:7" x14ac:dyDescent="0.25">
      <c r="A83" s="1"/>
      <c r="B83" s="3"/>
      <c r="F83" s="1"/>
      <c r="G83" s="1"/>
    </row>
    <row r="84" spans="1:7" x14ac:dyDescent="0.25">
      <c r="A84" s="1"/>
      <c r="B84" s="3"/>
      <c r="F84" s="1"/>
      <c r="G84" s="1"/>
    </row>
    <row r="85" spans="1:7" x14ac:dyDescent="0.25">
      <c r="A85" s="1"/>
      <c r="B85" s="3"/>
      <c r="F85" s="1"/>
      <c r="G85" s="1"/>
    </row>
    <row r="86" spans="1:7" x14ac:dyDescent="0.25">
      <c r="A86" s="1"/>
      <c r="B86" s="3"/>
      <c r="F86" s="1"/>
      <c r="G86" s="1"/>
    </row>
    <row r="87" spans="1:7" x14ac:dyDescent="0.25">
      <c r="A87" s="1"/>
      <c r="B87" s="3"/>
      <c r="F87" s="1"/>
      <c r="G87" s="1"/>
    </row>
    <row r="88" spans="1:7" x14ac:dyDescent="0.25">
      <c r="A88" s="1"/>
      <c r="B88" s="3"/>
      <c r="F88" s="1"/>
      <c r="G88" s="1"/>
    </row>
    <row r="89" spans="1:7" x14ac:dyDescent="0.25">
      <c r="A89" s="1"/>
      <c r="B89" s="3"/>
      <c r="F89" s="1"/>
      <c r="G89" s="1"/>
    </row>
    <row r="90" spans="1:7" x14ac:dyDescent="0.25">
      <c r="A90" s="1"/>
      <c r="B90" s="3"/>
      <c r="F90" s="1"/>
      <c r="G90" s="1"/>
    </row>
    <row r="91" spans="1:7" x14ac:dyDescent="0.25">
      <c r="A91" s="1"/>
      <c r="B91" s="3"/>
      <c r="F91" s="1"/>
      <c r="G91" s="1"/>
    </row>
    <row r="92" spans="1:7" x14ac:dyDescent="0.25">
      <c r="A92" s="1"/>
      <c r="B92" s="3"/>
      <c r="F92" s="1"/>
      <c r="G92" s="1"/>
    </row>
    <row r="93" spans="1:7" x14ac:dyDescent="0.25">
      <c r="A93" s="1"/>
      <c r="B93" s="3"/>
      <c r="F93" s="1"/>
      <c r="G93" s="1"/>
    </row>
    <row r="94" spans="1:7" x14ac:dyDescent="0.25">
      <c r="A94" s="1"/>
      <c r="B94" s="3"/>
      <c r="F94" s="1"/>
      <c r="G94" s="1"/>
    </row>
    <row r="95" spans="1:7" x14ac:dyDescent="0.25">
      <c r="A95" s="1"/>
      <c r="B95" s="3"/>
      <c r="F95" s="1"/>
      <c r="G95" s="1"/>
    </row>
    <row r="96" spans="1:7" x14ac:dyDescent="0.25">
      <c r="A96" s="1"/>
      <c r="B96" s="3"/>
      <c r="F96" s="1"/>
      <c r="G96" s="1"/>
    </row>
    <row r="97" spans="1:7" x14ac:dyDescent="0.25">
      <c r="A97" s="1"/>
      <c r="B97" s="3"/>
      <c r="F97" s="1"/>
      <c r="G97" s="1"/>
    </row>
    <row r="98" spans="1:7" x14ac:dyDescent="0.25">
      <c r="A98" s="1"/>
      <c r="B98" s="3"/>
      <c r="F98" s="1"/>
      <c r="G98" s="1"/>
    </row>
    <row r="99" spans="1:7" x14ac:dyDescent="0.25">
      <c r="A99" s="1"/>
      <c r="B99" s="3"/>
      <c r="F99" s="1"/>
      <c r="G99" s="1"/>
    </row>
    <row r="100" spans="1:7" x14ac:dyDescent="0.25">
      <c r="A100" s="1"/>
      <c r="B100" s="3"/>
      <c r="F100" s="1"/>
      <c r="G100" s="1"/>
    </row>
    <row r="101" spans="1:7" x14ac:dyDescent="0.25">
      <c r="A101" s="1"/>
      <c r="B101" s="3"/>
      <c r="F101" s="1"/>
      <c r="G101" s="1"/>
    </row>
    <row r="102" spans="1:7" x14ac:dyDescent="0.25">
      <c r="A102" s="1"/>
      <c r="B102" s="3"/>
      <c r="F102" s="1"/>
      <c r="G102" s="1"/>
    </row>
    <row r="103" spans="1:7" x14ac:dyDescent="0.25">
      <c r="A103" s="1"/>
      <c r="B103" s="3"/>
      <c r="F103" s="1"/>
      <c r="G103" s="1"/>
    </row>
    <row r="104" spans="1:7" x14ac:dyDescent="0.25">
      <c r="A104" s="1"/>
      <c r="B104" s="3"/>
      <c r="F104" s="1"/>
      <c r="G104" s="1"/>
    </row>
    <row r="105" spans="1:7" x14ac:dyDescent="0.25">
      <c r="A105" s="1"/>
      <c r="B105" s="3"/>
      <c r="F105" s="1"/>
      <c r="G105" s="1"/>
    </row>
    <row r="106" spans="1:7" x14ac:dyDescent="0.25">
      <c r="A106" s="1"/>
      <c r="B106" s="3"/>
      <c r="F106" s="1"/>
      <c r="G106" s="1"/>
    </row>
    <row r="107" spans="1:7" x14ac:dyDescent="0.25">
      <c r="A107" s="1"/>
      <c r="B107" s="3"/>
      <c r="F107" s="1"/>
      <c r="G107" s="1"/>
    </row>
    <row r="108" spans="1:7" x14ac:dyDescent="0.25">
      <c r="A108" s="1"/>
      <c r="B108" s="3"/>
      <c r="F108" s="1"/>
      <c r="G108" s="1"/>
    </row>
    <row r="109" spans="1:7" x14ac:dyDescent="0.25">
      <c r="A109" s="1"/>
      <c r="B109" s="3"/>
      <c r="F109" s="1"/>
      <c r="G109" s="1"/>
    </row>
    <row r="110" spans="1:7" x14ac:dyDescent="0.25">
      <c r="A110" s="1"/>
      <c r="B110" s="3"/>
      <c r="F110" s="1"/>
      <c r="G110" s="1"/>
    </row>
    <row r="111" spans="1:7" x14ac:dyDescent="0.25">
      <c r="A111" s="1"/>
      <c r="B111" s="3"/>
      <c r="F111" s="1"/>
      <c r="G111" s="1"/>
    </row>
    <row r="112" spans="1:7" x14ac:dyDescent="0.25">
      <c r="A112" s="1"/>
      <c r="B112" s="3"/>
      <c r="F112" s="1"/>
      <c r="G112" s="1"/>
    </row>
    <row r="113" spans="1:7" x14ac:dyDescent="0.25">
      <c r="A113" s="1"/>
      <c r="B113" s="3"/>
      <c r="F113" s="1"/>
      <c r="G113" s="1"/>
    </row>
    <row r="114" spans="1:7" x14ac:dyDescent="0.25">
      <c r="A114" s="1"/>
      <c r="B114" s="3"/>
      <c r="F114" s="1"/>
      <c r="G114" s="1"/>
    </row>
    <row r="115" spans="1:7" x14ac:dyDescent="0.25">
      <c r="A115" s="1"/>
      <c r="B115" s="3"/>
      <c r="F115" s="1"/>
      <c r="G115" s="1"/>
    </row>
    <row r="116" spans="1:7" x14ac:dyDescent="0.25">
      <c r="A116" s="1"/>
      <c r="B116" s="3"/>
      <c r="F116" s="1"/>
      <c r="G116" s="1"/>
    </row>
    <row r="117" spans="1:7" x14ac:dyDescent="0.25">
      <c r="A117" s="1"/>
      <c r="B117" s="3"/>
      <c r="F117" s="1"/>
      <c r="G117" s="1"/>
    </row>
    <row r="118" spans="1:7" x14ac:dyDescent="0.25">
      <c r="A118" s="1"/>
      <c r="B118" s="3"/>
      <c r="F118" s="1"/>
      <c r="G118" s="1"/>
    </row>
    <row r="119" spans="1:7" x14ac:dyDescent="0.25">
      <c r="A119" s="1"/>
      <c r="B119" s="3"/>
      <c r="F119" s="1"/>
      <c r="G119" s="1"/>
    </row>
    <row r="120" spans="1:7" x14ac:dyDescent="0.25">
      <c r="A120" s="1"/>
      <c r="B120" s="3"/>
      <c r="F120" s="1"/>
      <c r="G120" s="1"/>
    </row>
    <row r="121" spans="1:7" x14ac:dyDescent="0.25">
      <c r="A121" s="1"/>
      <c r="B121" s="3"/>
      <c r="F121" s="1"/>
      <c r="G121" s="1"/>
    </row>
    <row r="122" spans="1:7" x14ac:dyDescent="0.25">
      <c r="A122" s="1"/>
      <c r="B122" s="3"/>
      <c r="F122" s="1"/>
      <c r="G122" s="1"/>
    </row>
    <row r="123" spans="1:7" x14ac:dyDescent="0.25">
      <c r="A123" s="1"/>
      <c r="B123" s="3"/>
      <c r="F123" s="1"/>
      <c r="G123" s="1"/>
    </row>
    <row r="124" spans="1:7" x14ac:dyDescent="0.25">
      <c r="A124" s="1"/>
      <c r="B124" s="3"/>
      <c r="F124" s="1"/>
      <c r="G124" s="1"/>
    </row>
    <row r="125" spans="1:7" x14ac:dyDescent="0.25">
      <c r="A125" s="1"/>
      <c r="B125" s="3"/>
      <c r="F125" s="1"/>
      <c r="G125" s="1"/>
    </row>
    <row r="126" spans="1:7" x14ac:dyDescent="0.25">
      <c r="A126" s="1"/>
      <c r="B126" s="3"/>
      <c r="F126" s="1"/>
      <c r="G126" s="1"/>
    </row>
    <row r="127" spans="1:7" x14ac:dyDescent="0.25">
      <c r="A127" s="1"/>
      <c r="B127" s="3"/>
      <c r="F127" s="1"/>
      <c r="G127" s="1"/>
    </row>
    <row r="128" spans="1:7" x14ac:dyDescent="0.25">
      <c r="A128" s="1"/>
      <c r="B128" s="3"/>
      <c r="F128" s="1"/>
      <c r="G128" s="1"/>
    </row>
    <row r="129" spans="1:7" x14ac:dyDescent="0.25">
      <c r="A129" s="1"/>
      <c r="B129" s="3"/>
      <c r="F129" s="1"/>
      <c r="G129" s="1"/>
    </row>
    <row r="130" spans="1:7" x14ac:dyDescent="0.25">
      <c r="A130" s="1"/>
      <c r="B130" s="3"/>
      <c r="F130" s="1"/>
      <c r="G130" s="1"/>
    </row>
    <row r="131" spans="1:7" x14ac:dyDescent="0.25">
      <c r="A131" s="1"/>
      <c r="B131" s="3"/>
      <c r="F131" s="1"/>
      <c r="G131" s="1"/>
    </row>
    <row r="132" spans="1:7" x14ac:dyDescent="0.25">
      <c r="A132" s="1"/>
      <c r="B132" s="3"/>
      <c r="F132" s="1"/>
      <c r="G132" s="1"/>
    </row>
    <row r="133" spans="1:7" x14ac:dyDescent="0.25">
      <c r="A133" s="1"/>
      <c r="B133" s="3"/>
      <c r="F133" s="1"/>
      <c r="G133" s="1"/>
    </row>
    <row r="134" spans="1:7" x14ac:dyDescent="0.25">
      <c r="A134" s="1"/>
      <c r="B134" s="3"/>
      <c r="F134" s="1"/>
      <c r="G134" s="1"/>
    </row>
    <row r="135" spans="1:7" x14ac:dyDescent="0.25">
      <c r="A135" s="1"/>
      <c r="B135" s="3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F410" s="1"/>
      <c r="G410" s="1"/>
    </row>
    <row r="411" spans="1:7" x14ac:dyDescent="0.25">
      <c r="A411" s="1"/>
      <c r="B411" s="1"/>
      <c r="F411" s="1"/>
      <c r="G411" s="1"/>
    </row>
    <row r="412" spans="1:7" x14ac:dyDescent="0.25">
      <c r="A412" s="1"/>
      <c r="B412" s="1"/>
      <c r="F412" s="1"/>
      <c r="G412" s="1"/>
    </row>
    <row r="413" spans="1:7" x14ac:dyDescent="0.25">
      <c r="A413" s="1"/>
      <c r="B413" s="1"/>
      <c r="F413" s="1"/>
      <c r="G413" s="1"/>
    </row>
    <row r="414" spans="1:7" x14ac:dyDescent="0.25">
      <c r="A414" s="1"/>
      <c r="B414" s="1"/>
      <c r="F414" s="1"/>
      <c r="G414" s="1"/>
    </row>
    <row r="415" spans="1:7" x14ac:dyDescent="0.25">
      <c r="A415" s="1"/>
      <c r="B415" s="1"/>
      <c r="F415" s="1"/>
      <c r="G415" s="1"/>
    </row>
    <row r="416" spans="1:7" x14ac:dyDescent="0.25">
      <c r="A416" s="1"/>
      <c r="B416" s="1"/>
      <c r="F416" s="1"/>
      <c r="G416" s="1"/>
    </row>
    <row r="417" spans="1:7" x14ac:dyDescent="0.25">
      <c r="A417" s="1"/>
      <c r="B417" s="1"/>
      <c r="F417" s="1"/>
      <c r="G417" s="1"/>
    </row>
    <row r="418" spans="1:7" x14ac:dyDescent="0.25">
      <c r="A418" s="1"/>
      <c r="B418" s="1"/>
      <c r="F418" s="1"/>
      <c r="G418" s="1"/>
    </row>
    <row r="419" spans="1:7" x14ac:dyDescent="0.25">
      <c r="A419" s="1"/>
      <c r="B419" s="1"/>
      <c r="F419" s="1"/>
      <c r="G419" s="1"/>
    </row>
    <row r="420" spans="1:7" x14ac:dyDescent="0.25">
      <c r="A420" s="1"/>
      <c r="B420" s="1"/>
      <c r="F420" s="1"/>
      <c r="G420" s="1"/>
    </row>
    <row r="421" spans="1:7" x14ac:dyDescent="0.25">
      <c r="A421" s="1"/>
      <c r="B421" s="1"/>
      <c r="F421" s="1"/>
      <c r="G421" s="1"/>
    </row>
    <row r="422" spans="1:7" x14ac:dyDescent="0.25">
      <c r="A422" s="1"/>
      <c r="B422" s="1"/>
      <c r="F422" s="1"/>
      <c r="G422" s="1"/>
    </row>
    <row r="423" spans="1:7" x14ac:dyDescent="0.25">
      <c r="A423" s="1"/>
      <c r="B423" s="1"/>
      <c r="G423" s="1"/>
    </row>
    <row r="424" spans="1:7" x14ac:dyDescent="0.25">
      <c r="A424" s="1"/>
      <c r="B424" s="1"/>
      <c r="G424" s="1"/>
    </row>
    <row r="425" spans="1:7" x14ac:dyDescent="0.25">
      <c r="A425" s="1"/>
      <c r="B425" s="1"/>
      <c r="G425" s="1"/>
    </row>
  </sheetData>
  <mergeCells count="2">
    <mergeCell ref="A5:D5"/>
    <mergeCell ref="F5:J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0897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1</xdr:col>
                <xdr:colOff>1362075</xdr:colOff>
                <xdr:row>2</xdr:row>
                <xdr:rowOff>104775</xdr:rowOff>
              </to>
            </anchor>
          </controlPr>
        </control>
      </mc:Choice>
      <mc:Fallback>
        <control shapeId="80897" r:id="rId4" name="ExecuteQueries"/>
      </mc:Fallback>
    </mc:AlternateContent>
    <mc:AlternateContent xmlns:mc="http://schemas.openxmlformats.org/markup-compatibility/2006">
      <mc:Choice Requires="x14">
        <control shapeId="80898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419100</xdr:colOff>
                <xdr:row>2</xdr:row>
                <xdr:rowOff>104775</xdr:rowOff>
              </to>
            </anchor>
          </controlPr>
        </control>
      </mc:Choice>
      <mc:Fallback>
        <control shapeId="80898" r:id="rId6" name="ClearBtn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rgb="FFFFC000"/>
  </sheetPr>
  <dimension ref="A1:R412"/>
  <sheetViews>
    <sheetView workbookViewId="0">
      <selection activeCell="P57" sqref="P57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23.71093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>
        <v>58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1">
        <v>37953</v>
      </c>
      <c r="B8" s="3" t="s">
        <v>1282</v>
      </c>
      <c r="C8" s="3" t="s">
        <v>108</v>
      </c>
      <c r="F8" s="1">
        <v>37928</v>
      </c>
      <c r="G8" s="1">
        <v>37955</v>
      </c>
      <c r="H8" t="s">
        <v>80</v>
      </c>
      <c r="I8" t="s">
        <v>13</v>
      </c>
      <c r="J8" t="s">
        <v>12</v>
      </c>
      <c r="L8" t="s">
        <v>80</v>
      </c>
      <c r="M8" s="17" t="str">
        <f>B8</f>
        <v>FISCALYEAR</v>
      </c>
      <c r="N8" s="18" t="str">
        <f>IF(VALUE(L8)=VALUE(H8), "P","F")</f>
        <v>P</v>
      </c>
      <c r="O8" s="3"/>
      <c r="R8" t="s">
        <v>24</v>
      </c>
    </row>
    <row r="9" spans="1:18" ht="15.75" x14ac:dyDescent="0.25">
      <c r="A9" s="1">
        <v>37954</v>
      </c>
      <c r="B9" s="3" t="s">
        <v>1282</v>
      </c>
      <c r="C9" t="s">
        <v>108</v>
      </c>
      <c r="F9" s="1">
        <v>37928</v>
      </c>
      <c r="G9" s="1">
        <v>37955</v>
      </c>
      <c r="H9" t="s">
        <v>80</v>
      </c>
      <c r="I9" t="s">
        <v>13</v>
      </c>
      <c r="J9" t="s">
        <v>12</v>
      </c>
      <c r="L9" t="s">
        <v>80</v>
      </c>
      <c r="M9" s="17" t="str">
        <f t="shared" ref="M9:M65" si="0">B9</f>
        <v>FISCALYEAR</v>
      </c>
      <c r="N9" s="133" t="str">
        <f t="shared" ref="N9:N65" si="1">IF(VALUE(L9)=VALUE(H9), "P","F")</f>
        <v>P</v>
      </c>
      <c r="O9" s="3"/>
      <c r="R9" t="s">
        <v>25</v>
      </c>
    </row>
    <row r="10" spans="1:18" ht="15.75" x14ac:dyDescent="0.25">
      <c r="A10" s="1">
        <v>37955</v>
      </c>
      <c r="B10" s="3" t="s">
        <v>1282</v>
      </c>
      <c r="C10" t="s">
        <v>108</v>
      </c>
      <c r="F10" s="1">
        <v>37928</v>
      </c>
      <c r="G10" s="1">
        <v>37955</v>
      </c>
      <c r="H10" t="s">
        <v>80</v>
      </c>
      <c r="I10" t="s">
        <v>13</v>
      </c>
      <c r="J10" t="s">
        <v>12</v>
      </c>
      <c r="L10" t="s">
        <v>80</v>
      </c>
      <c r="M10" s="17" t="str">
        <f t="shared" si="0"/>
        <v>FISCALYEAR</v>
      </c>
      <c r="N10" s="133" t="str">
        <f t="shared" si="1"/>
        <v>P</v>
      </c>
      <c r="O10" s="3"/>
      <c r="R10" t="s">
        <v>26</v>
      </c>
    </row>
    <row r="11" spans="1:18" ht="15.75" x14ac:dyDescent="0.25">
      <c r="A11" s="1">
        <v>37956</v>
      </c>
      <c r="B11" s="3" t="s">
        <v>1282</v>
      </c>
      <c r="C11" t="s">
        <v>108</v>
      </c>
      <c r="F11" s="1">
        <v>37956</v>
      </c>
      <c r="G11" s="1">
        <v>37983</v>
      </c>
      <c r="H11" t="s">
        <v>80</v>
      </c>
      <c r="I11" t="s">
        <v>14</v>
      </c>
      <c r="J11" t="s">
        <v>12</v>
      </c>
      <c r="L11" t="s">
        <v>80</v>
      </c>
      <c r="M11" s="17" t="str">
        <f t="shared" si="0"/>
        <v>FISCALYEAR</v>
      </c>
      <c r="N11" s="133" t="str">
        <f t="shared" si="1"/>
        <v>P</v>
      </c>
      <c r="O11" s="3"/>
      <c r="R11" t="s">
        <v>27</v>
      </c>
    </row>
    <row r="12" spans="1:18" ht="15.75" x14ac:dyDescent="0.25">
      <c r="A12" s="1">
        <v>38320</v>
      </c>
      <c r="B12" s="3" t="s">
        <v>1282</v>
      </c>
      <c r="C12" t="s">
        <v>108</v>
      </c>
      <c r="F12" s="1">
        <v>38320</v>
      </c>
      <c r="G12" s="1">
        <v>38347</v>
      </c>
      <c r="H12" t="s">
        <v>82</v>
      </c>
      <c r="I12" t="s">
        <v>14</v>
      </c>
      <c r="J12" t="s">
        <v>12</v>
      </c>
      <c r="L12" t="s">
        <v>82</v>
      </c>
      <c r="M12" s="17" t="str">
        <f t="shared" si="0"/>
        <v>FISCALYEAR</v>
      </c>
      <c r="N12" s="133" t="str">
        <f t="shared" si="1"/>
        <v>P</v>
      </c>
      <c r="O12" s="3"/>
      <c r="R12" t="s">
        <v>28</v>
      </c>
    </row>
    <row r="13" spans="1:18" ht="15.75" x14ac:dyDescent="0.25">
      <c r="A13" s="1">
        <v>38684</v>
      </c>
      <c r="B13" s="3" t="s">
        <v>1282</v>
      </c>
      <c r="C13" t="s">
        <v>108</v>
      </c>
      <c r="F13" s="1">
        <v>38684</v>
      </c>
      <c r="G13" s="1">
        <v>38711</v>
      </c>
      <c r="H13" t="s">
        <v>84</v>
      </c>
      <c r="I13" t="s">
        <v>14</v>
      </c>
      <c r="J13" t="s">
        <v>12</v>
      </c>
      <c r="L13" t="s">
        <v>84</v>
      </c>
      <c r="M13" s="17" t="str">
        <f t="shared" si="0"/>
        <v>FISCALYEAR</v>
      </c>
      <c r="N13" s="133" t="str">
        <f t="shared" si="1"/>
        <v>P</v>
      </c>
      <c r="O13" s="3"/>
      <c r="R13" t="s">
        <v>29</v>
      </c>
    </row>
    <row r="14" spans="1:18" ht="15.75" x14ac:dyDescent="0.25">
      <c r="A14" s="1">
        <v>46356</v>
      </c>
      <c r="B14" s="3" t="s">
        <v>1282</v>
      </c>
      <c r="C14" t="s">
        <v>108</v>
      </c>
      <c r="F14" s="1">
        <v>46356</v>
      </c>
      <c r="G14" s="1">
        <v>46383</v>
      </c>
      <c r="H14" t="s">
        <v>99</v>
      </c>
      <c r="I14" t="s">
        <v>14</v>
      </c>
      <c r="J14" t="s">
        <v>12</v>
      </c>
      <c r="L14" t="s">
        <v>99</v>
      </c>
      <c r="M14" s="17" t="str">
        <f t="shared" si="0"/>
        <v>FISCALYEAR</v>
      </c>
      <c r="N14" s="133" t="str">
        <f t="shared" si="1"/>
        <v>P</v>
      </c>
      <c r="O14" s="3"/>
      <c r="R14" t="s">
        <v>30</v>
      </c>
    </row>
    <row r="15" spans="1:18" ht="15.75" x14ac:dyDescent="0.25">
      <c r="A15" s="1">
        <v>46720</v>
      </c>
      <c r="B15" s="3" t="s">
        <v>1282</v>
      </c>
      <c r="C15" t="s">
        <v>108</v>
      </c>
      <c r="F15" s="1">
        <v>46720</v>
      </c>
      <c r="G15" s="1">
        <v>46747</v>
      </c>
      <c r="H15" t="s">
        <v>101</v>
      </c>
      <c r="I15" t="s">
        <v>14</v>
      </c>
      <c r="J15" t="s">
        <v>12</v>
      </c>
      <c r="L15" t="s">
        <v>101</v>
      </c>
      <c r="M15" s="17" t="str">
        <f t="shared" si="0"/>
        <v>FISCALYEAR</v>
      </c>
      <c r="N15" s="133" t="str">
        <f t="shared" si="1"/>
        <v>P</v>
      </c>
      <c r="O15" s="3"/>
      <c r="R15" t="s">
        <v>31</v>
      </c>
    </row>
    <row r="16" spans="1:18" ht="15.75" x14ac:dyDescent="0.25">
      <c r="A16" s="1">
        <v>47084</v>
      </c>
      <c r="B16" s="3" t="s">
        <v>1282</v>
      </c>
      <c r="C16" t="s">
        <v>108</v>
      </c>
      <c r="F16" s="1">
        <v>47084</v>
      </c>
      <c r="G16" s="1">
        <v>47118</v>
      </c>
      <c r="H16" t="s">
        <v>103</v>
      </c>
      <c r="I16" t="s">
        <v>14</v>
      </c>
      <c r="J16" t="s">
        <v>12</v>
      </c>
      <c r="L16" t="s">
        <v>103</v>
      </c>
      <c r="M16" s="17" t="str">
        <f t="shared" si="0"/>
        <v>FISCALYEAR</v>
      </c>
      <c r="N16" s="133" t="str">
        <f t="shared" si="1"/>
        <v>P</v>
      </c>
      <c r="O16" s="3"/>
      <c r="R16" t="s">
        <v>32</v>
      </c>
    </row>
    <row r="17" spans="1:18" ht="15.75" x14ac:dyDescent="0.25">
      <c r="A17" s="1">
        <v>47455</v>
      </c>
      <c r="B17" s="3" t="s">
        <v>1282</v>
      </c>
      <c r="C17" t="s">
        <v>108</v>
      </c>
      <c r="F17" s="1">
        <v>47455</v>
      </c>
      <c r="G17" s="1">
        <v>47482</v>
      </c>
      <c r="H17" t="s">
        <v>105</v>
      </c>
      <c r="I17" t="s">
        <v>14</v>
      </c>
      <c r="J17" t="s">
        <v>12</v>
      </c>
      <c r="L17" t="s">
        <v>105</v>
      </c>
      <c r="M17" s="17" t="str">
        <f t="shared" si="0"/>
        <v>FISCALYEAR</v>
      </c>
      <c r="N17" s="133" t="str">
        <f t="shared" si="1"/>
        <v>P</v>
      </c>
      <c r="O17" s="3"/>
      <c r="R17" t="s">
        <v>33</v>
      </c>
    </row>
    <row r="18" spans="1:18" ht="15.75" x14ac:dyDescent="0.25">
      <c r="A18" s="1">
        <v>47819</v>
      </c>
      <c r="B18" s="3" t="s">
        <v>1282</v>
      </c>
      <c r="C18" t="s">
        <v>108</v>
      </c>
      <c r="F18" s="1">
        <v>47819</v>
      </c>
      <c r="G18" s="1">
        <v>47846</v>
      </c>
      <c r="H18" t="s">
        <v>107</v>
      </c>
      <c r="I18" t="s">
        <v>14</v>
      </c>
      <c r="J18" t="s">
        <v>12</v>
      </c>
      <c r="L18" t="s">
        <v>107</v>
      </c>
      <c r="M18" s="17" t="str">
        <f t="shared" si="0"/>
        <v>FISCALYEAR</v>
      </c>
      <c r="N18" s="133" t="str">
        <f t="shared" si="1"/>
        <v>P</v>
      </c>
      <c r="O18" s="3"/>
      <c r="R18" t="s">
        <v>34</v>
      </c>
    </row>
    <row r="19" spans="1:18" ht="15.75" x14ac:dyDescent="0.25">
      <c r="A19" s="1">
        <v>37255</v>
      </c>
      <c r="B19" s="3" t="s">
        <v>1282</v>
      </c>
      <c r="C19" t="s">
        <v>109</v>
      </c>
      <c r="F19" s="1">
        <v>37228</v>
      </c>
      <c r="G19" s="1">
        <v>37255</v>
      </c>
      <c r="H19" t="s">
        <v>77</v>
      </c>
      <c r="I19" t="s">
        <v>14</v>
      </c>
      <c r="J19" t="s">
        <v>12</v>
      </c>
      <c r="L19" t="s">
        <v>77</v>
      </c>
      <c r="M19" s="17" t="str">
        <f t="shared" si="0"/>
        <v>FISCALYEAR</v>
      </c>
      <c r="N19" s="133" t="str">
        <f t="shared" si="1"/>
        <v>P</v>
      </c>
      <c r="O19" s="3"/>
      <c r="R19" t="s">
        <v>35</v>
      </c>
    </row>
    <row r="20" spans="1:18" ht="15.75" x14ac:dyDescent="0.25">
      <c r="A20" s="1">
        <v>37619</v>
      </c>
      <c r="B20" s="3" t="s">
        <v>1282</v>
      </c>
      <c r="C20" t="s">
        <v>109</v>
      </c>
      <c r="F20" s="1">
        <v>37592</v>
      </c>
      <c r="G20" s="1">
        <v>37619</v>
      </c>
      <c r="H20" t="s">
        <v>78</v>
      </c>
      <c r="I20" t="s">
        <v>14</v>
      </c>
      <c r="J20" t="s">
        <v>12</v>
      </c>
      <c r="L20" t="s">
        <v>78</v>
      </c>
      <c r="M20" s="17" t="str">
        <f t="shared" si="0"/>
        <v>FISCALYEAR</v>
      </c>
      <c r="N20" s="133" t="str">
        <f t="shared" si="1"/>
        <v>P</v>
      </c>
      <c r="O20" s="3"/>
      <c r="R20" t="s">
        <v>36</v>
      </c>
    </row>
    <row r="21" spans="1:18" ht="15.75" x14ac:dyDescent="0.25">
      <c r="A21" s="1">
        <v>37983</v>
      </c>
      <c r="B21" s="3" t="s">
        <v>1282</v>
      </c>
      <c r="C21" t="s">
        <v>109</v>
      </c>
      <c r="F21" s="1">
        <v>37956</v>
      </c>
      <c r="G21" s="1">
        <v>37983</v>
      </c>
      <c r="H21" t="s">
        <v>80</v>
      </c>
      <c r="I21" t="s">
        <v>14</v>
      </c>
      <c r="J21" t="s">
        <v>12</v>
      </c>
      <c r="L21" t="s">
        <v>80</v>
      </c>
      <c r="M21" s="17" t="str">
        <f t="shared" si="0"/>
        <v>FISCALYEAR</v>
      </c>
      <c r="N21" s="133" t="str">
        <f t="shared" si="1"/>
        <v>P</v>
      </c>
      <c r="O21" s="3"/>
      <c r="R21" t="s">
        <v>37</v>
      </c>
    </row>
    <row r="22" spans="1:18" ht="15.75" x14ac:dyDescent="0.25">
      <c r="A22" s="1">
        <v>38347</v>
      </c>
      <c r="B22" s="3" t="s">
        <v>1282</v>
      </c>
      <c r="C22" t="s">
        <v>109</v>
      </c>
      <c r="F22" s="1">
        <v>38320</v>
      </c>
      <c r="G22" s="1">
        <v>38347</v>
      </c>
      <c r="H22" t="s">
        <v>82</v>
      </c>
      <c r="I22" t="s">
        <v>14</v>
      </c>
      <c r="J22" t="s">
        <v>12</v>
      </c>
      <c r="L22" t="s">
        <v>82</v>
      </c>
      <c r="M22" s="17" t="str">
        <f t="shared" si="0"/>
        <v>FISCALYEAR</v>
      </c>
      <c r="N22" s="133" t="str">
        <f t="shared" si="1"/>
        <v>P</v>
      </c>
      <c r="O22" s="3"/>
      <c r="R22" t="s">
        <v>38</v>
      </c>
    </row>
    <row r="23" spans="1:18" ht="15.75" x14ac:dyDescent="0.25">
      <c r="A23" s="1">
        <v>38711</v>
      </c>
      <c r="B23" s="3" t="s">
        <v>1282</v>
      </c>
      <c r="C23" t="s">
        <v>109</v>
      </c>
      <c r="F23" s="1">
        <v>38684</v>
      </c>
      <c r="G23" s="1">
        <v>38711</v>
      </c>
      <c r="H23" t="s">
        <v>84</v>
      </c>
      <c r="I23" t="s">
        <v>14</v>
      </c>
      <c r="J23" t="s">
        <v>12</v>
      </c>
      <c r="L23" t="s">
        <v>84</v>
      </c>
      <c r="M23" s="17" t="str">
        <f t="shared" si="0"/>
        <v>FISCALYEAR</v>
      </c>
      <c r="N23" s="133" t="str">
        <f t="shared" si="1"/>
        <v>P</v>
      </c>
      <c r="O23" s="3"/>
      <c r="R23" t="s">
        <v>39</v>
      </c>
    </row>
    <row r="24" spans="1:18" ht="15.75" x14ac:dyDescent="0.25">
      <c r="A24" s="1">
        <v>39082</v>
      </c>
      <c r="B24" s="3" t="s">
        <v>1282</v>
      </c>
      <c r="C24" t="s">
        <v>109</v>
      </c>
      <c r="F24" s="1">
        <v>39048</v>
      </c>
      <c r="G24" s="1">
        <v>39082</v>
      </c>
      <c r="H24" t="s">
        <v>86</v>
      </c>
      <c r="I24" t="s">
        <v>14</v>
      </c>
      <c r="J24" t="s">
        <v>12</v>
      </c>
      <c r="L24" t="s">
        <v>86</v>
      </c>
      <c r="M24" s="17" t="str">
        <f t="shared" si="0"/>
        <v>FISCALYEAR</v>
      </c>
      <c r="N24" s="133" t="str">
        <f t="shared" si="1"/>
        <v>P</v>
      </c>
      <c r="O24" s="3"/>
      <c r="R24" t="s">
        <v>40</v>
      </c>
    </row>
    <row r="25" spans="1:18" ht="15.75" x14ac:dyDescent="0.25">
      <c r="A25" s="1">
        <v>39446</v>
      </c>
      <c r="B25" s="3" t="s">
        <v>1282</v>
      </c>
      <c r="C25" t="s">
        <v>109</v>
      </c>
      <c r="F25" s="1">
        <v>39419</v>
      </c>
      <c r="G25" s="1">
        <v>39446</v>
      </c>
      <c r="H25" t="s">
        <v>87</v>
      </c>
      <c r="I25" t="s">
        <v>14</v>
      </c>
      <c r="J25" t="s">
        <v>12</v>
      </c>
      <c r="L25" t="s">
        <v>87</v>
      </c>
      <c r="M25" s="17" t="str">
        <f t="shared" si="0"/>
        <v>FISCALYEAR</v>
      </c>
      <c r="N25" s="133" t="str">
        <f t="shared" si="1"/>
        <v>P</v>
      </c>
      <c r="O25" s="3"/>
    </row>
    <row r="26" spans="1:18" ht="15.75" x14ac:dyDescent="0.25">
      <c r="A26" s="1">
        <v>39810</v>
      </c>
      <c r="B26" s="3" t="s">
        <v>1282</v>
      </c>
      <c r="C26" t="s">
        <v>109</v>
      </c>
      <c r="F26" s="1">
        <v>39783</v>
      </c>
      <c r="G26" s="1">
        <v>39810</v>
      </c>
      <c r="H26" t="s">
        <v>88</v>
      </c>
      <c r="I26" t="s">
        <v>14</v>
      </c>
      <c r="J26" t="s">
        <v>12</v>
      </c>
      <c r="L26" t="s">
        <v>88</v>
      </c>
      <c r="M26" s="17" t="str">
        <f t="shared" si="0"/>
        <v>FISCALYEAR</v>
      </c>
      <c r="N26" s="133" t="str">
        <f t="shared" si="1"/>
        <v>P</v>
      </c>
      <c r="O26" s="3"/>
      <c r="R26" t="s">
        <v>247</v>
      </c>
    </row>
    <row r="27" spans="1:18" ht="15.75" x14ac:dyDescent="0.25">
      <c r="A27" s="1">
        <v>40174</v>
      </c>
      <c r="B27" s="3" t="s">
        <v>1282</v>
      </c>
      <c r="C27" t="s">
        <v>109</v>
      </c>
      <c r="F27" s="1">
        <v>40147</v>
      </c>
      <c r="G27" s="1">
        <v>40174</v>
      </c>
      <c r="H27" t="s">
        <v>89</v>
      </c>
      <c r="I27" t="s">
        <v>14</v>
      </c>
      <c r="J27" t="s">
        <v>12</v>
      </c>
      <c r="L27" t="s">
        <v>89</v>
      </c>
      <c r="M27" s="17" t="str">
        <f t="shared" si="0"/>
        <v>FISCALYEAR</v>
      </c>
      <c r="N27" s="133" t="str">
        <f t="shared" si="1"/>
        <v>P</v>
      </c>
      <c r="O27" s="3"/>
      <c r="R27" t="s">
        <v>242</v>
      </c>
    </row>
    <row r="28" spans="1:18" ht="15.75" x14ac:dyDescent="0.25">
      <c r="A28" s="1">
        <v>40538</v>
      </c>
      <c r="B28" s="3" t="s">
        <v>1282</v>
      </c>
      <c r="C28" t="s">
        <v>109</v>
      </c>
      <c r="F28" s="1">
        <v>40511</v>
      </c>
      <c r="G28" s="1">
        <v>40538</v>
      </c>
      <c r="H28" t="s">
        <v>90</v>
      </c>
      <c r="I28" t="s">
        <v>14</v>
      </c>
      <c r="J28" t="s">
        <v>12</v>
      </c>
      <c r="L28" t="s">
        <v>90</v>
      </c>
      <c r="M28" s="17" t="str">
        <f t="shared" si="0"/>
        <v>FISCALYEAR</v>
      </c>
      <c r="N28" s="133" t="str">
        <f t="shared" si="1"/>
        <v>P</v>
      </c>
      <c r="O28" s="3"/>
      <c r="R28" t="s">
        <v>243</v>
      </c>
    </row>
    <row r="29" spans="1:18" ht="15.75" x14ac:dyDescent="0.25">
      <c r="A29" s="1">
        <v>40902</v>
      </c>
      <c r="B29" s="3" t="s">
        <v>1282</v>
      </c>
      <c r="C29" t="s">
        <v>109</v>
      </c>
      <c r="F29" s="1">
        <v>40875</v>
      </c>
      <c r="G29" s="1">
        <v>40902</v>
      </c>
      <c r="H29" t="s">
        <v>91</v>
      </c>
      <c r="I29" t="s">
        <v>14</v>
      </c>
      <c r="J29" t="s">
        <v>12</v>
      </c>
      <c r="L29" t="s">
        <v>91</v>
      </c>
      <c r="M29" s="17" t="str">
        <f t="shared" si="0"/>
        <v>FISCALYEAR</v>
      </c>
      <c r="N29" s="133" t="str">
        <f t="shared" si="1"/>
        <v>P</v>
      </c>
      <c r="O29" s="3"/>
      <c r="R29" t="s">
        <v>244</v>
      </c>
    </row>
    <row r="30" spans="1:18" ht="15.75" x14ac:dyDescent="0.25">
      <c r="A30" s="1">
        <v>41273</v>
      </c>
      <c r="B30" s="3" t="s">
        <v>1282</v>
      </c>
      <c r="C30" t="s">
        <v>109</v>
      </c>
      <c r="F30" s="1">
        <v>41239</v>
      </c>
      <c r="G30" s="1">
        <v>41273</v>
      </c>
      <c r="H30" t="s">
        <v>53</v>
      </c>
      <c r="I30" t="s">
        <v>14</v>
      </c>
      <c r="J30" t="s">
        <v>12</v>
      </c>
      <c r="L30" t="s">
        <v>53</v>
      </c>
      <c r="M30" s="17" t="str">
        <f t="shared" si="0"/>
        <v>FISCALYEAR</v>
      </c>
      <c r="N30" s="133" t="str">
        <f t="shared" si="1"/>
        <v>P</v>
      </c>
      <c r="O30" s="3"/>
      <c r="R30" t="s">
        <v>245</v>
      </c>
    </row>
    <row r="31" spans="1:18" ht="15.75" x14ac:dyDescent="0.25">
      <c r="A31" s="1">
        <v>41637</v>
      </c>
      <c r="B31" s="3" t="s">
        <v>1282</v>
      </c>
      <c r="C31" t="s">
        <v>109</v>
      </c>
      <c r="F31" s="1">
        <v>41610</v>
      </c>
      <c r="G31" s="1">
        <v>41637</v>
      </c>
      <c r="H31" t="s">
        <v>67</v>
      </c>
      <c r="I31" t="s">
        <v>14</v>
      </c>
      <c r="J31" t="s">
        <v>12</v>
      </c>
      <c r="L31" t="s">
        <v>67</v>
      </c>
      <c r="M31" s="17" t="str">
        <f t="shared" si="0"/>
        <v>FISCALYEAR</v>
      </c>
      <c r="N31" s="133" t="str">
        <f t="shared" si="1"/>
        <v>P</v>
      </c>
      <c r="O31" s="3"/>
      <c r="R31" t="s">
        <v>246</v>
      </c>
    </row>
    <row r="32" spans="1:18" ht="15.75" x14ac:dyDescent="0.25">
      <c r="A32" s="1">
        <v>42001</v>
      </c>
      <c r="B32" s="3" t="s">
        <v>1282</v>
      </c>
      <c r="C32" t="s">
        <v>109</v>
      </c>
      <c r="F32" s="1">
        <v>41974</v>
      </c>
      <c r="G32" s="1">
        <v>42001</v>
      </c>
      <c r="H32" t="s">
        <v>92</v>
      </c>
      <c r="I32" t="s">
        <v>14</v>
      </c>
      <c r="J32" t="s">
        <v>12</v>
      </c>
      <c r="L32" t="s">
        <v>92</v>
      </c>
      <c r="M32" s="17" t="str">
        <f t="shared" si="0"/>
        <v>FISCALYEAR</v>
      </c>
      <c r="N32" s="133" t="str">
        <f t="shared" si="1"/>
        <v>P</v>
      </c>
      <c r="O32" s="3"/>
    </row>
    <row r="33" spans="1:15" ht="15.75" x14ac:dyDescent="0.25">
      <c r="A33" s="1">
        <v>42365</v>
      </c>
      <c r="B33" s="3" t="s">
        <v>1282</v>
      </c>
      <c r="C33" t="s">
        <v>109</v>
      </c>
      <c r="F33" s="1">
        <v>42338</v>
      </c>
      <c r="G33" s="1">
        <v>42365</v>
      </c>
      <c r="H33" t="s">
        <v>93</v>
      </c>
      <c r="I33" t="s">
        <v>14</v>
      </c>
      <c r="J33" t="s">
        <v>12</v>
      </c>
      <c r="L33" t="s">
        <v>93</v>
      </c>
      <c r="M33" s="17" t="str">
        <f t="shared" si="0"/>
        <v>FISCALYEAR</v>
      </c>
      <c r="N33" s="133" t="str">
        <f t="shared" si="1"/>
        <v>P</v>
      </c>
      <c r="O33" s="3"/>
    </row>
    <row r="34" spans="1:15" ht="15.75" x14ac:dyDescent="0.25">
      <c r="A34" s="1">
        <v>42729</v>
      </c>
      <c r="B34" s="3" t="s">
        <v>1282</v>
      </c>
      <c r="C34" t="s">
        <v>109</v>
      </c>
      <c r="F34" s="1">
        <v>42702</v>
      </c>
      <c r="G34" s="1">
        <v>42729</v>
      </c>
      <c r="H34" t="s">
        <v>16</v>
      </c>
      <c r="I34" t="s">
        <v>14</v>
      </c>
      <c r="J34" t="s">
        <v>12</v>
      </c>
      <c r="L34" t="s">
        <v>16</v>
      </c>
      <c r="M34" s="17" t="str">
        <f t="shared" si="0"/>
        <v>FISCALYEAR</v>
      </c>
      <c r="N34" s="133" t="str">
        <f t="shared" si="1"/>
        <v>P</v>
      </c>
      <c r="O34" s="3"/>
    </row>
    <row r="35" spans="1:15" ht="15.75" x14ac:dyDescent="0.25">
      <c r="A35" s="1">
        <v>39048</v>
      </c>
      <c r="B35" s="3" t="s">
        <v>1282</v>
      </c>
      <c r="C35" t="s">
        <v>111</v>
      </c>
      <c r="F35" s="1">
        <v>39048</v>
      </c>
      <c r="G35" s="1">
        <v>39082</v>
      </c>
      <c r="H35" t="s">
        <v>86</v>
      </c>
      <c r="I35" t="s">
        <v>14</v>
      </c>
      <c r="J35" t="s">
        <v>12</v>
      </c>
      <c r="L35" t="s">
        <v>86</v>
      </c>
      <c r="M35" s="17" t="str">
        <f t="shared" si="0"/>
        <v>FISCALYEAR</v>
      </c>
      <c r="N35" s="133" t="str">
        <f t="shared" si="1"/>
        <v>P</v>
      </c>
      <c r="O35" s="3"/>
    </row>
    <row r="36" spans="1:15" ht="15.75" x14ac:dyDescent="0.25">
      <c r="A36" s="1">
        <v>43066</v>
      </c>
      <c r="B36" s="3" t="s">
        <v>1282</v>
      </c>
      <c r="C36" t="s">
        <v>111</v>
      </c>
      <c r="F36" s="1">
        <v>43066</v>
      </c>
      <c r="G36" s="1">
        <v>43100</v>
      </c>
      <c r="H36" t="s">
        <v>70</v>
      </c>
      <c r="I36" t="s">
        <v>14</v>
      </c>
      <c r="J36" t="s">
        <v>12</v>
      </c>
      <c r="L36" t="s">
        <v>70</v>
      </c>
      <c r="M36" s="17" t="str">
        <f t="shared" si="0"/>
        <v>FISCALYEAR</v>
      </c>
      <c r="N36" s="133" t="str">
        <f t="shared" si="1"/>
        <v>P</v>
      </c>
      <c r="O36" s="3"/>
    </row>
    <row r="37" spans="1:15" ht="15.75" x14ac:dyDescent="0.25">
      <c r="A37" s="1">
        <v>47084</v>
      </c>
      <c r="B37" s="3" t="s">
        <v>1282</v>
      </c>
      <c r="C37" t="s">
        <v>111</v>
      </c>
      <c r="F37" s="1">
        <v>47084</v>
      </c>
      <c r="G37" s="1">
        <v>47118</v>
      </c>
      <c r="H37" t="s">
        <v>103</v>
      </c>
      <c r="I37" t="s">
        <v>14</v>
      </c>
      <c r="J37" t="s">
        <v>12</v>
      </c>
      <c r="L37" t="s">
        <v>103</v>
      </c>
      <c r="M37" s="17" t="str">
        <f t="shared" si="0"/>
        <v>FISCALYEAR</v>
      </c>
      <c r="N37" s="133" t="str">
        <f t="shared" si="1"/>
        <v>P</v>
      </c>
      <c r="O37" s="3"/>
    </row>
    <row r="38" spans="1:15" ht="15.75" x14ac:dyDescent="0.25">
      <c r="A38" s="1">
        <v>36891</v>
      </c>
      <c r="B38" s="3" t="s">
        <v>1282</v>
      </c>
      <c r="C38" t="s">
        <v>112</v>
      </c>
      <c r="F38" s="1">
        <v>36864</v>
      </c>
      <c r="G38" s="1">
        <v>36891</v>
      </c>
      <c r="H38" t="s">
        <v>76</v>
      </c>
      <c r="I38" t="s">
        <v>14</v>
      </c>
      <c r="J38" t="s">
        <v>12</v>
      </c>
      <c r="L38" t="s">
        <v>76</v>
      </c>
      <c r="M38" s="17" t="str">
        <f t="shared" si="0"/>
        <v>FISCALYEAR</v>
      </c>
      <c r="N38" s="133" t="str">
        <f t="shared" si="1"/>
        <v>P</v>
      </c>
      <c r="O38" s="3"/>
    </row>
    <row r="39" spans="1:15" ht="15.75" x14ac:dyDescent="0.25">
      <c r="A39" s="1">
        <v>39082</v>
      </c>
      <c r="B39" s="3" t="s">
        <v>1282</v>
      </c>
      <c r="C39" t="s">
        <v>112</v>
      </c>
      <c r="F39" s="1">
        <v>39048</v>
      </c>
      <c r="G39" s="1">
        <v>39082</v>
      </c>
      <c r="H39" t="s">
        <v>86</v>
      </c>
      <c r="I39" t="s">
        <v>14</v>
      </c>
      <c r="J39" t="s">
        <v>12</v>
      </c>
      <c r="L39" t="s">
        <v>86</v>
      </c>
      <c r="M39" s="17" t="str">
        <f t="shared" si="0"/>
        <v>FISCALYEAR</v>
      </c>
      <c r="N39" s="133" t="str">
        <f t="shared" si="1"/>
        <v>P</v>
      </c>
      <c r="O39" s="3"/>
    </row>
    <row r="40" spans="1:15" ht="15.75" x14ac:dyDescent="0.25">
      <c r="A40" s="1">
        <v>43100</v>
      </c>
      <c r="B40" s="3" t="s">
        <v>1282</v>
      </c>
      <c r="C40" t="s">
        <v>112</v>
      </c>
      <c r="F40" s="1">
        <v>43066</v>
      </c>
      <c r="G40" s="1">
        <v>43100</v>
      </c>
      <c r="H40" t="s">
        <v>70</v>
      </c>
      <c r="I40" t="s">
        <v>14</v>
      </c>
      <c r="J40" t="s">
        <v>12</v>
      </c>
      <c r="L40" t="s">
        <v>70</v>
      </c>
      <c r="M40" s="17" t="str">
        <f t="shared" si="0"/>
        <v>FISCALYEAR</v>
      </c>
      <c r="N40" s="133" t="str">
        <f t="shared" si="1"/>
        <v>P</v>
      </c>
      <c r="O40" s="3"/>
    </row>
    <row r="41" spans="1:15" ht="15.75" x14ac:dyDescent="0.25">
      <c r="A41" s="1">
        <v>47118</v>
      </c>
      <c r="B41" s="3" t="s">
        <v>1282</v>
      </c>
      <c r="C41" t="s">
        <v>112</v>
      </c>
      <c r="F41" s="1">
        <v>47084</v>
      </c>
      <c r="G41" s="1">
        <v>47118</v>
      </c>
      <c r="H41" t="s">
        <v>103</v>
      </c>
      <c r="I41" t="s">
        <v>14</v>
      </c>
      <c r="J41" t="s">
        <v>12</v>
      </c>
      <c r="L41" t="s">
        <v>103</v>
      </c>
      <c r="M41" s="17" t="str">
        <f t="shared" si="0"/>
        <v>FISCALYEAR</v>
      </c>
      <c r="N41" s="133" t="str">
        <f t="shared" si="1"/>
        <v>P</v>
      </c>
      <c r="O41" s="3"/>
    </row>
    <row r="42" spans="1:15" ht="15.75" x14ac:dyDescent="0.25">
      <c r="A42" s="1">
        <v>39048</v>
      </c>
      <c r="B42" s="3" t="s">
        <v>1282</v>
      </c>
      <c r="C42" t="s">
        <v>111</v>
      </c>
      <c r="E42" s="2" t="s">
        <v>71</v>
      </c>
      <c r="F42" s="1">
        <v>39048</v>
      </c>
      <c r="G42" s="1">
        <v>39082</v>
      </c>
      <c r="H42" t="s">
        <v>86</v>
      </c>
      <c r="I42" t="s">
        <v>14</v>
      </c>
      <c r="J42" t="s">
        <v>12</v>
      </c>
      <c r="L42" t="s">
        <v>86</v>
      </c>
      <c r="M42" s="17" t="str">
        <f t="shared" si="0"/>
        <v>FISCALYEAR</v>
      </c>
      <c r="N42" s="133" t="str">
        <f t="shared" si="1"/>
        <v>P</v>
      </c>
      <c r="O42" s="3"/>
    </row>
    <row r="43" spans="1:15" ht="15.75" x14ac:dyDescent="0.25">
      <c r="A43" s="1">
        <v>43066</v>
      </c>
      <c r="B43" s="3" t="s">
        <v>1282</v>
      </c>
      <c r="C43" t="s">
        <v>111</v>
      </c>
      <c r="F43" s="1">
        <v>43066</v>
      </c>
      <c r="G43" s="1">
        <v>43100</v>
      </c>
      <c r="H43" t="s">
        <v>70</v>
      </c>
      <c r="I43" t="s">
        <v>14</v>
      </c>
      <c r="J43" t="s">
        <v>12</v>
      </c>
      <c r="L43" t="s">
        <v>70</v>
      </c>
      <c r="M43" s="17" t="str">
        <f t="shared" si="0"/>
        <v>FISCALYEAR</v>
      </c>
      <c r="N43" s="133" t="str">
        <f t="shared" si="1"/>
        <v>P</v>
      </c>
      <c r="O43" s="3"/>
    </row>
    <row r="44" spans="1:15" ht="15.75" x14ac:dyDescent="0.25">
      <c r="A44" s="1">
        <v>47084</v>
      </c>
      <c r="B44" s="3" t="s">
        <v>1282</v>
      </c>
      <c r="C44" t="s">
        <v>111</v>
      </c>
      <c r="F44" s="1">
        <v>47084</v>
      </c>
      <c r="G44" s="1">
        <v>47118</v>
      </c>
      <c r="H44" t="s">
        <v>103</v>
      </c>
      <c r="I44" t="s">
        <v>14</v>
      </c>
      <c r="J44" t="s">
        <v>12</v>
      </c>
      <c r="L44" t="s">
        <v>103</v>
      </c>
      <c r="M44" s="17" t="str">
        <f t="shared" si="0"/>
        <v>FISCALYEAR</v>
      </c>
      <c r="N44" s="133" t="str">
        <f t="shared" si="1"/>
        <v>P</v>
      </c>
      <c r="O44" s="3"/>
    </row>
    <row r="45" spans="1:15" ht="15.75" x14ac:dyDescent="0.25">
      <c r="A45" s="1">
        <v>39082</v>
      </c>
      <c r="B45" s="3" t="s">
        <v>1282</v>
      </c>
      <c r="C45" t="s">
        <v>112</v>
      </c>
      <c r="F45" s="1">
        <v>39048</v>
      </c>
      <c r="G45" s="1">
        <v>39082</v>
      </c>
      <c r="H45" t="s">
        <v>86</v>
      </c>
      <c r="I45" t="s">
        <v>14</v>
      </c>
      <c r="J45" t="s">
        <v>12</v>
      </c>
      <c r="L45" t="s">
        <v>86</v>
      </c>
      <c r="M45" s="17" t="str">
        <f t="shared" si="0"/>
        <v>FISCALYEAR</v>
      </c>
      <c r="N45" s="133" t="str">
        <f t="shared" si="1"/>
        <v>P</v>
      </c>
      <c r="O45" s="3"/>
    </row>
    <row r="46" spans="1:15" ht="15.75" x14ac:dyDescent="0.25">
      <c r="A46" s="1">
        <v>43100</v>
      </c>
      <c r="B46" s="3" t="s">
        <v>1282</v>
      </c>
      <c r="C46" t="s">
        <v>112</v>
      </c>
      <c r="F46" s="1">
        <v>43066</v>
      </c>
      <c r="G46" s="1">
        <v>43100</v>
      </c>
      <c r="H46" t="s">
        <v>70</v>
      </c>
      <c r="I46" t="s">
        <v>14</v>
      </c>
      <c r="J46" t="s">
        <v>12</v>
      </c>
      <c r="L46" t="s">
        <v>70</v>
      </c>
      <c r="M46" s="17" t="str">
        <f t="shared" si="0"/>
        <v>FISCALYEAR</v>
      </c>
      <c r="N46" s="133" t="str">
        <f t="shared" si="1"/>
        <v>P</v>
      </c>
      <c r="O46" s="3"/>
    </row>
    <row r="47" spans="1:15" ht="15.75" x14ac:dyDescent="0.25">
      <c r="A47" s="1">
        <v>47118</v>
      </c>
      <c r="B47" s="3" t="s">
        <v>1282</v>
      </c>
      <c r="C47" t="s">
        <v>112</v>
      </c>
      <c r="F47" s="1">
        <v>47084</v>
      </c>
      <c r="G47" s="1">
        <v>47118</v>
      </c>
      <c r="H47" t="s">
        <v>103</v>
      </c>
      <c r="I47" t="s">
        <v>14</v>
      </c>
      <c r="J47" t="s">
        <v>12</v>
      </c>
      <c r="L47" t="s">
        <v>103</v>
      </c>
      <c r="M47" s="17" t="str">
        <f t="shared" si="0"/>
        <v>FISCALYEAR</v>
      </c>
      <c r="N47" s="133" t="str">
        <f t="shared" si="1"/>
        <v>P</v>
      </c>
      <c r="O47" s="3"/>
    </row>
    <row r="48" spans="1:15" ht="15.75" x14ac:dyDescent="0.25">
      <c r="A48" s="1">
        <v>42658</v>
      </c>
      <c r="B48" s="3" t="s">
        <v>1282</v>
      </c>
      <c r="C48" t="s">
        <v>138</v>
      </c>
      <c r="F48" s="1">
        <v>42646</v>
      </c>
      <c r="G48" s="1">
        <v>42673</v>
      </c>
      <c r="H48" t="s">
        <v>16</v>
      </c>
      <c r="I48" t="s">
        <v>150</v>
      </c>
      <c r="J48" t="s">
        <v>12</v>
      </c>
      <c r="L48" t="s">
        <v>16</v>
      </c>
      <c r="M48" s="17" t="str">
        <f t="shared" si="0"/>
        <v>FISCALYEAR</v>
      </c>
      <c r="N48" s="133" t="str">
        <f t="shared" si="1"/>
        <v>P</v>
      </c>
      <c r="O48" s="3"/>
    </row>
    <row r="49" spans="1:15" ht="15.75" x14ac:dyDescent="0.25">
      <c r="A49" s="1">
        <v>46907</v>
      </c>
      <c r="B49" s="3" t="s">
        <v>1282</v>
      </c>
      <c r="C49" t="s">
        <v>138</v>
      </c>
      <c r="F49" s="1">
        <v>46888</v>
      </c>
      <c r="G49" s="1">
        <v>46915</v>
      </c>
      <c r="H49" t="s">
        <v>103</v>
      </c>
      <c r="I49" t="s">
        <v>146</v>
      </c>
      <c r="J49" t="s">
        <v>143</v>
      </c>
      <c r="L49" t="s">
        <v>103</v>
      </c>
      <c r="M49" s="17" t="str">
        <f t="shared" si="0"/>
        <v>FISCALYEAR</v>
      </c>
      <c r="N49" s="133" t="str">
        <f t="shared" si="1"/>
        <v>P</v>
      </c>
      <c r="O49" s="3"/>
    </row>
    <row r="50" spans="1:15" ht="15.75" x14ac:dyDescent="0.25">
      <c r="A50" s="1">
        <v>37749</v>
      </c>
      <c r="B50" s="3" t="s">
        <v>1282</v>
      </c>
      <c r="C50" t="s">
        <v>138</v>
      </c>
      <c r="F50" s="1">
        <v>37732</v>
      </c>
      <c r="G50" s="1">
        <v>37759</v>
      </c>
      <c r="H50" t="s">
        <v>80</v>
      </c>
      <c r="I50" t="s">
        <v>142</v>
      </c>
      <c r="J50" t="s">
        <v>143</v>
      </c>
      <c r="L50" t="s">
        <v>80</v>
      </c>
      <c r="M50" s="17" t="str">
        <f t="shared" si="0"/>
        <v>FISCALYEAR</v>
      </c>
      <c r="N50" s="133" t="str">
        <f t="shared" si="1"/>
        <v>P</v>
      </c>
      <c r="O50" s="3"/>
    </row>
    <row r="51" spans="1:15" ht="15.75" x14ac:dyDescent="0.25">
      <c r="A51" s="1">
        <v>40877</v>
      </c>
      <c r="B51" s="3" t="s">
        <v>1282</v>
      </c>
      <c r="C51" t="s">
        <v>138</v>
      </c>
      <c r="F51" s="1">
        <v>40875</v>
      </c>
      <c r="G51" s="1">
        <v>40902</v>
      </c>
      <c r="H51" t="s">
        <v>91</v>
      </c>
      <c r="I51" t="s">
        <v>14</v>
      </c>
      <c r="J51" t="s">
        <v>12</v>
      </c>
      <c r="L51" t="s">
        <v>91</v>
      </c>
      <c r="M51" s="17" t="str">
        <f t="shared" si="0"/>
        <v>FISCALYEAR</v>
      </c>
      <c r="N51" s="133" t="str">
        <f t="shared" si="1"/>
        <v>P</v>
      </c>
      <c r="O51" s="3"/>
    </row>
    <row r="52" spans="1:15" ht="15.75" x14ac:dyDescent="0.25">
      <c r="A52" s="1">
        <v>46512</v>
      </c>
      <c r="B52" s="3" t="s">
        <v>1282</v>
      </c>
      <c r="C52" t="s">
        <v>138</v>
      </c>
      <c r="F52" s="1">
        <v>46496</v>
      </c>
      <c r="G52" s="1">
        <v>46523</v>
      </c>
      <c r="H52" t="s">
        <v>101</v>
      </c>
      <c r="I52" t="s">
        <v>142</v>
      </c>
      <c r="J52" t="s">
        <v>143</v>
      </c>
      <c r="L52" t="s">
        <v>101</v>
      </c>
      <c r="M52" s="17" t="str">
        <f t="shared" si="0"/>
        <v>FISCALYEAR</v>
      </c>
      <c r="N52" s="133" t="str">
        <f t="shared" si="1"/>
        <v>P</v>
      </c>
      <c r="O52" s="3"/>
    </row>
    <row r="53" spans="1:15" ht="15.75" x14ac:dyDescent="0.25">
      <c r="A53" s="1">
        <v>46577</v>
      </c>
      <c r="B53" s="3" t="s">
        <v>1282</v>
      </c>
      <c r="C53" t="s">
        <v>138</v>
      </c>
      <c r="F53" s="1">
        <v>46552</v>
      </c>
      <c r="G53" s="1">
        <v>46579</v>
      </c>
      <c r="H53" t="s">
        <v>101</v>
      </c>
      <c r="I53" t="s">
        <v>151</v>
      </c>
      <c r="J53" t="s">
        <v>143</v>
      </c>
      <c r="L53" t="s">
        <v>101</v>
      </c>
      <c r="M53" s="17" t="str">
        <f t="shared" si="0"/>
        <v>FISCALYEAR</v>
      </c>
      <c r="N53" s="133" t="str">
        <f t="shared" si="1"/>
        <v>P</v>
      </c>
      <c r="O53" s="3"/>
    </row>
    <row r="54" spans="1:15" ht="15.75" x14ac:dyDescent="0.25">
      <c r="A54" s="1">
        <v>45880</v>
      </c>
      <c r="B54" s="3" t="s">
        <v>1282</v>
      </c>
      <c r="C54" t="s">
        <v>138</v>
      </c>
      <c r="F54" s="1">
        <v>45880</v>
      </c>
      <c r="G54" s="1">
        <v>45907</v>
      </c>
      <c r="H54" t="s">
        <v>97</v>
      </c>
      <c r="I54" t="s">
        <v>141</v>
      </c>
      <c r="J54" t="s">
        <v>54</v>
      </c>
      <c r="L54" t="s">
        <v>97</v>
      </c>
      <c r="M54" s="17" t="str">
        <f t="shared" si="0"/>
        <v>FISCALYEAR</v>
      </c>
      <c r="N54" s="133" t="str">
        <f t="shared" si="1"/>
        <v>P</v>
      </c>
      <c r="O54" s="3"/>
    </row>
    <row r="55" spans="1:15" ht="15.75" x14ac:dyDescent="0.25">
      <c r="A55" s="1">
        <v>43625</v>
      </c>
      <c r="B55" s="3" t="s">
        <v>1282</v>
      </c>
      <c r="C55" t="s">
        <v>138</v>
      </c>
      <c r="F55" s="1">
        <v>43605</v>
      </c>
      <c r="G55" s="1">
        <v>43632</v>
      </c>
      <c r="H55" t="s">
        <v>73</v>
      </c>
      <c r="I55" t="s">
        <v>146</v>
      </c>
      <c r="J55" t="s">
        <v>143</v>
      </c>
      <c r="L55" t="s">
        <v>73</v>
      </c>
      <c r="M55" s="17" t="str">
        <f t="shared" si="0"/>
        <v>FISCALYEAR</v>
      </c>
      <c r="N55" s="133" t="str">
        <f t="shared" si="1"/>
        <v>P</v>
      </c>
      <c r="O55" s="3"/>
    </row>
    <row r="56" spans="1:15" ht="15.75" x14ac:dyDescent="0.25">
      <c r="A56" s="1">
        <v>45519</v>
      </c>
      <c r="B56" s="3" t="s">
        <v>1282</v>
      </c>
      <c r="C56" t="s">
        <v>138</v>
      </c>
      <c r="F56" s="1">
        <v>45516</v>
      </c>
      <c r="G56" s="1">
        <v>45543</v>
      </c>
      <c r="H56" t="s">
        <v>56</v>
      </c>
      <c r="I56" t="s">
        <v>141</v>
      </c>
      <c r="J56" t="s">
        <v>54</v>
      </c>
      <c r="L56" t="s">
        <v>56</v>
      </c>
      <c r="M56" s="17" t="str">
        <f t="shared" si="0"/>
        <v>FISCALYEAR</v>
      </c>
      <c r="N56" s="133" t="str">
        <f t="shared" si="1"/>
        <v>P</v>
      </c>
      <c r="O56" s="3"/>
    </row>
    <row r="57" spans="1:15" ht="15.75" x14ac:dyDescent="0.25">
      <c r="A57" s="1">
        <v>40723</v>
      </c>
      <c r="B57" s="3" t="s">
        <v>1282</v>
      </c>
      <c r="C57" t="s">
        <v>138</v>
      </c>
      <c r="F57" s="1">
        <v>40707</v>
      </c>
      <c r="G57" s="1">
        <v>40734</v>
      </c>
      <c r="H57" t="s">
        <v>91</v>
      </c>
      <c r="I57" t="s">
        <v>151</v>
      </c>
      <c r="J57" t="s">
        <v>143</v>
      </c>
      <c r="L57" t="s">
        <v>91</v>
      </c>
      <c r="M57" s="17" t="str">
        <f t="shared" si="0"/>
        <v>FISCALYEAR</v>
      </c>
      <c r="N57" s="133" t="str">
        <f t="shared" si="1"/>
        <v>P</v>
      </c>
      <c r="O57" s="3"/>
    </row>
    <row r="58" spans="1:15" ht="15.75" x14ac:dyDescent="0.25">
      <c r="A58" s="1">
        <v>45202</v>
      </c>
      <c r="B58" s="3" t="s">
        <v>1282</v>
      </c>
      <c r="C58" t="s">
        <v>138</v>
      </c>
      <c r="F58" s="1">
        <v>45201</v>
      </c>
      <c r="G58" s="1">
        <v>45228</v>
      </c>
      <c r="H58" t="s">
        <v>96</v>
      </c>
      <c r="I58" t="s">
        <v>150</v>
      </c>
      <c r="J58" t="s">
        <v>12</v>
      </c>
      <c r="L58" t="s">
        <v>96</v>
      </c>
      <c r="M58" s="17" t="str">
        <f t="shared" si="0"/>
        <v>FISCALYEAR</v>
      </c>
      <c r="N58" s="133" t="str">
        <f t="shared" si="1"/>
        <v>P</v>
      </c>
      <c r="O58" s="3"/>
    </row>
    <row r="59" spans="1:15" ht="15.75" x14ac:dyDescent="0.25">
      <c r="A59" s="1">
        <v>37233</v>
      </c>
      <c r="B59" s="3" t="s">
        <v>1282</v>
      </c>
      <c r="C59" t="s">
        <v>138</v>
      </c>
      <c r="F59" s="1">
        <v>37228</v>
      </c>
      <c r="G59" s="1">
        <v>37255</v>
      </c>
      <c r="H59" t="s">
        <v>77</v>
      </c>
      <c r="I59" t="s">
        <v>14</v>
      </c>
      <c r="J59" t="s">
        <v>12</v>
      </c>
      <c r="L59" t="s">
        <v>77</v>
      </c>
      <c r="M59" s="17" t="str">
        <f t="shared" si="0"/>
        <v>FISCALYEAR</v>
      </c>
      <c r="N59" s="133" t="str">
        <f t="shared" si="1"/>
        <v>P</v>
      </c>
      <c r="O59" s="3"/>
    </row>
    <row r="60" spans="1:15" ht="15.75" x14ac:dyDescent="0.25">
      <c r="A60" s="1">
        <v>47240</v>
      </c>
      <c r="B60" s="3" t="s">
        <v>1282</v>
      </c>
      <c r="C60" t="s">
        <v>138</v>
      </c>
      <c r="F60" s="1">
        <v>47231</v>
      </c>
      <c r="G60" s="1">
        <v>47258</v>
      </c>
      <c r="H60" t="s">
        <v>105</v>
      </c>
      <c r="I60" t="s">
        <v>142</v>
      </c>
      <c r="J60" t="s">
        <v>143</v>
      </c>
      <c r="L60" t="s">
        <v>105</v>
      </c>
      <c r="M60" s="17" t="str">
        <f t="shared" si="0"/>
        <v>FISCALYEAR</v>
      </c>
      <c r="N60" s="133" t="str">
        <f t="shared" si="1"/>
        <v>P</v>
      </c>
      <c r="O60" s="3"/>
    </row>
    <row r="61" spans="1:15" ht="15.75" x14ac:dyDescent="0.25">
      <c r="A61" s="1">
        <v>39924</v>
      </c>
      <c r="B61" s="3" t="s">
        <v>1282</v>
      </c>
      <c r="C61" t="s">
        <v>138</v>
      </c>
      <c r="F61" s="1">
        <v>39923</v>
      </c>
      <c r="G61" s="1">
        <v>39950</v>
      </c>
      <c r="H61" t="s">
        <v>89</v>
      </c>
      <c r="I61" t="s">
        <v>142</v>
      </c>
      <c r="J61" t="s">
        <v>143</v>
      </c>
      <c r="L61" t="s">
        <v>89</v>
      </c>
      <c r="M61" s="17" t="str">
        <f t="shared" si="0"/>
        <v>FISCALYEAR</v>
      </c>
      <c r="N61" s="133" t="str">
        <f t="shared" si="1"/>
        <v>P</v>
      </c>
      <c r="O61" s="3"/>
    </row>
    <row r="62" spans="1:15" ht="15.75" x14ac:dyDescent="0.25">
      <c r="A62" s="1">
        <v>43453</v>
      </c>
      <c r="B62" s="3" t="s">
        <v>1282</v>
      </c>
      <c r="C62" t="s">
        <v>138</v>
      </c>
      <c r="F62" s="1">
        <v>43437</v>
      </c>
      <c r="G62" s="1">
        <v>43464</v>
      </c>
      <c r="H62" t="s">
        <v>72</v>
      </c>
      <c r="I62" t="s">
        <v>14</v>
      </c>
      <c r="J62" t="s">
        <v>12</v>
      </c>
      <c r="L62" t="s">
        <v>72</v>
      </c>
      <c r="M62" s="17" t="str">
        <f t="shared" si="0"/>
        <v>FISCALYEAR</v>
      </c>
      <c r="N62" s="133" t="str">
        <f t="shared" si="1"/>
        <v>P</v>
      </c>
      <c r="O62" s="3"/>
    </row>
    <row r="63" spans="1:15" ht="15.75" x14ac:dyDescent="0.25">
      <c r="A63" s="1">
        <v>44294</v>
      </c>
      <c r="B63" s="3" t="s">
        <v>1282</v>
      </c>
      <c r="C63" t="s">
        <v>138</v>
      </c>
      <c r="F63" s="1">
        <v>44277</v>
      </c>
      <c r="G63" s="1">
        <v>44304</v>
      </c>
      <c r="H63" t="s">
        <v>74</v>
      </c>
      <c r="I63" t="s">
        <v>12</v>
      </c>
      <c r="J63" t="s">
        <v>17</v>
      </c>
      <c r="L63" t="s">
        <v>74</v>
      </c>
      <c r="M63" s="17" t="str">
        <f t="shared" si="0"/>
        <v>FISCALYEAR</v>
      </c>
      <c r="N63" s="133" t="str">
        <f t="shared" si="1"/>
        <v>P</v>
      </c>
      <c r="O63" s="3"/>
    </row>
    <row r="64" spans="1:15" ht="15.75" x14ac:dyDescent="0.25">
      <c r="A64" s="1">
        <v>45370</v>
      </c>
      <c r="B64" s="3" t="s">
        <v>1282</v>
      </c>
      <c r="C64" t="s">
        <v>138</v>
      </c>
      <c r="F64" s="1">
        <v>45348</v>
      </c>
      <c r="G64" s="1">
        <v>45375</v>
      </c>
      <c r="H64" t="s">
        <v>56</v>
      </c>
      <c r="I64" t="s">
        <v>54</v>
      </c>
      <c r="J64" t="s">
        <v>17</v>
      </c>
      <c r="L64" t="s">
        <v>56</v>
      </c>
      <c r="M64" s="17" t="str">
        <f t="shared" si="0"/>
        <v>FISCALYEAR</v>
      </c>
      <c r="N64" s="133" t="str">
        <f t="shared" si="1"/>
        <v>P</v>
      </c>
      <c r="O64" s="3"/>
    </row>
    <row r="65" spans="1:15" ht="15.75" x14ac:dyDescent="0.25">
      <c r="A65" s="1">
        <v>40292</v>
      </c>
      <c r="B65" s="3" t="s">
        <v>1282</v>
      </c>
      <c r="C65" t="s">
        <v>138</v>
      </c>
      <c r="F65" s="1">
        <v>40287</v>
      </c>
      <c r="G65" s="1">
        <v>40314</v>
      </c>
      <c r="H65" t="s">
        <v>90</v>
      </c>
      <c r="I65" t="s">
        <v>142</v>
      </c>
      <c r="J65" t="s">
        <v>143</v>
      </c>
      <c r="L65" t="s">
        <v>90</v>
      </c>
      <c r="M65" s="17" t="str">
        <f t="shared" si="0"/>
        <v>FISCALYEAR</v>
      </c>
      <c r="N65" s="133" t="str">
        <f t="shared" si="1"/>
        <v>P</v>
      </c>
      <c r="O65" s="3"/>
    </row>
    <row r="66" spans="1:15" s="150" customFormat="1" x14ac:dyDescent="0.25">
      <c r="A66" s="148"/>
      <c r="B66" s="149"/>
      <c r="F66" s="148"/>
      <c r="G66" s="148"/>
    </row>
    <row r="67" spans="1:15" ht="15.75" x14ac:dyDescent="0.25">
      <c r="A67" s="1"/>
      <c r="B67" s="3"/>
      <c r="F67" s="1"/>
      <c r="G67" s="1"/>
      <c r="L67" s="127"/>
      <c r="M67" s="17"/>
      <c r="N67" s="19"/>
      <c r="O67" s="3"/>
    </row>
    <row r="68" spans="1:15" ht="15.75" x14ac:dyDescent="0.25">
      <c r="A68" s="1"/>
      <c r="B68" s="3"/>
      <c r="F68" s="1"/>
      <c r="G68" s="1"/>
      <c r="L68" s="127"/>
      <c r="M68" s="17"/>
      <c r="N68" s="19"/>
      <c r="O68" s="3"/>
    </row>
    <row r="69" spans="1:15" ht="15.75" x14ac:dyDescent="0.25">
      <c r="A69" s="1"/>
      <c r="B69" s="3"/>
      <c r="F69" s="1"/>
      <c r="G69" s="1"/>
      <c r="L69" s="127"/>
      <c r="M69" s="17"/>
      <c r="N69" s="19"/>
      <c r="O69" s="3"/>
    </row>
    <row r="70" spans="1:15" ht="15.75" x14ac:dyDescent="0.25">
      <c r="A70" s="1"/>
      <c r="B70" s="3"/>
      <c r="F70" s="1"/>
      <c r="G70" s="1"/>
      <c r="L70" s="127"/>
      <c r="M70" s="17"/>
      <c r="N70" s="19"/>
      <c r="O70" s="3"/>
    </row>
    <row r="71" spans="1:15" ht="15.75" x14ac:dyDescent="0.25">
      <c r="A71" s="1"/>
      <c r="B71" s="3"/>
      <c r="F71" s="1"/>
      <c r="G71" s="1"/>
      <c r="L71" s="127"/>
      <c r="M71" s="17"/>
      <c r="N71" s="19"/>
      <c r="O71" s="3"/>
    </row>
    <row r="72" spans="1:15" ht="15.75" x14ac:dyDescent="0.25">
      <c r="A72" s="1"/>
      <c r="B72" s="3"/>
      <c r="F72" s="1"/>
      <c r="G72" s="1"/>
      <c r="L72" s="127"/>
      <c r="M72" s="17"/>
      <c r="N72" s="19"/>
      <c r="O72" s="3"/>
    </row>
    <row r="73" spans="1:15" ht="15.75" x14ac:dyDescent="0.25">
      <c r="A73" s="1"/>
      <c r="B73" s="3"/>
      <c r="F73" s="1"/>
      <c r="G73" s="1"/>
      <c r="L73" s="127"/>
      <c r="M73" s="17"/>
      <c r="N73" s="19"/>
      <c r="O73" s="3"/>
    </row>
    <row r="74" spans="1:15" ht="15.75" x14ac:dyDescent="0.25">
      <c r="A74" s="1"/>
      <c r="B74" s="3"/>
      <c r="F74" s="1"/>
      <c r="G74" s="1"/>
      <c r="L74" s="127"/>
      <c r="M74" s="17"/>
      <c r="N74" s="19"/>
      <c r="O74" s="3"/>
    </row>
    <row r="75" spans="1:15" ht="15.75" x14ac:dyDescent="0.25">
      <c r="A75" s="1"/>
      <c r="B75" s="3"/>
      <c r="F75" s="1"/>
      <c r="G75" s="1"/>
      <c r="L75" s="127"/>
      <c r="M75" s="17"/>
      <c r="N75" s="19"/>
      <c r="O75" s="3"/>
    </row>
    <row r="76" spans="1:15" ht="15.75" x14ac:dyDescent="0.25">
      <c r="A76" s="1"/>
      <c r="B76" s="3"/>
      <c r="F76" s="1"/>
      <c r="G76" s="1"/>
      <c r="L76" s="127"/>
      <c r="M76" s="17"/>
      <c r="N76" s="19"/>
      <c r="O76" s="3"/>
    </row>
    <row r="77" spans="1:15" ht="15.75" x14ac:dyDescent="0.25">
      <c r="A77" s="1"/>
      <c r="B77" s="3"/>
      <c r="F77" s="1"/>
      <c r="G77" s="1"/>
      <c r="L77" s="127"/>
      <c r="M77" s="17"/>
      <c r="N77" s="19"/>
      <c r="O77" s="3"/>
    </row>
    <row r="78" spans="1:15" ht="15.75" x14ac:dyDescent="0.25">
      <c r="A78" s="1"/>
      <c r="B78" s="3"/>
      <c r="F78" s="1"/>
      <c r="G78" s="1"/>
      <c r="L78" s="127"/>
      <c r="M78" s="17"/>
      <c r="N78" s="19"/>
      <c r="O78" s="3"/>
    </row>
    <row r="79" spans="1:15" ht="15.75" x14ac:dyDescent="0.25">
      <c r="A79" s="1"/>
      <c r="B79" s="3"/>
      <c r="F79" s="1"/>
      <c r="G79" s="1"/>
      <c r="L79" s="127"/>
      <c r="M79" s="17"/>
      <c r="N79" s="19"/>
      <c r="O79" s="3"/>
    </row>
    <row r="80" spans="1:15" ht="15.75" x14ac:dyDescent="0.25">
      <c r="A80" s="1"/>
      <c r="B80" s="3"/>
      <c r="F80" s="1"/>
      <c r="G80" s="1"/>
      <c r="L80" s="127"/>
      <c r="M80" s="17"/>
      <c r="N80" s="19"/>
      <c r="O80" s="3"/>
    </row>
    <row r="81" spans="1:15" ht="15.75" x14ac:dyDescent="0.25">
      <c r="A81" s="1"/>
      <c r="B81" s="3"/>
      <c r="F81" s="1"/>
      <c r="G81" s="1"/>
      <c r="L81" s="127"/>
      <c r="M81" s="17"/>
      <c r="N81" s="19"/>
      <c r="O81" s="3"/>
    </row>
    <row r="82" spans="1:15" ht="15.75" x14ac:dyDescent="0.25">
      <c r="A82" s="1"/>
      <c r="B82" s="3"/>
      <c r="F82" s="1"/>
      <c r="G82" s="1"/>
      <c r="L82" s="127"/>
      <c r="M82" s="17"/>
      <c r="N82" s="19"/>
      <c r="O82" s="3"/>
    </row>
    <row r="83" spans="1:15" ht="15.75" x14ac:dyDescent="0.25">
      <c r="A83" s="1"/>
      <c r="B83" s="3"/>
      <c r="F83" s="1"/>
      <c r="G83" s="1"/>
      <c r="L83" s="127"/>
      <c r="M83" s="17"/>
      <c r="N83" s="19"/>
      <c r="O83" s="3"/>
    </row>
    <row r="84" spans="1:15" ht="15.75" x14ac:dyDescent="0.25">
      <c r="A84" s="1"/>
      <c r="B84" s="3"/>
      <c r="F84" s="1"/>
      <c r="G84" s="1"/>
      <c r="L84" s="127"/>
      <c r="M84" s="17"/>
      <c r="N84" s="19"/>
      <c r="O84" s="3"/>
    </row>
    <row r="85" spans="1:15" ht="15.75" x14ac:dyDescent="0.25">
      <c r="A85" s="1"/>
      <c r="B85" s="3"/>
      <c r="F85" s="1"/>
      <c r="G85" s="1"/>
      <c r="L85" s="127"/>
      <c r="M85" s="17"/>
      <c r="N85" s="19"/>
      <c r="O85" s="3"/>
    </row>
    <row r="86" spans="1:15" ht="15.75" x14ac:dyDescent="0.25">
      <c r="A86" s="1"/>
      <c r="B86" s="3"/>
      <c r="F86" s="1"/>
      <c r="G86" s="1"/>
      <c r="L86" s="127"/>
      <c r="M86" s="17"/>
      <c r="N86" s="19"/>
      <c r="O86" s="3"/>
    </row>
    <row r="87" spans="1:15" ht="15.75" x14ac:dyDescent="0.25">
      <c r="A87" s="1"/>
      <c r="B87" s="3"/>
      <c r="F87" s="1"/>
      <c r="G87" s="1"/>
      <c r="L87" s="127"/>
      <c r="M87" s="17"/>
      <c r="N87" s="19"/>
      <c r="O87" s="3"/>
    </row>
    <row r="88" spans="1:15" ht="15.75" x14ac:dyDescent="0.25">
      <c r="A88" s="1"/>
      <c r="B88" s="3"/>
      <c r="F88" s="1"/>
      <c r="G88" s="1"/>
      <c r="L88" s="127"/>
      <c r="M88" s="17"/>
      <c r="N88" s="19"/>
      <c r="O88" s="3"/>
    </row>
    <row r="89" spans="1:15" ht="15.75" x14ac:dyDescent="0.25">
      <c r="A89" s="1"/>
      <c r="B89" s="3"/>
      <c r="F89" s="1"/>
      <c r="G89" s="1"/>
      <c r="L89" s="127"/>
      <c r="M89" s="17"/>
      <c r="N89" s="19"/>
      <c r="O89" s="3"/>
    </row>
    <row r="90" spans="1:15" ht="15.75" x14ac:dyDescent="0.25">
      <c r="A90" s="1"/>
      <c r="B90" s="3"/>
      <c r="F90" s="1"/>
      <c r="G90" s="1"/>
      <c r="L90" s="127"/>
      <c r="M90" s="17"/>
      <c r="N90" s="19"/>
      <c r="O90" s="3"/>
    </row>
    <row r="91" spans="1:15" ht="15.75" x14ac:dyDescent="0.25">
      <c r="A91" s="1"/>
      <c r="B91" s="3"/>
      <c r="F91" s="1"/>
      <c r="G91" s="1"/>
      <c r="L91" s="127"/>
      <c r="M91" s="17"/>
      <c r="N91" s="19"/>
      <c r="O91" s="3"/>
    </row>
    <row r="92" spans="1:15" ht="15.75" x14ac:dyDescent="0.25">
      <c r="A92" s="1"/>
      <c r="B92" s="3"/>
      <c r="F92" s="1"/>
      <c r="G92" s="1"/>
      <c r="L92" s="127"/>
      <c r="M92" s="17"/>
      <c r="N92" s="19"/>
      <c r="O92" s="3"/>
    </row>
    <row r="93" spans="1:15" ht="15.75" x14ac:dyDescent="0.25">
      <c r="A93" s="1"/>
      <c r="B93" s="3"/>
      <c r="F93" s="1"/>
      <c r="G93" s="1"/>
      <c r="L93" s="127"/>
      <c r="M93" s="17"/>
      <c r="N93" s="19"/>
      <c r="O93" s="3"/>
    </row>
    <row r="94" spans="1:15" ht="15.75" x14ac:dyDescent="0.25">
      <c r="A94" s="1"/>
      <c r="B94" s="3"/>
      <c r="F94" s="1"/>
      <c r="G94" s="1"/>
      <c r="L94" s="127"/>
      <c r="M94" s="17"/>
      <c r="N94" s="19"/>
      <c r="O94" s="3"/>
    </row>
    <row r="95" spans="1:15" ht="15.75" x14ac:dyDescent="0.25">
      <c r="A95" s="1"/>
      <c r="B95" s="3"/>
      <c r="F95" s="1"/>
      <c r="G95" s="1"/>
      <c r="L95" s="127"/>
      <c r="M95" s="17"/>
      <c r="N95" s="19"/>
      <c r="O95" s="3"/>
    </row>
    <row r="96" spans="1:15" ht="15.75" x14ac:dyDescent="0.25">
      <c r="A96" s="1"/>
      <c r="B96" s="3"/>
      <c r="F96" s="1"/>
      <c r="G96" s="1"/>
      <c r="L96" s="127"/>
      <c r="M96" s="17"/>
      <c r="N96" s="19"/>
      <c r="O96" s="3"/>
    </row>
    <row r="97" spans="1:15" ht="15.75" x14ac:dyDescent="0.25">
      <c r="A97" s="1"/>
      <c r="B97" s="3"/>
      <c r="F97" s="1"/>
      <c r="G97" s="1"/>
      <c r="L97" s="127"/>
      <c r="M97" s="17"/>
      <c r="N97" s="19"/>
      <c r="O97" s="3"/>
    </row>
    <row r="98" spans="1:15" ht="15.75" x14ac:dyDescent="0.25">
      <c r="A98" s="1"/>
      <c r="B98" s="3"/>
      <c r="F98" s="1"/>
      <c r="G98" s="1"/>
      <c r="L98" s="127"/>
      <c r="M98" s="17"/>
      <c r="N98" s="19"/>
      <c r="O98" s="3"/>
    </row>
    <row r="99" spans="1:15" ht="15.75" x14ac:dyDescent="0.25">
      <c r="A99" s="1"/>
      <c r="B99" s="3"/>
      <c r="F99" s="1"/>
      <c r="G99" s="1"/>
      <c r="L99" s="127"/>
      <c r="M99" s="17"/>
      <c r="N99" s="19"/>
      <c r="O99" s="3"/>
    </row>
    <row r="100" spans="1:15" x14ac:dyDescent="0.25">
      <c r="A100" s="1"/>
      <c r="B100" s="3"/>
      <c r="F100" s="1"/>
      <c r="G100" s="1"/>
      <c r="L100" s="127"/>
      <c r="M100" s="1"/>
    </row>
    <row r="101" spans="1:15" x14ac:dyDescent="0.25">
      <c r="A101" s="1"/>
      <c r="B101" s="3"/>
      <c r="F101" s="1"/>
      <c r="G101" s="1"/>
      <c r="L101" s="127"/>
      <c r="M101" s="1"/>
    </row>
    <row r="102" spans="1:15" x14ac:dyDescent="0.25">
      <c r="A102" s="1"/>
      <c r="B102" s="3"/>
      <c r="F102" s="1"/>
      <c r="G102" s="1"/>
      <c r="L102" s="127"/>
      <c r="M102" s="1"/>
    </row>
    <row r="103" spans="1:15" x14ac:dyDescent="0.25">
      <c r="A103" s="1"/>
      <c r="B103" s="3"/>
      <c r="F103" s="1"/>
      <c r="G103" s="1"/>
      <c r="L103" s="127"/>
      <c r="M103" s="1"/>
    </row>
    <row r="104" spans="1:15" x14ac:dyDescent="0.25">
      <c r="A104" s="1"/>
      <c r="B104" s="3"/>
      <c r="F104" s="1"/>
      <c r="G104" s="1"/>
      <c r="L104" s="127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67:N99 N8:N65">
    <cfRule type="cellIs" dxfId="1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9873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79873" r:id="rId4" name="ExecuteQueries"/>
      </mc:Fallback>
    </mc:AlternateContent>
    <mc:AlternateContent xmlns:mc="http://schemas.openxmlformats.org/markup-compatibility/2006">
      <mc:Choice Requires="x14">
        <control shapeId="79874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3</xdr:col>
                <xdr:colOff>485775</xdr:colOff>
                <xdr:row>2</xdr:row>
                <xdr:rowOff>104775</xdr:rowOff>
              </to>
            </anchor>
          </controlPr>
        </control>
      </mc:Choice>
      <mc:Fallback>
        <control shapeId="79874" r:id="rId6" name="ClearBtn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rgb="FFFFC000"/>
  </sheetPr>
  <dimension ref="A1:R412"/>
  <sheetViews>
    <sheetView tabSelected="1" workbookViewId="0">
      <selection activeCell="R26" sqref="R26:R31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20</v>
      </c>
      <c r="I2" s="5"/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55" t="s">
        <v>1</v>
      </c>
      <c r="B5" s="155"/>
      <c r="C5" s="155"/>
      <c r="D5" s="155"/>
      <c r="F5" s="156" t="s">
        <v>0</v>
      </c>
      <c r="G5" s="157"/>
      <c r="H5" s="157"/>
      <c r="I5" s="157"/>
      <c r="J5" s="158"/>
      <c r="L5" s="159" t="s">
        <v>10</v>
      </c>
      <c r="M5" s="160"/>
      <c r="N5" s="160"/>
      <c r="O5" s="160"/>
      <c r="P5" s="161"/>
    </row>
    <row r="6" spans="1:18" s="4" customFormat="1" x14ac:dyDescent="0.25">
      <c r="A6" s="7" t="s">
        <v>2</v>
      </c>
      <c r="B6" s="8" t="s">
        <v>9</v>
      </c>
      <c r="C6" s="9"/>
      <c r="D6" s="9"/>
      <c r="E6" s="2"/>
      <c r="F6" s="5" t="s">
        <v>4</v>
      </c>
      <c r="G6" s="5" t="s">
        <v>5</v>
      </c>
      <c r="H6" s="5" t="s">
        <v>6</v>
      </c>
      <c r="I6" s="5" t="s">
        <v>7</v>
      </c>
      <c r="J6" s="5" t="s">
        <v>8</v>
      </c>
      <c r="K6" s="2"/>
      <c r="L6" s="11" t="s">
        <v>11</v>
      </c>
      <c r="M6" s="13" t="s">
        <v>18</v>
      </c>
      <c r="N6" s="14" t="s">
        <v>49</v>
      </c>
      <c r="O6" s="12" t="s">
        <v>51</v>
      </c>
      <c r="P6" s="10"/>
    </row>
    <row r="7" spans="1:18" s="2" customFormat="1" x14ac:dyDescent="0.25">
      <c r="F7" s="6"/>
      <c r="G7" s="6"/>
      <c r="M7" s="15"/>
      <c r="N7" s="16"/>
    </row>
    <row r="8" spans="1:18" ht="15.75" x14ac:dyDescent="0.25">
      <c r="A8" s="1"/>
      <c r="B8" s="3"/>
      <c r="C8" s="3"/>
      <c r="F8" s="1"/>
      <c r="G8" s="1"/>
      <c r="M8" s="17">
        <f>B8</f>
        <v>0</v>
      </c>
      <c r="N8" s="18" t="str">
        <f>IF(VALUE(L8)=VALUE(O8), "P","F")</f>
        <v>F</v>
      </c>
      <c r="O8" s="3">
        <f t="shared" ref="O8:O71" si="0">(G8-F8+1)</f>
        <v>1</v>
      </c>
      <c r="R8" t="s">
        <v>24</v>
      </c>
    </row>
    <row r="9" spans="1:18" ht="15.75" x14ac:dyDescent="0.25">
      <c r="A9" s="1"/>
      <c r="B9" s="3"/>
      <c r="F9" s="1"/>
      <c r="G9" s="1"/>
      <c r="M9" s="17">
        <f t="shared" ref="M9:M72" si="1">B9</f>
        <v>0</v>
      </c>
      <c r="N9" s="19" t="str">
        <f t="shared" ref="N9:N72" si="2">IF(VALUE(L9)=VALUE(O9), "P","F")</f>
        <v>F</v>
      </c>
      <c r="O9" s="3">
        <f t="shared" si="0"/>
        <v>1</v>
      </c>
      <c r="R9" t="s">
        <v>25</v>
      </c>
    </row>
    <row r="10" spans="1:18" ht="15.75" x14ac:dyDescent="0.25">
      <c r="A10" s="1"/>
      <c r="B10" s="3"/>
      <c r="F10" s="1"/>
      <c r="G10" s="1"/>
      <c r="M10" s="17">
        <f t="shared" si="1"/>
        <v>0</v>
      </c>
      <c r="N10" s="19" t="str">
        <f t="shared" si="2"/>
        <v>F</v>
      </c>
      <c r="O10" s="3">
        <f t="shared" si="0"/>
        <v>1</v>
      </c>
      <c r="R10" t="s">
        <v>26</v>
      </c>
    </row>
    <row r="11" spans="1:18" ht="15.75" x14ac:dyDescent="0.25">
      <c r="A11" s="1"/>
      <c r="B11" s="3"/>
      <c r="F11" s="1"/>
      <c r="G11" s="1"/>
      <c r="M11" s="17">
        <f t="shared" si="1"/>
        <v>0</v>
      </c>
      <c r="N11" s="19" t="str">
        <f t="shared" si="2"/>
        <v>F</v>
      </c>
      <c r="O11" s="3">
        <f t="shared" si="0"/>
        <v>1</v>
      </c>
      <c r="R11" t="s">
        <v>27</v>
      </c>
    </row>
    <row r="12" spans="1:18" ht="15.75" x14ac:dyDescent="0.25">
      <c r="A12" s="1"/>
      <c r="B12" s="3"/>
      <c r="F12" s="1"/>
      <c r="G12" s="1"/>
      <c r="M12" s="17">
        <f t="shared" si="1"/>
        <v>0</v>
      </c>
      <c r="N12" s="19" t="str">
        <f t="shared" si="2"/>
        <v>F</v>
      </c>
      <c r="O12" s="3">
        <f t="shared" si="0"/>
        <v>1</v>
      </c>
      <c r="R12" t="s">
        <v>28</v>
      </c>
    </row>
    <row r="13" spans="1:18" ht="15.75" x14ac:dyDescent="0.25">
      <c r="A13" s="1"/>
      <c r="B13" s="3"/>
      <c r="F13" s="1"/>
      <c r="G13" s="1"/>
      <c r="M13" s="17">
        <f t="shared" si="1"/>
        <v>0</v>
      </c>
      <c r="N13" s="19" t="str">
        <f t="shared" si="2"/>
        <v>F</v>
      </c>
      <c r="O13" s="3">
        <f t="shared" si="0"/>
        <v>1</v>
      </c>
      <c r="R13" t="s">
        <v>29</v>
      </c>
    </row>
    <row r="14" spans="1:18" ht="15.75" x14ac:dyDescent="0.25">
      <c r="A14" s="1"/>
      <c r="B14" s="3"/>
      <c r="F14" s="1"/>
      <c r="G14" s="1"/>
      <c r="M14" s="17">
        <f t="shared" si="1"/>
        <v>0</v>
      </c>
      <c r="N14" s="19" t="str">
        <f t="shared" si="2"/>
        <v>F</v>
      </c>
      <c r="O14" s="3">
        <f t="shared" si="0"/>
        <v>1</v>
      </c>
      <c r="R14" t="s">
        <v>30</v>
      </c>
    </row>
    <row r="15" spans="1:18" ht="15.75" x14ac:dyDescent="0.25">
      <c r="A15" s="1"/>
      <c r="B15" s="3"/>
      <c r="F15" s="1"/>
      <c r="G15" s="1"/>
      <c r="M15" s="17">
        <f t="shared" si="1"/>
        <v>0</v>
      </c>
      <c r="N15" s="19" t="str">
        <f t="shared" si="2"/>
        <v>F</v>
      </c>
      <c r="O15" s="3">
        <f t="shared" si="0"/>
        <v>1</v>
      </c>
      <c r="R15" t="s">
        <v>31</v>
      </c>
    </row>
    <row r="16" spans="1:18" ht="15.75" x14ac:dyDescent="0.25">
      <c r="A16" s="1"/>
      <c r="B16" s="3"/>
      <c r="F16" s="1"/>
      <c r="G16" s="1"/>
      <c r="M16" s="17">
        <f t="shared" si="1"/>
        <v>0</v>
      </c>
      <c r="N16" s="19" t="str">
        <f t="shared" si="2"/>
        <v>F</v>
      </c>
      <c r="O16" s="3">
        <f t="shared" si="0"/>
        <v>1</v>
      </c>
      <c r="R16" t="s">
        <v>32</v>
      </c>
    </row>
    <row r="17" spans="1:18" ht="15.75" x14ac:dyDescent="0.25">
      <c r="A17" s="1"/>
      <c r="B17" s="3"/>
      <c r="F17" s="1"/>
      <c r="G17" s="1"/>
      <c r="M17" s="17">
        <f t="shared" si="1"/>
        <v>0</v>
      </c>
      <c r="N17" s="19" t="str">
        <f t="shared" si="2"/>
        <v>F</v>
      </c>
      <c r="O17" s="3">
        <f t="shared" si="0"/>
        <v>1</v>
      </c>
      <c r="R17" t="s">
        <v>33</v>
      </c>
    </row>
    <row r="18" spans="1:18" ht="15.75" x14ac:dyDescent="0.25">
      <c r="A18" s="1"/>
      <c r="B18" s="3"/>
      <c r="F18" s="1"/>
      <c r="G18" s="1"/>
      <c r="M18" s="17">
        <f t="shared" si="1"/>
        <v>0</v>
      </c>
      <c r="N18" s="19" t="str">
        <f t="shared" si="2"/>
        <v>F</v>
      </c>
      <c r="O18" s="3">
        <f t="shared" si="0"/>
        <v>1</v>
      </c>
      <c r="R18" t="s">
        <v>34</v>
      </c>
    </row>
    <row r="19" spans="1:18" ht="15.75" x14ac:dyDescent="0.25">
      <c r="A19" s="1"/>
      <c r="B19" s="3"/>
      <c r="F19" s="1"/>
      <c r="G19" s="1"/>
      <c r="M19" s="17">
        <f t="shared" si="1"/>
        <v>0</v>
      </c>
      <c r="N19" s="19" t="str">
        <f t="shared" si="2"/>
        <v>F</v>
      </c>
      <c r="O19" s="3">
        <f t="shared" si="0"/>
        <v>1</v>
      </c>
      <c r="R19" t="s">
        <v>35</v>
      </c>
    </row>
    <row r="20" spans="1:18" ht="15.75" x14ac:dyDescent="0.25">
      <c r="A20" s="1"/>
      <c r="B20" s="3"/>
      <c r="F20" s="1"/>
      <c r="G20" s="1"/>
      <c r="M20" s="17">
        <f t="shared" si="1"/>
        <v>0</v>
      </c>
      <c r="N20" s="19" t="str">
        <f t="shared" si="2"/>
        <v>F</v>
      </c>
      <c r="O20" s="3">
        <f t="shared" si="0"/>
        <v>1</v>
      </c>
      <c r="R20" t="s">
        <v>36</v>
      </c>
    </row>
    <row r="21" spans="1:18" ht="15.75" x14ac:dyDescent="0.25">
      <c r="A21" s="1"/>
      <c r="B21" s="3"/>
      <c r="F21" s="1"/>
      <c r="G21" s="1"/>
      <c r="M21" s="17">
        <f t="shared" si="1"/>
        <v>0</v>
      </c>
      <c r="N21" s="19" t="str">
        <f t="shared" si="2"/>
        <v>F</v>
      </c>
      <c r="O21" s="3">
        <f t="shared" si="0"/>
        <v>1</v>
      </c>
      <c r="R21" t="s">
        <v>37</v>
      </c>
    </row>
    <row r="22" spans="1:18" ht="15.75" x14ac:dyDescent="0.25">
      <c r="A22" s="1"/>
      <c r="B22" s="3"/>
      <c r="F22" s="1"/>
      <c r="G22" s="1"/>
      <c r="M22" s="17">
        <f t="shared" si="1"/>
        <v>0</v>
      </c>
      <c r="N22" s="19" t="str">
        <f t="shared" si="2"/>
        <v>F</v>
      </c>
      <c r="O22" s="3">
        <f t="shared" si="0"/>
        <v>1</v>
      </c>
      <c r="R22" t="s">
        <v>38</v>
      </c>
    </row>
    <row r="23" spans="1:18" ht="15.75" x14ac:dyDescent="0.25">
      <c r="A23" s="1"/>
      <c r="B23" s="3"/>
      <c r="F23" s="1"/>
      <c r="G23" s="1"/>
      <c r="M23" s="17">
        <f t="shared" si="1"/>
        <v>0</v>
      </c>
      <c r="N23" s="19" t="str">
        <f t="shared" si="2"/>
        <v>F</v>
      </c>
      <c r="O23" s="3">
        <f t="shared" si="0"/>
        <v>1</v>
      </c>
      <c r="R23" t="s">
        <v>39</v>
      </c>
    </row>
    <row r="24" spans="1:18" ht="15.75" x14ac:dyDescent="0.25">
      <c r="A24" s="1"/>
      <c r="B24" s="3"/>
      <c r="F24" s="1"/>
      <c r="G24" s="1"/>
      <c r="M24" s="17">
        <f t="shared" si="1"/>
        <v>0</v>
      </c>
      <c r="N24" s="19" t="str">
        <f t="shared" si="2"/>
        <v>F</v>
      </c>
      <c r="O24" s="3">
        <f t="shared" si="0"/>
        <v>1</v>
      </c>
      <c r="R24" t="s">
        <v>40</v>
      </c>
    </row>
    <row r="25" spans="1:18" ht="15.75" x14ac:dyDescent="0.25">
      <c r="A25" s="1"/>
      <c r="B25" s="3"/>
      <c r="F25" s="1"/>
      <c r="G25" s="1"/>
      <c r="M25" s="17">
        <f t="shared" si="1"/>
        <v>0</v>
      </c>
      <c r="N25" s="19" t="str">
        <f t="shared" si="2"/>
        <v>F</v>
      </c>
      <c r="O25" s="3">
        <f t="shared" si="0"/>
        <v>1</v>
      </c>
    </row>
    <row r="26" spans="1:18" ht="15.75" x14ac:dyDescent="0.25">
      <c r="A26" s="1"/>
      <c r="B26" s="3"/>
      <c r="F26" s="1"/>
      <c r="G26" s="1"/>
      <c r="M26" s="17">
        <f t="shared" si="1"/>
        <v>0</v>
      </c>
      <c r="N26" s="19" t="str">
        <f t="shared" si="2"/>
        <v>F</v>
      </c>
      <c r="O26" s="3">
        <f t="shared" si="0"/>
        <v>1</v>
      </c>
      <c r="R26" t="s">
        <v>247</v>
      </c>
    </row>
    <row r="27" spans="1:18" ht="15.75" x14ac:dyDescent="0.25">
      <c r="A27" s="1"/>
      <c r="B27" s="3"/>
      <c r="F27" s="1"/>
      <c r="G27" s="1"/>
      <c r="M27" s="17">
        <f t="shared" si="1"/>
        <v>0</v>
      </c>
      <c r="N27" s="19" t="str">
        <f t="shared" si="2"/>
        <v>F</v>
      </c>
      <c r="O27" s="3">
        <f t="shared" si="0"/>
        <v>1</v>
      </c>
      <c r="R27" t="s">
        <v>242</v>
      </c>
    </row>
    <row r="28" spans="1:18" ht="15.75" x14ac:dyDescent="0.25">
      <c r="A28" s="1"/>
      <c r="B28" s="3"/>
      <c r="F28" s="1"/>
      <c r="G28" s="1"/>
      <c r="M28" s="17">
        <f t="shared" si="1"/>
        <v>0</v>
      </c>
      <c r="N28" s="19" t="str">
        <f t="shared" si="2"/>
        <v>F</v>
      </c>
      <c r="O28" s="3">
        <f t="shared" si="0"/>
        <v>1</v>
      </c>
      <c r="R28" t="s">
        <v>243</v>
      </c>
    </row>
    <row r="29" spans="1:18" ht="15.75" x14ac:dyDescent="0.25">
      <c r="A29" s="1"/>
      <c r="B29" s="3"/>
      <c r="F29" s="1"/>
      <c r="G29" s="1"/>
      <c r="M29" s="17">
        <f t="shared" si="1"/>
        <v>0</v>
      </c>
      <c r="N29" s="19" t="str">
        <f t="shared" si="2"/>
        <v>F</v>
      </c>
      <c r="O29" s="3">
        <f t="shared" si="0"/>
        <v>1</v>
      </c>
      <c r="R29" t="s">
        <v>244</v>
      </c>
    </row>
    <row r="30" spans="1:18" ht="15.75" x14ac:dyDescent="0.25">
      <c r="A30" s="1"/>
      <c r="B30" s="3"/>
      <c r="F30" s="1"/>
      <c r="G30" s="1"/>
      <c r="M30" s="17">
        <f t="shared" si="1"/>
        <v>0</v>
      </c>
      <c r="N30" s="19" t="str">
        <f t="shared" si="2"/>
        <v>F</v>
      </c>
      <c r="O30" s="3">
        <f t="shared" si="0"/>
        <v>1</v>
      </c>
      <c r="R30" t="s">
        <v>245</v>
      </c>
    </row>
    <row r="31" spans="1:18" ht="15.75" x14ac:dyDescent="0.25">
      <c r="A31" s="1"/>
      <c r="B31" s="3"/>
      <c r="F31" s="1"/>
      <c r="G31" s="1"/>
      <c r="M31" s="17">
        <f t="shared" si="1"/>
        <v>0</v>
      </c>
      <c r="N31" s="19" t="str">
        <f t="shared" si="2"/>
        <v>F</v>
      </c>
      <c r="O31" s="3">
        <f t="shared" si="0"/>
        <v>1</v>
      </c>
      <c r="R31" t="s">
        <v>246</v>
      </c>
    </row>
    <row r="32" spans="1:18" ht="15.75" x14ac:dyDescent="0.25">
      <c r="A32" s="1"/>
      <c r="B32" s="3"/>
      <c r="F32" s="1"/>
      <c r="G32" s="1"/>
      <c r="M32" s="17">
        <f t="shared" si="1"/>
        <v>0</v>
      </c>
      <c r="N32" s="19" t="str">
        <f t="shared" si="2"/>
        <v>F</v>
      </c>
      <c r="O32" s="3">
        <f t="shared" si="0"/>
        <v>1</v>
      </c>
    </row>
    <row r="33" spans="1:15" ht="15.75" x14ac:dyDescent="0.25">
      <c r="A33" s="1"/>
      <c r="B33" s="3"/>
      <c r="F33" s="1"/>
      <c r="G33" s="1"/>
      <c r="M33" s="17">
        <f t="shared" si="1"/>
        <v>0</v>
      </c>
      <c r="N33" s="19" t="str">
        <f t="shared" si="2"/>
        <v>F</v>
      </c>
      <c r="O33" s="3">
        <f t="shared" si="0"/>
        <v>1</v>
      </c>
    </row>
    <row r="34" spans="1:15" ht="15.75" x14ac:dyDescent="0.25">
      <c r="A34" s="1"/>
      <c r="B34" s="3"/>
      <c r="F34" s="1"/>
      <c r="G34" s="1"/>
      <c r="M34" s="17">
        <f t="shared" si="1"/>
        <v>0</v>
      </c>
      <c r="N34" s="19" t="str">
        <f t="shared" si="2"/>
        <v>F</v>
      </c>
      <c r="O34" s="3">
        <f t="shared" si="0"/>
        <v>1</v>
      </c>
    </row>
    <row r="35" spans="1:15" ht="15.75" x14ac:dyDescent="0.25">
      <c r="A35" s="1"/>
      <c r="B35" s="3"/>
      <c r="F35" s="1"/>
      <c r="G35" s="1"/>
      <c r="M35" s="17">
        <f t="shared" si="1"/>
        <v>0</v>
      </c>
      <c r="N35" s="19" t="str">
        <f t="shared" si="2"/>
        <v>F</v>
      </c>
      <c r="O35" s="3">
        <f t="shared" si="0"/>
        <v>1</v>
      </c>
    </row>
    <row r="36" spans="1:15" ht="15.75" x14ac:dyDescent="0.25">
      <c r="A36" s="1"/>
      <c r="B36" s="3"/>
      <c r="F36" s="1"/>
      <c r="G36" s="1"/>
      <c r="M36" s="17">
        <f t="shared" si="1"/>
        <v>0</v>
      </c>
      <c r="N36" s="19" t="str">
        <f t="shared" si="2"/>
        <v>F</v>
      </c>
      <c r="O36" s="3">
        <f t="shared" si="0"/>
        <v>1</v>
      </c>
    </row>
    <row r="37" spans="1:15" ht="15.75" x14ac:dyDescent="0.25">
      <c r="A37" s="1"/>
      <c r="B37" s="3"/>
      <c r="F37" s="1"/>
      <c r="G37" s="1"/>
      <c r="M37" s="17">
        <f t="shared" si="1"/>
        <v>0</v>
      </c>
      <c r="N37" s="19" t="str">
        <f t="shared" si="2"/>
        <v>F</v>
      </c>
      <c r="O37" s="3">
        <f t="shared" si="0"/>
        <v>1</v>
      </c>
    </row>
    <row r="38" spans="1:15" ht="15.75" x14ac:dyDescent="0.25">
      <c r="A38" s="1"/>
      <c r="B38" s="3"/>
      <c r="F38" s="1"/>
      <c r="G38" s="1"/>
      <c r="M38" s="17">
        <f t="shared" si="1"/>
        <v>0</v>
      </c>
      <c r="N38" s="19" t="str">
        <f t="shared" si="2"/>
        <v>F</v>
      </c>
      <c r="O38" s="3">
        <f t="shared" si="0"/>
        <v>1</v>
      </c>
    </row>
    <row r="39" spans="1:15" ht="15.75" x14ac:dyDescent="0.25">
      <c r="A39" s="1"/>
      <c r="B39" s="3"/>
      <c r="F39" s="1"/>
      <c r="G39" s="1"/>
      <c r="M39" s="17">
        <f t="shared" si="1"/>
        <v>0</v>
      </c>
      <c r="N39" s="19" t="str">
        <f t="shared" si="2"/>
        <v>F</v>
      </c>
      <c r="O39" s="3">
        <f t="shared" si="0"/>
        <v>1</v>
      </c>
    </row>
    <row r="40" spans="1:15" ht="15.75" x14ac:dyDescent="0.25">
      <c r="A40" s="1"/>
      <c r="B40" s="3"/>
      <c r="F40" s="1"/>
      <c r="G40" s="1"/>
      <c r="M40" s="17">
        <f t="shared" si="1"/>
        <v>0</v>
      </c>
      <c r="N40" s="19" t="str">
        <f t="shared" si="2"/>
        <v>F</v>
      </c>
      <c r="O40" s="3">
        <f t="shared" si="0"/>
        <v>1</v>
      </c>
    </row>
    <row r="41" spans="1:15" ht="15.75" x14ac:dyDescent="0.25">
      <c r="A41" s="1"/>
      <c r="B41" s="3"/>
      <c r="F41" s="1"/>
      <c r="G41" s="1"/>
      <c r="M41" s="17">
        <f t="shared" si="1"/>
        <v>0</v>
      </c>
      <c r="N41" s="19" t="str">
        <f t="shared" si="2"/>
        <v>F</v>
      </c>
      <c r="O41" s="3">
        <f t="shared" si="0"/>
        <v>1</v>
      </c>
    </row>
    <row r="42" spans="1:15" ht="15.75" x14ac:dyDescent="0.25">
      <c r="A42" s="1"/>
      <c r="B42" s="3"/>
      <c r="E42" s="2" t="s">
        <v>71</v>
      </c>
      <c r="F42" s="1"/>
      <c r="G42" s="1"/>
      <c r="M42" s="17">
        <f t="shared" si="1"/>
        <v>0</v>
      </c>
      <c r="N42" s="19" t="str">
        <f t="shared" si="2"/>
        <v>F</v>
      </c>
      <c r="O42" s="3">
        <f t="shared" si="0"/>
        <v>1</v>
      </c>
    </row>
    <row r="43" spans="1:15" ht="15.75" x14ac:dyDescent="0.25">
      <c r="A43" s="1"/>
      <c r="B43" s="3"/>
      <c r="F43" s="1"/>
      <c r="G43" s="1"/>
      <c r="M43" s="17">
        <f t="shared" si="1"/>
        <v>0</v>
      </c>
      <c r="N43" s="19" t="str">
        <f t="shared" si="2"/>
        <v>F</v>
      </c>
      <c r="O43" s="3">
        <f t="shared" si="0"/>
        <v>1</v>
      </c>
    </row>
    <row r="44" spans="1:15" ht="15.75" x14ac:dyDescent="0.25">
      <c r="A44" s="1"/>
      <c r="B44" s="3"/>
      <c r="F44" s="1"/>
      <c r="G44" s="1"/>
      <c r="M44" s="17">
        <f t="shared" si="1"/>
        <v>0</v>
      </c>
      <c r="N44" s="19" t="str">
        <f t="shared" si="2"/>
        <v>F</v>
      </c>
      <c r="O44" s="3">
        <f t="shared" si="0"/>
        <v>1</v>
      </c>
    </row>
    <row r="45" spans="1:15" ht="15.75" x14ac:dyDescent="0.25">
      <c r="A45" s="1"/>
      <c r="B45" s="3"/>
      <c r="F45" s="1"/>
      <c r="G45" s="1"/>
      <c r="M45" s="17">
        <f t="shared" si="1"/>
        <v>0</v>
      </c>
      <c r="N45" s="19" t="str">
        <f t="shared" si="2"/>
        <v>F</v>
      </c>
      <c r="O45" s="3">
        <f t="shared" si="0"/>
        <v>1</v>
      </c>
    </row>
    <row r="46" spans="1:15" ht="15.75" x14ac:dyDescent="0.25">
      <c r="A46" s="1"/>
      <c r="B46" s="3"/>
      <c r="F46" s="1"/>
      <c r="G46" s="1"/>
      <c r="M46" s="17">
        <f t="shared" si="1"/>
        <v>0</v>
      </c>
      <c r="N46" s="19" t="str">
        <f t="shared" si="2"/>
        <v>F</v>
      </c>
      <c r="O46" s="3">
        <f t="shared" si="0"/>
        <v>1</v>
      </c>
    </row>
    <row r="47" spans="1:15" ht="15.75" x14ac:dyDescent="0.25">
      <c r="A47" s="1"/>
      <c r="B47" s="3"/>
      <c r="F47" s="1"/>
      <c r="G47" s="1"/>
      <c r="M47" s="17">
        <f t="shared" si="1"/>
        <v>0</v>
      </c>
      <c r="N47" s="19" t="str">
        <f t="shared" si="2"/>
        <v>F</v>
      </c>
      <c r="O47" s="3">
        <f t="shared" si="0"/>
        <v>1</v>
      </c>
    </row>
    <row r="48" spans="1:15" ht="15.75" x14ac:dyDescent="0.25">
      <c r="A48" s="1"/>
      <c r="B48" s="3"/>
      <c r="F48" s="1"/>
      <c r="G48" s="1"/>
      <c r="M48" s="17">
        <f t="shared" si="1"/>
        <v>0</v>
      </c>
      <c r="N48" s="19" t="str">
        <f t="shared" si="2"/>
        <v>F</v>
      </c>
      <c r="O48" s="3">
        <f t="shared" si="0"/>
        <v>1</v>
      </c>
    </row>
    <row r="49" spans="1:15" ht="15.75" x14ac:dyDescent="0.25">
      <c r="A49" s="1"/>
      <c r="B49" s="3"/>
      <c r="F49" s="1"/>
      <c r="G49" s="1"/>
      <c r="M49" s="17">
        <f t="shared" si="1"/>
        <v>0</v>
      </c>
      <c r="N49" s="19" t="str">
        <f t="shared" si="2"/>
        <v>F</v>
      </c>
      <c r="O49" s="3">
        <f t="shared" si="0"/>
        <v>1</v>
      </c>
    </row>
    <row r="50" spans="1:15" ht="15.75" x14ac:dyDescent="0.25">
      <c r="A50" s="1"/>
      <c r="B50" s="3"/>
      <c r="F50" s="1"/>
      <c r="G50" s="1"/>
      <c r="M50" s="17">
        <f t="shared" si="1"/>
        <v>0</v>
      </c>
      <c r="N50" s="19" t="str">
        <f t="shared" si="2"/>
        <v>F</v>
      </c>
      <c r="O50" s="3">
        <f t="shared" si="0"/>
        <v>1</v>
      </c>
    </row>
    <row r="51" spans="1:15" ht="15.75" x14ac:dyDescent="0.25">
      <c r="A51" s="1"/>
      <c r="B51" s="3"/>
      <c r="F51" s="1"/>
      <c r="G51" s="1"/>
      <c r="M51" s="17">
        <f t="shared" si="1"/>
        <v>0</v>
      </c>
      <c r="N51" s="19" t="str">
        <f t="shared" si="2"/>
        <v>F</v>
      </c>
      <c r="O51" s="3">
        <f t="shared" si="0"/>
        <v>1</v>
      </c>
    </row>
    <row r="52" spans="1:15" ht="15.75" x14ac:dyDescent="0.25">
      <c r="A52" s="1"/>
      <c r="B52" s="3"/>
      <c r="F52" s="1"/>
      <c r="G52" s="1"/>
      <c r="M52" s="17">
        <f t="shared" si="1"/>
        <v>0</v>
      </c>
      <c r="N52" s="19" t="str">
        <f t="shared" si="2"/>
        <v>F</v>
      </c>
      <c r="O52" s="3">
        <f t="shared" si="0"/>
        <v>1</v>
      </c>
    </row>
    <row r="53" spans="1:15" ht="15.75" x14ac:dyDescent="0.25">
      <c r="A53" s="1"/>
      <c r="B53" s="3"/>
      <c r="F53" s="1"/>
      <c r="G53" s="1"/>
      <c r="M53" s="17">
        <f t="shared" si="1"/>
        <v>0</v>
      </c>
      <c r="N53" s="19" t="str">
        <f t="shared" si="2"/>
        <v>F</v>
      </c>
      <c r="O53" s="3">
        <f t="shared" si="0"/>
        <v>1</v>
      </c>
    </row>
    <row r="54" spans="1:15" ht="15.75" x14ac:dyDescent="0.25">
      <c r="A54" s="1"/>
      <c r="B54" s="3"/>
      <c r="F54" s="1"/>
      <c r="G54" s="1"/>
      <c r="M54" s="17">
        <f t="shared" si="1"/>
        <v>0</v>
      </c>
      <c r="N54" s="19" t="str">
        <f t="shared" si="2"/>
        <v>F</v>
      </c>
      <c r="O54" s="3">
        <f t="shared" si="0"/>
        <v>1</v>
      </c>
    </row>
    <row r="55" spans="1:15" ht="15.75" x14ac:dyDescent="0.25">
      <c r="A55" s="1"/>
      <c r="B55" s="3"/>
      <c r="F55" s="1"/>
      <c r="G55" s="1"/>
      <c r="M55" s="17">
        <f t="shared" si="1"/>
        <v>0</v>
      </c>
      <c r="N55" s="19" t="str">
        <f t="shared" si="2"/>
        <v>F</v>
      </c>
      <c r="O55" s="3">
        <f t="shared" si="0"/>
        <v>1</v>
      </c>
    </row>
    <row r="56" spans="1:15" ht="15.75" x14ac:dyDescent="0.25">
      <c r="A56" s="1"/>
      <c r="B56" s="3"/>
      <c r="F56" s="1"/>
      <c r="G56" s="1"/>
      <c r="M56" s="17">
        <f t="shared" si="1"/>
        <v>0</v>
      </c>
      <c r="N56" s="19" t="str">
        <f t="shared" si="2"/>
        <v>F</v>
      </c>
      <c r="O56" s="3">
        <f t="shared" si="0"/>
        <v>1</v>
      </c>
    </row>
    <row r="57" spans="1:15" ht="15.75" x14ac:dyDescent="0.25">
      <c r="A57" s="1"/>
      <c r="B57" s="3"/>
      <c r="F57" s="1"/>
      <c r="G57" s="1"/>
      <c r="M57" s="17">
        <f t="shared" si="1"/>
        <v>0</v>
      </c>
      <c r="N57" s="19" t="str">
        <f t="shared" si="2"/>
        <v>F</v>
      </c>
      <c r="O57" s="3">
        <f t="shared" si="0"/>
        <v>1</v>
      </c>
    </row>
    <row r="58" spans="1:15" ht="15.75" x14ac:dyDescent="0.25">
      <c r="A58" s="1"/>
      <c r="B58" s="3"/>
      <c r="F58" s="1"/>
      <c r="G58" s="1"/>
      <c r="M58" s="17">
        <f t="shared" si="1"/>
        <v>0</v>
      </c>
      <c r="N58" s="19" t="str">
        <f t="shared" si="2"/>
        <v>F</v>
      </c>
      <c r="O58" s="3">
        <f t="shared" si="0"/>
        <v>1</v>
      </c>
    </row>
    <row r="59" spans="1:15" ht="15.75" x14ac:dyDescent="0.25">
      <c r="A59" s="1"/>
      <c r="B59" s="3"/>
      <c r="F59" s="1"/>
      <c r="G59" s="1"/>
      <c r="M59" s="17">
        <f t="shared" si="1"/>
        <v>0</v>
      </c>
      <c r="N59" s="19" t="str">
        <f t="shared" si="2"/>
        <v>F</v>
      </c>
      <c r="O59" s="3">
        <f t="shared" si="0"/>
        <v>1</v>
      </c>
    </row>
    <row r="60" spans="1:15" ht="15.75" x14ac:dyDescent="0.25">
      <c r="A60" s="1"/>
      <c r="B60" s="3"/>
      <c r="F60" s="1"/>
      <c r="G60" s="1"/>
      <c r="M60" s="17">
        <f t="shared" si="1"/>
        <v>0</v>
      </c>
      <c r="N60" s="19" t="str">
        <f t="shared" si="2"/>
        <v>F</v>
      </c>
      <c r="O60" s="3">
        <f t="shared" si="0"/>
        <v>1</v>
      </c>
    </row>
    <row r="61" spans="1:15" ht="15.75" x14ac:dyDescent="0.25">
      <c r="A61" s="1"/>
      <c r="B61" s="3"/>
      <c r="F61" s="1"/>
      <c r="G61" s="1"/>
      <c r="M61" s="17">
        <f t="shared" si="1"/>
        <v>0</v>
      </c>
      <c r="N61" s="19" t="str">
        <f t="shared" si="2"/>
        <v>F</v>
      </c>
      <c r="O61" s="3">
        <f t="shared" si="0"/>
        <v>1</v>
      </c>
    </row>
    <row r="62" spans="1:15" ht="15.75" x14ac:dyDescent="0.25">
      <c r="A62" s="1"/>
      <c r="B62" s="3"/>
      <c r="F62" s="1"/>
      <c r="G62" s="1"/>
      <c r="M62" s="17">
        <f t="shared" si="1"/>
        <v>0</v>
      </c>
      <c r="N62" s="19" t="str">
        <f t="shared" si="2"/>
        <v>F</v>
      </c>
      <c r="O62" s="3">
        <f t="shared" si="0"/>
        <v>1</v>
      </c>
    </row>
    <row r="63" spans="1:15" ht="15.75" x14ac:dyDescent="0.25">
      <c r="A63" s="1"/>
      <c r="B63" s="3"/>
      <c r="F63" s="1"/>
      <c r="G63" s="1"/>
      <c r="M63" s="17">
        <f t="shared" si="1"/>
        <v>0</v>
      </c>
      <c r="N63" s="19" t="str">
        <f t="shared" si="2"/>
        <v>F</v>
      </c>
      <c r="O63" s="3">
        <f t="shared" si="0"/>
        <v>1</v>
      </c>
    </row>
    <row r="64" spans="1:15" ht="15.75" x14ac:dyDescent="0.25">
      <c r="A64" s="1"/>
      <c r="B64" s="3"/>
      <c r="F64" s="1"/>
      <c r="G64" s="1"/>
      <c r="M64" s="17">
        <f t="shared" si="1"/>
        <v>0</v>
      </c>
      <c r="N64" s="19" t="str">
        <f t="shared" si="2"/>
        <v>F</v>
      </c>
      <c r="O64" s="3">
        <f t="shared" si="0"/>
        <v>1</v>
      </c>
    </row>
    <row r="65" spans="1:15" ht="15.75" x14ac:dyDescent="0.25">
      <c r="A65" s="1"/>
      <c r="B65" s="3"/>
      <c r="F65" s="1"/>
      <c r="G65" s="1"/>
      <c r="M65" s="17">
        <f t="shared" si="1"/>
        <v>0</v>
      </c>
      <c r="N65" s="19" t="str">
        <f t="shared" si="2"/>
        <v>F</v>
      </c>
      <c r="O65" s="3">
        <f t="shared" si="0"/>
        <v>1</v>
      </c>
    </row>
    <row r="66" spans="1:15" ht="15.75" x14ac:dyDescent="0.25">
      <c r="A66" s="1"/>
      <c r="B66" s="3"/>
      <c r="F66" s="1"/>
      <c r="G66" s="1"/>
      <c r="M66" s="17">
        <f t="shared" si="1"/>
        <v>0</v>
      </c>
      <c r="N66" s="19" t="str">
        <f t="shared" si="2"/>
        <v>F</v>
      </c>
      <c r="O66" s="3">
        <f t="shared" si="0"/>
        <v>1</v>
      </c>
    </row>
    <row r="67" spans="1:15" ht="15.75" x14ac:dyDescent="0.25">
      <c r="A67" s="1"/>
      <c r="B67" s="3"/>
      <c r="F67" s="1"/>
      <c r="G67" s="1"/>
      <c r="M67" s="17">
        <f t="shared" si="1"/>
        <v>0</v>
      </c>
      <c r="N67" s="19" t="str">
        <f t="shared" si="2"/>
        <v>F</v>
      </c>
      <c r="O67" s="3">
        <f t="shared" si="0"/>
        <v>1</v>
      </c>
    </row>
    <row r="68" spans="1:15" ht="15.75" x14ac:dyDescent="0.25">
      <c r="A68" s="1"/>
      <c r="B68" s="3"/>
      <c r="F68" s="1"/>
      <c r="G68" s="1"/>
      <c r="M68" s="17">
        <f t="shared" si="1"/>
        <v>0</v>
      </c>
      <c r="N68" s="19" t="str">
        <f t="shared" si="2"/>
        <v>F</v>
      </c>
      <c r="O68" s="3">
        <f t="shared" si="0"/>
        <v>1</v>
      </c>
    </row>
    <row r="69" spans="1:15" ht="15.75" x14ac:dyDescent="0.25">
      <c r="A69" s="1"/>
      <c r="B69" s="3"/>
      <c r="F69" s="1"/>
      <c r="G69" s="1"/>
      <c r="M69" s="17">
        <f t="shared" si="1"/>
        <v>0</v>
      </c>
      <c r="N69" s="19" t="str">
        <f t="shared" si="2"/>
        <v>F</v>
      </c>
      <c r="O69" s="3">
        <f t="shared" si="0"/>
        <v>1</v>
      </c>
    </row>
    <row r="70" spans="1:15" ht="15.75" x14ac:dyDescent="0.25">
      <c r="A70" s="1"/>
      <c r="B70" s="3"/>
      <c r="F70" s="1"/>
      <c r="G70" s="1"/>
      <c r="M70" s="17">
        <f t="shared" si="1"/>
        <v>0</v>
      </c>
      <c r="N70" s="19" t="str">
        <f t="shared" si="2"/>
        <v>F</v>
      </c>
      <c r="O70" s="3">
        <f t="shared" si="0"/>
        <v>1</v>
      </c>
    </row>
    <row r="71" spans="1:15" ht="15.75" x14ac:dyDescent="0.25">
      <c r="A71" s="1"/>
      <c r="B71" s="3"/>
      <c r="F71" s="1"/>
      <c r="G71" s="1"/>
      <c r="M71" s="17">
        <f t="shared" si="1"/>
        <v>0</v>
      </c>
      <c r="N71" s="19" t="str">
        <f t="shared" si="2"/>
        <v>F</v>
      </c>
      <c r="O71" s="3">
        <f t="shared" si="0"/>
        <v>1</v>
      </c>
    </row>
    <row r="72" spans="1:15" ht="15.75" x14ac:dyDescent="0.25">
      <c r="A72" s="1"/>
      <c r="B72" s="3"/>
      <c r="F72" s="1"/>
      <c r="G72" s="1"/>
      <c r="M72" s="17">
        <f t="shared" si="1"/>
        <v>0</v>
      </c>
      <c r="N72" s="19" t="str">
        <f t="shared" si="2"/>
        <v>F</v>
      </c>
      <c r="O72" s="3">
        <f t="shared" ref="O72:O99" si="3">(G72-F72+1)</f>
        <v>1</v>
      </c>
    </row>
    <row r="73" spans="1:15" ht="15.75" x14ac:dyDescent="0.25">
      <c r="A73" s="1"/>
      <c r="B73" s="3"/>
      <c r="F73" s="1"/>
      <c r="G73" s="1"/>
      <c r="M73" s="17">
        <f t="shared" ref="M73:M99" si="4">B73</f>
        <v>0</v>
      </c>
      <c r="N73" s="19" t="str">
        <f t="shared" ref="N73:N99" si="5">IF(VALUE(L73)=VALUE(O73), "P","F")</f>
        <v>F</v>
      </c>
      <c r="O73" s="3">
        <f t="shared" si="3"/>
        <v>1</v>
      </c>
    </row>
    <row r="74" spans="1:15" ht="15.75" x14ac:dyDescent="0.25">
      <c r="A74" s="1"/>
      <c r="B74" s="3"/>
      <c r="F74" s="1"/>
      <c r="G74" s="1"/>
      <c r="M74" s="17">
        <f t="shared" si="4"/>
        <v>0</v>
      </c>
      <c r="N74" s="19" t="str">
        <f t="shared" si="5"/>
        <v>F</v>
      </c>
      <c r="O74" s="3">
        <f t="shared" si="3"/>
        <v>1</v>
      </c>
    </row>
    <row r="75" spans="1:15" ht="15.75" x14ac:dyDescent="0.25">
      <c r="A75" s="1"/>
      <c r="B75" s="3"/>
      <c r="F75" s="1"/>
      <c r="G75" s="1"/>
      <c r="M75" s="17">
        <f t="shared" si="4"/>
        <v>0</v>
      </c>
      <c r="N75" s="19" t="str">
        <f t="shared" si="5"/>
        <v>F</v>
      </c>
      <c r="O75" s="3">
        <f t="shared" si="3"/>
        <v>1</v>
      </c>
    </row>
    <row r="76" spans="1:15" ht="15.75" x14ac:dyDescent="0.25">
      <c r="A76" s="1"/>
      <c r="B76" s="3"/>
      <c r="F76" s="1"/>
      <c r="G76" s="1"/>
      <c r="M76" s="17">
        <f t="shared" si="4"/>
        <v>0</v>
      </c>
      <c r="N76" s="19" t="str">
        <f t="shared" si="5"/>
        <v>F</v>
      </c>
      <c r="O76" s="3">
        <f t="shared" si="3"/>
        <v>1</v>
      </c>
    </row>
    <row r="77" spans="1:15" ht="15.75" x14ac:dyDescent="0.25">
      <c r="A77" s="1"/>
      <c r="B77" s="3"/>
      <c r="F77" s="1"/>
      <c r="G77" s="1"/>
      <c r="M77" s="17">
        <f t="shared" si="4"/>
        <v>0</v>
      </c>
      <c r="N77" s="19" t="str">
        <f t="shared" si="5"/>
        <v>F</v>
      </c>
      <c r="O77" s="3">
        <f t="shared" si="3"/>
        <v>1</v>
      </c>
    </row>
    <row r="78" spans="1:15" ht="15.75" x14ac:dyDescent="0.25">
      <c r="A78" s="1"/>
      <c r="B78" s="3"/>
      <c r="F78" s="1"/>
      <c r="G78" s="1"/>
      <c r="M78" s="17">
        <f t="shared" si="4"/>
        <v>0</v>
      </c>
      <c r="N78" s="19" t="str">
        <f t="shared" si="5"/>
        <v>F</v>
      </c>
      <c r="O78" s="3">
        <f t="shared" si="3"/>
        <v>1</v>
      </c>
    </row>
    <row r="79" spans="1:15" ht="15.75" x14ac:dyDescent="0.25">
      <c r="A79" s="1"/>
      <c r="B79" s="3"/>
      <c r="F79" s="1"/>
      <c r="G79" s="1"/>
      <c r="M79" s="17">
        <f t="shared" si="4"/>
        <v>0</v>
      </c>
      <c r="N79" s="19" t="str">
        <f t="shared" si="5"/>
        <v>F</v>
      </c>
      <c r="O79" s="3">
        <f t="shared" si="3"/>
        <v>1</v>
      </c>
    </row>
    <row r="80" spans="1:15" ht="15.75" x14ac:dyDescent="0.25">
      <c r="A80" s="1"/>
      <c r="B80" s="3"/>
      <c r="F80" s="1"/>
      <c r="G80" s="1"/>
      <c r="M80" s="17">
        <f t="shared" si="4"/>
        <v>0</v>
      </c>
      <c r="N80" s="19" t="str">
        <f t="shared" si="5"/>
        <v>F</v>
      </c>
      <c r="O80" s="3">
        <f t="shared" si="3"/>
        <v>1</v>
      </c>
    </row>
    <row r="81" spans="1:15" ht="15.75" x14ac:dyDescent="0.25">
      <c r="A81" s="1"/>
      <c r="B81" s="3"/>
      <c r="F81" s="1"/>
      <c r="G81" s="1"/>
      <c r="M81" s="17">
        <f t="shared" si="4"/>
        <v>0</v>
      </c>
      <c r="N81" s="19" t="str">
        <f t="shared" si="5"/>
        <v>F</v>
      </c>
      <c r="O81" s="3">
        <f t="shared" si="3"/>
        <v>1</v>
      </c>
    </row>
    <row r="82" spans="1:15" ht="15.75" x14ac:dyDescent="0.25">
      <c r="A82" s="1"/>
      <c r="B82" s="3"/>
      <c r="F82" s="1"/>
      <c r="G82" s="1"/>
      <c r="M82" s="17">
        <f t="shared" si="4"/>
        <v>0</v>
      </c>
      <c r="N82" s="19" t="str">
        <f t="shared" si="5"/>
        <v>F</v>
      </c>
      <c r="O82" s="3">
        <f t="shared" si="3"/>
        <v>1</v>
      </c>
    </row>
    <row r="83" spans="1:15" ht="15.75" x14ac:dyDescent="0.25">
      <c r="A83" s="1"/>
      <c r="B83" s="3"/>
      <c r="F83" s="1"/>
      <c r="G83" s="1"/>
      <c r="M83" s="17">
        <f t="shared" si="4"/>
        <v>0</v>
      </c>
      <c r="N83" s="19" t="str">
        <f t="shared" si="5"/>
        <v>F</v>
      </c>
      <c r="O83" s="3">
        <f t="shared" si="3"/>
        <v>1</v>
      </c>
    </row>
    <row r="84" spans="1:15" ht="15.75" x14ac:dyDescent="0.25">
      <c r="A84" s="1"/>
      <c r="B84" s="3"/>
      <c r="F84" s="1"/>
      <c r="G84" s="1"/>
      <c r="M84" s="17">
        <f t="shared" si="4"/>
        <v>0</v>
      </c>
      <c r="N84" s="19" t="str">
        <f t="shared" si="5"/>
        <v>F</v>
      </c>
      <c r="O84" s="3">
        <f t="shared" si="3"/>
        <v>1</v>
      </c>
    </row>
    <row r="85" spans="1:15" ht="15.75" x14ac:dyDescent="0.25">
      <c r="A85" s="1"/>
      <c r="B85" s="3"/>
      <c r="F85" s="1"/>
      <c r="G85" s="1"/>
      <c r="M85" s="17">
        <f t="shared" si="4"/>
        <v>0</v>
      </c>
      <c r="N85" s="19" t="str">
        <f t="shared" si="5"/>
        <v>F</v>
      </c>
      <c r="O85" s="3">
        <f t="shared" si="3"/>
        <v>1</v>
      </c>
    </row>
    <row r="86" spans="1:15" ht="15.75" x14ac:dyDescent="0.25">
      <c r="A86" s="1"/>
      <c r="B86" s="3"/>
      <c r="F86" s="1"/>
      <c r="G86" s="1"/>
      <c r="M86" s="17">
        <f t="shared" si="4"/>
        <v>0</v>
      </c>
      <c r="N86" s="19" t="str">
        <f t="shared" si="5"/>
        <v>F</v>
      </c>
      <c r="O86" s="3">
        <f t="shared" si="3"/>
        <v>1</v>
      </c>
    </row>
    <row r="87" spans="1:15" ht="15.75" x14ac:dyDescent="0.25">
      <c r="A87" s="1"/>
      <c r="B87" s="3"/>
      <c r="F87" s="1"/>
      <c r="G87" s="1"/>
      <c r="M87" s="17">
        <f t="shared" si="4"/>
        <v>0</v>
      </c>
      <c r="N87" s="19" t="str">
        <f t="shared" si="5"/>
        <v>F</v>
      </c>
      <c r="O87" s="3">
        <f t="shared" si="3"/>
        <v>1</v>
      </c>
    </row>
    <row r="88" spans="1:15" ht="15.75" x14ac:dyDescent="0.25">
      <c r="A88" s="1"/>
      <c r="B88" s="3"/>
      <c r="F88" s="1"/>
      <c r="G88" s="1"/>
      <c r="M88" s="17">
        <f t="shared" si="4"/>
        <v>0</v>
      </c>
      <c r="N88" s="19" t="str">
        <f t="shared" si="5"/>
        <v>F</v>
      </c>
      <c r="O88" s="3">
        <f t="shared" si="3"/>
        <v>1</v>
      </c>
    </row>
    <row r="89" spans="1:15" ht="15.75" x14ac:dyDescent="0.25">
      <c r="A89" s="1"/>
      <c r="B89" s="3"/>
      <c r="F89" s="1"/>
      <c r="G89" s="1"/>
      <c r="M89" s="17">
        <f t="shared" si="4"/>
        <v>0</v>
      </c>
      <c r="N89" s="19" t="str">
        <f t="shared" si="5"/>
        <v>F</v>
      </c>
      <c r="O89" s="3">
        <f t="shared" si="3"/>
        <v>1</v>
      </c>
    </row>
    <row r="90" spans="1:15" ht="15.75" x14ac:dyDescent="0.25">
      <c r="A90" s="1"/>
      <c r="B90" s="3"/>
      <c r="F90" s="1"/>
      <c r="G90" s="1"/>
      <c r="M90" s="17">
        <f t="shared" si="4"/>
        <v>0</v>
      </c>
      <c r="N90" s="19" t="str">
        <f t="shared" si="5"/>
        <v>F</v>
      </c>
      <c r="O90" s="3">
        <f t="shared" si="3"/>
        <v>1</v>
      </c>
    </row>
    <row r="91" spans="1:15" ht="15.75" x14ac:dyDescent="0.25">
      <c r="A91" s="1"/>
      <c r="B91" s="3"/>
      <c r="F91" s="1"/>
      <c r="G91" s="1"/>
      <c r="M91" s="17">
        <f t="shared" si="4"/>
        <v>0</v>
      </c>
      <c r="N91" s="19" t="str">
        <f t="shared" si="5"/>
        <v>F</v>
      </c>
      <c r="O91" s="3">
        <f t="shared" si="3"/>
        <v>1</v>
      </c>
    </row>
    <row r="92" spans="1:15" ht="15.75" x14ac:dyDescent="0.25">
      <c r="A92" s="1"/>
      <c r="B92" s="3"/>
      <c r="F92" s="1"/>
      <c r="G92" s="1"/>
      <c r="M92" s="17">
        <f t="shared" si="4"/>
        <v>0</v>
      </c>
      <c r="N92" s="19" t="str">
        <f t="shared" si="5"/>
        <v>F</v>
      </c>
      <c r="O92" s="3">
        <f t="shared" si="3"/>
        <v>1</v>
      </c>
    </row>
    <row r="93" spans="1:15" ht="15.75" x14ac:dyDescent="0.25">
      <c r="A93" s="1"/>
      <c r="B93" s="3"/>
      <c r="F93" s="1"/>
      <c r="G93" s="1"/>
      <c r="M93" s="17">
        <f t="shared" si="4"/>
        <v>0</v>
      </c>
      <c r="N93" s="19" t="str">
        <f t="shared" si="5"/>
        <v>F</v>
      </c>
      <c r="O93" s="3">
        <f t="shared" si="3"/>
        <v>1</v>
      </c>
    </row>
    <row r="94" spans="1:15" ht="15.75" x14ac:dyDescent="0.25">
      <c r="A94" s="1"/>
      <c r="B94" s="3"/>
      <c r="F94" s="1"/>
      <c r="G94" s="1"/>
      <c r="M94" s="17">
        <f t="shared" si="4"/>
        <v>0</v>
      </c>
      <c r="N94" s="19" t="str">
        <f t="shared" si="5"/>
        <v>F</v>
      </c>
      <c r="O94" s="3">
        <f t="shared" si="3"/>
        <v>1</v>
      </c>
    </row>
    <row r="95" spans="1:15" ht="15.75" x14ac:dyDescent="0.25">
      <c r="A95" s="1"/>
      <c r="B95" s="3"/>
      <c r="F95" s="1"/>
      <c r="G95" s="1"/>
      <c r="M95" s="17">
        <f t="shared" si="4"/>
        <v>0</v>
      </c>
      <c r="N95" s="19" t="str">
        <f t="shared" si="5"/>
        <v>F</v>
      </c>
      <c r="O95" s="3">
        <f t="shared" si="3"/>
        <v>1</v>
      </c>
    </row>
    <row r="96" spans="1:15" ht="15.75" x14ac:dyDescent="0.25">
      <c r="A96" s="1"/>
      <c r="B96" s="3"/>
      <c r="F96" s="1"/>
      <c r="G96" s="1"/>
      <c r="M96" s="17">
        <f t="shared" si="4"/>
        <v>0</v>
      </c>
      <c r="N96" s="19" t="str">
        <f t="shared" si="5"/>
        <v>F</v>
      </c>
      <c r="O96" s="3">
        <f t="shared" si="3"/>
        <v>1</v>
      </c>
    </row>
    <row r="97" spans="1:15" ht="15.75" x14ac:dyDescent="0.25">
      <c r="A97" s="1"/>
      <c r="B97" s="3"/>
      <c r="F97" s="1"/>
      <c r="G97" s="1"/>
      <c r="M97" s="17">
        <f t="shared" si="4"/>
        <v>0</v>
      </c>
      <c r="N97" s="19" t="str">
        <f t="shared" si="5"/>
        <v>F</v>
      </c>
      <c r="O97" s="3">
        <f t="shared" si="3"/>
        <v>1</v>
      </c>
    </row>
    <row r="98" spans="1:15" ht="15.75" x14ac:dyDescent="0.25">
      <c r="A98" s="1"/>
      <c r="B98" s="3"/>
      <c r="F98" s="1"/>
      <c r="G98" s="1"/>
      <c r="M98" s="17">
        <f t="shared" si="4"/>
        <v>0</v>
      </c>
      <c r="N98" s="19" t="str">
        <f t="shared" si="5"/>
        <v>F</v>
      </c>
      <c r="O98" s="3">
        <f t="shared" si="3"/>
        <v>1</v>
      </c>
    </row>
    <row r="99" spans="1:15" ht="15.75" x14ac:dyDescent="0.25">
      <c r="A99" s="1"/>
      <c r="B99" s="3"/>
      <c r="F99" s="1"/>
      <c r="G99" s="1"/>
      <c r="M99" s="17">
        <f t="shared" si="4"/>
        <v>0</v>
      </c>
      <c r="N99" s="19" t="str">
        <f t="shared" si="5"/>
        <v>F</v>
      </c>
      <c r="O99" s="3">
        <f t="shared" si="3"/>
        <v>1</v>
      </c>
    </row>
    <row r="100" spans="1:15" x14ac:dyDescent="0.25">
      <c r="A100" s="1"/>
      <c r="B100" s="3"/>
      <c r="F100" s="1"/>
      <c r="G100" s="1"/>
      <c r="M100" s="1"/>
    </row>
    <row r="101" spans="1:15" x14ac:dyDescent="0.25">
      <c r="A101" s="1"/>
      <c r="B101" s="3"/>
      <c r="F101" s="1"/>
      <c r="G101" s="1"/>
      <c r="M101" s="1"/>
    </row>
    <row r="102" spans="1:15" x14ac:dyDescent="0.25">
      <c r="A102" s="1"/>
      <c r="B102" s="3"/>
      <c r="F102" s="1"/>
      <c r="G102" s="1"/>
      <c r="M102" s="1"/>
    </row>
    <row r="103" spans="1:15" x14ac:dyDescent="0.25">
      <c r="A103" s="1"/>
      <c r="B103" s="3"/>
      <c r="F103" s="1"/>
      <c r="G103" s="1"/>
      <c r="M103" s="1"/>
    </row>
    <row r="104" spans="1:15" x14ac:dyDescent="0.25">
      <c r="A104" s="1"/>
      <c r="B104" s="3"/>
      <c r="F104" s="1"/>
      <c r="G104" s="1"/>
      <c r="M104" s="1"/>
    </row>
    <row r="105" spans="1:15" x14ac:dyDescent="0.25">
      <c r="A105" s="1"/>
      <c r="B105" s="3"/>
      <c r="F105" s="1"/>
      <c r="G105" s="1"/>
      <c r="M105" s="1"/>
    </row>
    <row r="106" spans="1:15" x14ac:dyDescent="0.25">
      <c r="A106" s="1"/>
      <c r="B106" s="3"/>
      <c r="F106" s="1"/>
      <c r="G106" s="1"/>
      <c r="M106" s="1"/>
    </row>
    <row r="107" spans="1:15" x14ac:dyDescent="0.25">
      <c r="A107" s="1"/>
      <c r="B107" s="3"/>
      <c r="F107" s="1"/>
      <c r="G107" s="1"/>
      <c r="M107" s="1"/>
    </row>
    <row r="108" spans="1:15" x14ac:dyDescent="0.25">
      <c r="A108" s="1"/>
      <c r="B108" s="3"/>
      <c r="F108" s="1"/>
      <c r="G108" s="1"/>
      <c r="M108" s="1"/>
    </row>
    <row r="109" spans="1:15" x14ac:dyDescent="0.25">
      <c r="A109" s="1"/>
      <c r="B109" s="3"/>
      <c r="F109" s="1"/>
      <c r="G109" s="1"/>
      <c r="M109" s="1"/>
    </row>
    <row r="110" spans="1:15" x14ac:dyDescent="0.25">
      <c r="A110" s="1"/>
      <c r="B110" s="3"/>
      <c r="F110" s="1"/>
      <c r="G110" s="1"/>
      <c r="M110" s="1"/>
    </row>
    <row r="111" spans="1:15" x14ac:dyDescent="0.25">
      <c r="A111" s="1"/>
      <c r="B111" s="3"/>
      <c r="F111" s="1"/>
      <c r="G111" s="1"/>
      <c r="M111" s="1"/>
    </row>
    <row r="112" spans="1:15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conditionalFormatting sqref="N8:N99">
    <cfRule type="cellIs" dxfId="0" priority="1" operator="equal">
      <formula>"F"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6321" r:id="rId4" name="ExecuteQueries">
          <controlPr defaultSize="0" autoLine="0" r:id="rId5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6321" r:id="rId4" name="ExecuteQueries"/>
      </mc:Fallback>
    </mc:AlternateContent>
    <mc:AlternateContent xmlns:mc="http://schemas.openxmlformats.org/markup-compatibility/2006">
      <mc:Choice Requires="x14">
        <control shapeId="56322" r:id="rId6" name="ClearBtn">
          <controlPr defaultSize="0" autoLine="0" r:id="rId7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56322" r:id="rId6" name="Clear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perStart &amp; PerEnd</vt:lpstr>
      <vt:lpstr>CurrPer &amp; PrevPer &amp; NextPer</vt:lpstr>
      <vt:lpstr>DaysInPrd</vt:lpstr>
      <vt:lpstr>WksInPrd</vt:lpstr>
      <vt:lpstr>CurrQtr</vt:lpstr>
      <vt:lpstr>QtrStart</vt:lpstr>
      <vt:lpstr>QtrEnd</vt:lpstr>
      <vt:lpstr>WkInQtr</vt:lpstr>
      <vt:lpstr>DaysInQtr</vt:lpstr>
      <vt:lpstr>scratch - periods</vt:lpstr>
      <vt:lpstr>scratch - Qtr</vt:lpstr>
      <vt:lpstr>YrStart</vt:lpstr>
      <vt:lpstr>YrEnd</vt:lpstr>
      <vt:lpstr>DaysInToYr</vt:lpstr>
      <vt:lpstr>WkInYr</vt:lpstr>
      <vt:lpstr>WkInPrd</vt:lpstr>
      <vt:lpstr>LeapYEars</vt:lpstr>
      <vt:lpstr>5th weeks</vt:lpstr>
      <vt:lpstr>PrevPerStart &amp; PrevPerEnd</vt:lpstr>
      <vt:lpstr>NextPerStart &amp; NextPerEnd</vt:lpstr>
      <vt:lpstr>scratch - PrevPer &amp; NextPer</vt:lpstr>
      <vt:lpstr>FiscalYear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Brian</dc:creator>
  <cp:lastModifiedBy>Lee, Brian</cp:lastModifiedBy>
  <dcterms:created xsi:type="dcterms:W3CDTF">2015-10-16T14:08:54Z</dcterms:created>
  <dcterms:modified xsi:type="dcterms:W3CDTF">2015-11-09T17:27:37Z</dcterms:modified>
</cp:coreProperties>
</file>